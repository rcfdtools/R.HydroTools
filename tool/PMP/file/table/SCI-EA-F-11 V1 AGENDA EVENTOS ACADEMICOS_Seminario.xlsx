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6152E08E-0FAB-4E61-A761-0EED850E1538}" xr6:coauthVersionLast="47" xr6:coauthVersionMax="47" xr10:uidLastSave="{00000000-0000-0000-0000-000000000000}"/>
  <bookViews>
    <workbookView xWindow="-110" yWindow="-110" windowWidth="19420" windowHeight="10300" activeTab="2" xr2:uid="{D5F600D0-95B7-4B5F-A15E-C058783176F5}"/>
  </bookViews>
  <sheets>
    <sheet name="Agenda día1 salón 1" sheetId="6" r:id="rId1"/>
    <sheet name="Agenda día1 salón 2" sheetId="9" r:id="rId2"/>
    <sheet name="Agenda día2 salón 1" sheetId="1" r:id="rId3"/>
    <sheet name="Agenda día2 salón 2" sheetId="10" r:id="rId4"/>
    <sheet name="Agenda día3 Salon 1" sheetId="8" r:id="rId5"/>
  </sheets>
  <definedNames>
    <definedName name="_xlnm.Print_Area" localSheetId="0">'Agenda día1 salón 1'!$A$1:$F$38</definedName>
    <definedName name="_xlnm.Print_Area" localSheetId="1">'Agenda día1 salón 2'!$A$1:$F$39</definedName>
    <definedName name="_xlnm.Print_Area" localSheetId="2">'Agenda día2 salón 1'!$A$1:$F$39</definedName>
    <definedName name="_xlnm.Print_Area" localSheetId="3">'Agenda día2 salón 2'!$A$1:$F$38</definedName>
    <definedName name="_xlnm.Print_Area" localSheetId="4">'Agenda día3 Salon 1'!$A$1:$F$31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10" l="1"/>
  <c r="B8" i="10" s="1"/>
  <c r="C8" i="10" s="1"/>
  <c r="B9" i="10" s="1"/>
  <c r="C9" i="10" s="1"/>
  <c r="B10" i="10" s="1"/>
  <c r="C10" i="10" s="1"/>
  <c r="C5" i="9"/>
  <c r="B8" i="9" s="1"/>
  <c r="C8" i="9" s="1"/>
  <c r="C5" i="8"/>
  <c r="B7" i="8" s="1"/>
  <c r="C7" i="8" s="1"/>
  <c r="C5" i="6"/>
  <c r="B7" i="6" s="1"/>
  <c r="C7" i="6" s="1"/>
  <c r="B8" i="6" s="1"/>
  <c r="C8" i="6" s="1"/>
  <c r="B10" i="6" s="1"/>
  <c r="B8" i="8" l="1"/>
  <c r="C8" i="8" s="1"/>
  <c r="B10" i="8" s="1"/>
  <c r="C10" i="8" s="1"/>
  <c r="B12" i="8" s="1"/>
  <c r="C12" i="8" s="1"/>
  <c r="B14" i="8" s="1"/>
  <c r="B11" i="10"/>
  <c r="C11" i="10" s="1"/>
  <c r="B12" i="10" s="1"/>
  <c r="C12" i="10" s="1"/>
  <c r="B13" i="10" s="1"/>
  <c r="C13" i="10"/>
  <c r="B14" i="10" s="1"/>
  <c r="C14" i="10" s="1"/>
  <c r="B9" i="9"/>
  <c r="C9" i="9" s="1"/>
  <c r="B10" i="9" s="1"/>
  <c r="C10" i="9" s="1"/>
  <c r="C10" i="6"/>
  <c r="B11" i="6" s="1"/>
  <c r="C11" i="6" s="1"/>
  <c r="C5" i="1"/>
  <c r="B8" i="1" s="1"/>
  <c r="C8" i="1" s="1"/>
  <c r="C14" i="8" l="1"/>
  <c r="B16" i="8" s="1"/>
  <c r="B15" i="10"/>
  <c r="C15" i="10" s="1"/>
  <c r="B9" i="1"/>
  <c r="C9" i="1" s="1"/>
  <c r="B10" i="1" s="1"/>
  <c r="B11" i="9"/>
  <c r="C11" i="9" s="1"/>
  <c r="B12" i="9" s="1"/>
  <c r="C12" i="9" s="1"/>
  <c r="B13" i="9" s="1"/>
  <c r="C13" i="9" s="1"/>
  <c r="B12" i="6"/>
  <c r="C12" i="6" s="1"/>
  <c r="B14" i="6" s="1"/>
  <c r="C14" i="6" s="1"/>
  <c r="B15" i="6" s="1"/>
  <c r="C15" i="6" s="1"/>
  <c r="C16" i="8" l="1"/>
  <c r="B17" i="8" s="1"/>
  <c r="C17" i="8" s="1"/>
  <c r="B19" i="8" s="1"/>
  <c r="B16" i="10"/>
  <c r="C16" i="10"/>
  <c r="B18" i="10" s="1"/>
  <c r="C18" i="10" s="1"/>
  <c r="B14" i="9"/>
  <c r="C14" i="9" s="1"/>
  <c r="B16" i="9" s="1"/>
  <c r="C16" i="9" s="1"/>
  <c r="B19" i="9" s="1"/>
  <c r="C19" i="9" s="1"/>
  <c r="B16" i="6"/>
  <c r="C16" i="6" s="1"/>
  <c r="B17" i="6" s="1"/>
  <c r="C17" i="6" s="1"/>
  <c r="B19" i="6" s="1"/>
  <c r="C19" i="8" l="1"/>
  <c r="B20" i="10"/>
  <c r="C20" i="10" s="1"/>
  <c r="B20" i="9"/>
  <c r="C20" i="9"/>
  <c r="B21" i="9" s="1"/>
  <c r="C21" i="9" s="1"/>
  <c r="B22" i="9" s="1"/>
  <c r="C22" i="9" s="1"/>
  <c r="B23" i="9" s="1"/>
  <c r="C23" i="9" s="1"/>
  <c r="B25" i="9" s="1"/>
  <c r="C25" i="9" s="1"/>
  <c r="B27" i="9" s="1"/>
  <c r="C27" i="9" s="1"/>
  <c r="B29" i="9" s="1"/>
  <c r="C29" i="9" s="1"/>
  <c r="B30" i="9" s="1"/>
  <c r="C30" i="9" s="1"/>
  <c r="B31" i="9" s="1"/>
  <c r="C31" i="9" s="1"/>
  <c r="B32" i="9" s="1"/>
  <c r="C32" i="9" s="1"/>
  <c r="B33" i="9" s="1"/>
  <c r="B20" i="8" l="1"/>
  <c r="C20" i="8" s="1"/>
  <c r="B21" i="10"/>
  <c r="C21" i="10" s="1"/>
  <c r="B22" i="10" s="1"/>
  <c r="C10" i="1"/>
  <c r="B11" i="1" s="1"/>
  <c r="C11" i="1" s="1"/>
  <c r="C33" i="9"/>
  <c r="B34" i="9" s="1"/>
  <c r="C34" i="9" s="1"/>
  <c r="B21" i="8" l="1"/>
  <c r="C21" i="8" s="1"/>
  <c r="B22" i="8" s="1"/>
  <c r="C22" i="8" s="1"/>
  <c r="B23" i="8" s="1"/>
  <c r="C22" i="10"/>
  <c r="B24" i="10" s="1"/>
  <c r="C24" i="10" s="1"/>
  <c r="B26" i="10" s="1"/>
  <c r="C26" i="10" s="1"/>
  <c r="B27" i="10" s="1"/>
  <c r="C27" i="10" s="1"/>
  <c r="B28" i="10" s="1"/>
  <c r="C28" i="10" s="1"/>
  <c r="B30" i="10" s="1"/>
  <c r="C30" i="10" s="1"/>
  <c r="B31" i="10" s="1"/>
  <c r="C31" i="10" s="1"/>
  <c r="B32" i="10" s="1"/>
  <c r="C32" i="10" s="1"/>
  <c r="B12" i="1"/>
  <c r="C12" i="1" s="1"/>
  <c r="C23" i="8" l="1"/>
  <c r="B13" i="1"/>
  <c r="C13" i="1" s="1"/>
  <c r="C19" i="6"/>
  <c r="B21" i="6" s="1"/>
  <c r="C21" i="6" s="1"/>
  <c r="B22" i="6" s="1"/>
  <c r="C22" i="6" s="1"/>
  <c r="B24" i="8" l="1"/>
  <c r="C24" i="8" s="1"/>
  <c r="B14" i="1"/>
  <c r="C14" i="1" s="1"/>
  <c r="B23" i="6"/>
  <c r="C23" i="6" s="1"/>
  <c r="B25" i="8" l="1"/>
  <c r="C25" i="8" s="1"/>
  <c r="B15" i="1"/>
  <c r="C15" i="1" s="1"/>
  <c r="B17" i="1" s="1"/>
  <c r="C17" i="1" s="1"/>
  <c r="B19" i="1" s="1"/>
  <c r="C19" i="1" s="1"/>
  <c r="B20" i="1" s="1"/>
  <c r="C20" i="1" s="1"/>
  <c r="B21" i="1" s="1"/>
  <c r="C21" i="1" s="1"/>
  <c r="B22" i="1" s="1"/>
  <c r="B25" i="6"/>
  <c r="C25" i="6" s="1"/>
  <c r="B27" i="6" s="1"/>
  <c r="C27" i="6" s="1"/>
  <c r="B28" i="6" s="1"/>
  <c r="C22" i="1" l="1"/>
  <c r="B23" i="1" s="1"/>
  <c r="C23" i="1" s="1"/>
  <c r="B25" i="1" l="1"/>
  <c r="C25" i="1" s="1"/>
  <c r="B28" i="1" s="1"/>
  <c r="C28" i="1" s="1"/>
  <c r="B29" i="1" l="1"/>
  <c r="C29" i="1" s="1"/>
  <c r="B30" i="1" s="1"/>
  <c r="C30" i="1" s="1"/>
  <c r="B31" i="1" s="1"/>
  <c r="C31" i="1" s="1"/>
  <c r="B32" i="1" s="1"/>
  <c r="C32" i="1" l="1"/>
  <c r="B33" i="1" s="1"/>
  <c r="C33" i="1" s="1"/>
  <c r="C28" i="6" l="1"/>
  <c r="B29" i="6" s="1"/>
  <c r="C29" i="6" s="1"/>
  <c r="B30" i="6" s="1"/>
  <c r="C30" i="6" s="1"/>
  <c r="B31" i="6" l="1"/>
  <c r="C31" i="6"/>
  <c r="B32" i="6" s="1"/>
  <c r="C32" i="6" s="1"/>
  <c r="B33" i="6"/>
  <c r="C33" i="6"/>
  <c r="B34" i="6" s="1"/>
  <c r="C34" i="6" s="1"/>
</calcChain>
</file>

<file path=xl/sharedStrings.xml><?xml version="1.0" encoding="utf-8"?>
<sst xmlns="http://schemas.openxmlformats.org/spreadsheetml/2006/main" count="226" uniqueCount="145">
  <si>
    <t xml:space="preserve">TÍTULO DEL EVENTO 
</t>
  </si>
  <si>
    <t>FECHA</t>
  </si>
  <si>
    <t>REGISTRO</t>
  </si>
  <si>
    <t>HORA</t>
  </si>
  <si>
    <t>TÍTULO DE CONFERENCIA</t>
  </si>
  <si>
    <t>CONFERENCISTA</t>
  </si>
  <si>
    <t>DESCANSO</t>
  </si>
  <si>
    <t xml:space="preserve">*Agenda sujeta a cambios </t>
  </si>
  <si>
    <t>RIESGO AMBIENTAL POR DEFICIENCIAS INGENIERILES POCO ABORDADAS EN ALCANTARILLADOS URBANOS</t>
  </si>
  <si>
    <t>EVALUACIÓN DE SISTEMAS DE DRENAJE Y SUBDRENAJE. ANÁLISIS HIDRÁULICO EXPERIMENTAL DE RECUBRIMIENTOS TIPO INFINITY LAYER EN CANALES Y DE SISTEMAS DE DRENAJE TIPO ALVEODREN</t>
  </si>
  <si>
    <t>HIDROSOLVER 1.0. HERRAMIENTA COMPUTACIONAL PARA HIDRAULICA A SUPERFICIE LIBRE</t>
  </si>
  <si>
    <t>DETERMINACIÓN DE LAS CURVAS PADF EN LA MICROCUENCA DEL PEPINO EN EL MUNICIPIO DE MOCOA-PUTUMAYO- COLOMBIA</t>
  </si>
  <si>
    <t>CONTROL INUNDACIONES CARTAGENA</t>
  </si>
  <si>
    <t>NO ESTACIONARIEDAD DE EVENTOS EXTREMOS DE PRECIPITACIÓN 
EN EL VALLE DE ABURRÁ</t>
  </si>
  <si>
    <t>CARACTERIZACIÓN DE TORMENTAS CONVECTIVAS EN EL VALLE DE ABURRÁ: CASO DE ESTUDIO QUEBRADA ALTAVISTA</t>
  </si>
  <si>
    <t>INFLUENCIA DE LA PRECIPITACIÓN HORIZONTAL Y BRIÓFITOS EN LA OFERTA HÍDRICA DE PÁRAMOS: MODELO INTEGRADO</t>
  </si>
  <si>
    <t>ENFOQUE DE GEMELO DIGITAL PARA LA EVALUACIÓN DEL CLORO RESIDUAL EN REDES DE DISTRIBUCIÓN DE AGUA POTABLE MEDIANTE LÓGICA DIFUSA</t>
  </si>
  <si>
    <t>EVALUACIÓN DE LA CONDICIÓN ACTUAL DE LA QUEBRADA ALTAVISTA MEDIANTE EL ÍNDICE HIDROGEOMORFOLÓGICO (IHG)</t>
  </si>
  <si>
    <t>ESTIMACIÓN DEL Q95 MEDIANTE CURVAS DE DURACIÓN DE CAUDALES Y TRANSFERENCIA HIDROLÓGICA EN UNA CUENCA SIN AFOROS: CASO MANTA, CUNDINAMARCA</t>
  </si>
  <si>
    <t>EVALUACIÓN DE LA RESPUESTA HIDROLÓGICA DE LA CUENCA DEL RÍO NUS FRENTE A CAMBIO CLIMÁTICO Y MINERÍA A CIELO ABIERTO</t>
  </si>
  <si>
    <t>IMPLEMENTACIÓN DE UN GEMELO DIGITAL HIDRÁULICO CON CONTROL DIFUSO PARA LA MITIGACIÓN DE SUBPRODUCTOS DE DESINFECCIÓN EN REDES DE AGUA POTABLE</t>
  </si>
  <si>
    <t>ESTUDIO Y ANÁLISIS DE LA PRECIPITACIÓN MÁXIMA EN 24 HORAS (PMAX24H) EN LA RED DE ESTACIONES CLIMATOLÓGICAS AUTOMÁTICAS DE COLOMBIA</t>
  </si>
  <si>
    <t>METODOLOGÍA PARA MONITOREAR LA ESCORRENTÍA DE CUBIERTAS EN ENTORNOS URBANOS DE CIUDADES COSTERAS</t>
  </si>
  <si>
    <t>ANALISIS COMPARATIVO DE CURVAS IFD EN LA REGIÓN ANDINA COLOMBIANA</t>
  </si>
  <si>
    <t>CARACTERIZACIÓN DE FLUJOS BIFÁSICOS MEDIANTE MODELACIÓN FÍSICA A ESCALA REDUCIDA</t>
  </si>
  <si>
    <t>SISTEMA INTELIGENTE DE MONITOREO Y CONTROL PARA LA OPTIMIZACIÓN DEL USO DEL RECURSO HÍDRICO EN UN VIVERO AGROPRODUCTIVO EN FUSAGASUGÁ – PROVINCIA DEL SUMAPAZ</t>
  </si>
  <si>
    <t>CARACTERIZACIÓN DE LAS SEQUÍAS EN BOGOTÁ Y SUS CUENCAS ABASTECEDORAS</t>
  </si>
  <si>
    <t>CONSTRUCCIÓN DE UN PROTOTIPO PURIFICADOR DE AGUA EN
LA VEREDA TUNAL ZIPAQUIRÁ FINCA EL REFUGIO</t>
  </si>
  <si>
    <t>¿ES POSIBLE TENER UN EQUILIBRIO ENTRE PRESERVAR LA
ESTRUCTURA DEL RÉGIMEN HIDROLÓGICO Y LOS USOS DEL AGUA?: EL ROL DEL CAUDAL AMBIENTAL</t>
  </si>
  <si>
    <t>MORFODINÁMICA DEL RÍO MAGDALENA ENTRE HONDA Y
BARRANCABERMEJA. RESPUESTA DEL SISTEMA AL
ENCAUZAMIENTO PARA LA NAVEGACIÓN</t>
  </si>
  <si>
    <t>RESPUESTA HIDROSEDIMENTOLÓGICA EN DOS ESTACIONES 
UBICADAS EN EL RÍO ABURRÁ-MEDELLÍN, COLOMBIA</t>
  </si>
  <si>
    <t>TRANSFORMACIÓN FUNCIONAL DEL COMPLEJO ALTOANDINO DE SUMAPAZ: DIAGNÓSTICO MULTICOMPONENTE MEDIANTE TELEDETECCIÓN Y SIMULACIÓN PLUVIOMÉTRICA</t>
  </si>
  <si>
    <t>EL ARTE DE LOS RÍOS QUE CAMBIAN DE OPINIÓN Y SU TERAPIA DESDE LA INGENIERÍA</t>
  </si>
  <si>
    <t>EVALUACIÓN DE REDES NEURONALES CONVOLUCIONALES EN
EL DOWNSCALING DE PRECIPITACIÓN PARA MODELOS
CLIMÁTICOS CMIP6 EN LA CUENCA MAGDALENA-CAUCA</t>
  </si>
  <si>
    <t>EVALUACIÓN DE VARIOS TRAMOS DEL RÍO MEDELLÍN Y DEL RÍO NEGRO MEDIANTE LA APLICACIÓN DEL ÍNDICE HIDROGEOMORFOLÓGICO</t>
  </si>
  <si>
    <t>PROYECCIÓN DE LA ESCASEZ HÍDRICA AZUL (BWSI) ANTE 
ESCENARIOS CLIMÁTICOS FUTUROS: CASO DE ESTUDIO CUENCA DEL RÍO CESAR</t>
  </si>
  <si>
    <t>¿QUE TANTO HA CAMBIADO LA LLUVIA Y EL ESCURRIMIENTO EN LA CIUDAD DE MEDELLÍN?</t>
  </si>
  <si>
    <t>BOORIE-IA UNA HERRAMIENTA DE APOYO AL SECTOR AGUA 
POTABLE Y SANEAMIENTO Y A LA ACADEMIA EN COLOMBIA</t>
  </si>
  <si>
    <t>EVALUANDO EL POTENCIAL HIDROCINÉTICO, UN NUEVO ENFOQUE</t>
  </si>
  <si>
    <t>ABASTECIMIENTO DE AGUA POTABLE EN BOGOTÁ D.C. BAJO ESCENARIOS DE VARIABILIDAD Y CAMBIO CLIMÁTICO: UN ENFOQUE PARA LA GESTIÓN DEL RIESGO HÍDRICO</t>
  </si>
  <si>
    <t>EVALUACIÓN INTEGRADA DE LA VULNERABILIDAD FISICA FRENTE A CRECIDAS EN CUENCAS DE MONTAÑA A TRAVÉS DE MODELACIÓN HDROLÓGICO-HIDRAULICA Y ANALISIS SISTÉMICO DE FACTORES CONTROLADORES</t>
  </si>
  <si>
    <t>CARTILLA DE CANALES ESCALONADOS UTILIZADOS EN DRENAJE VIAL CON GUÍA PARA VERIFICACIÓN EN CFD</t>
  </si>
  <si>
    <t>GENERACIÓN ELÉCTRICA A PEUQUEÑAS ESCALAS EN
ACUEDUCTOS COMO OPORTUNIDAD PARA LAS EMPRESAS DE SERVICIOS PÚBLICOS EN COLOMBIA</t>
  </si>
  <si>
    <t>DISEÑO DE UN SISTEMA DE GENERACIÓN DE ENERGÍA MEDIANTE UNA RUEDA HIDRÁULICA CON RECIRCULACIÓN DE AGUA LLUVIA PARA ILUMINACIÓN DE CULTIVOS RURALES</t>
  </si>
  <si>
    <t>ACTUALIZACIÓN DEL PLAN DE EMERGENCIA Y CONTINGENCIA CASO DE ESTUDIO ACUEDUCTO RURAL DE RIONEGRO</t>
  </si>
  <si>
    <t>SISTEMA RURAL DE BOMBEO, ALMACENAMIENTO Y
POTABILIZACIÓN DE AGUA PARA USO AGRÍCOLA Y DOMÉSTICO EN CUÍTIVA, BOYACÁ</t>
  </si>
  <si>
    <t>DISEÑO E IMPLEMENTACIÓN DE SISTEMA MODULAR DE CAPTACIÓN Y ALMACENAMIENTO DE AGUA LLUVIA PARA CENTRO DE INVESTIGACIÓN Y FORMACIÓN TALENTO LAB, CÁQUEZA</t>
  </si>
  <si>
    <t>INTEGRACIÓN DEL DISEÑO ARQUITECTONICO VERNACULO Y LA INGENIERIA HIDRAULICA PARA LA REDUCCIÓN DEL RIESGO POR ESCORRENTIA PLUVIAL EN VIVIENDA RURAL BOOYACENCE</t>
  </si>
  <si>
    <t>SISTEMA MODULAR DE CAPTACIÓN Y MONITOREO INTELIGENTE DE AGUA LLUVIA EN MAICAO</t>
  </si>
  <si>
    <t>ANÁLISIS DE VIABILIDAD DE UNA MICROCENTRAL HIDROELÉCTRICA TIPO PELTON APLICADA AL SUMINISTRO DE AGUA EN ÁREAS RURALES</t>
  </si>
  <si>
    <t>HABITAR DESDE EL AGUA: INFRAESTRUCTURA SOCIAL Y GESTIÓN COMUNITARIA DEL RECURSO HÍDRICO.</t>
  </si>
  <si>
    <t>HISTORIA Y PERSPECTIVA DE UNA SOLUCIÓN NOVEDOSA Y SEGURA ANTE LA FALLA DE DIQUES DE CONTROL DE INUNDACIÓN.</t>
  </si>
  <si>
    <t>DESARROLLO DE UNA TECNOLOGÍA DE PROTECCIÓN MARGINAL CON SOLUCIONES BASADAS EN LA NATURALEZA (SBN) EN RÍOS DE ALTO CAUDAL</t>
  </si>
  <si>
    <t>PRIMERA EXPEDICIÓN TÉCNICO-CIENTÍFICA DEL RÍO BAUDÓ: APORTES DEL LIBRO RÍO BAUDÓ EN ELCHOCÓ COLOMBIANO</t>
  </si>
  <si>
    <t>VARIABILIDAD DE LA INFILTRACIÓN Y REPELENCIA DEL SUELO EN UNA CUENCA TROPICAL Y SU EFECTO EN LA ESCORRENTÍA</t>
  </si>
  <si>
    <t>EVALUACIÓN Y DIMENSIONAMIENTO DE VÁLVULAS DE VENTOSA EN REDES DE DISTRIBUCIÓN</t>
  </si>
  <si>
    <t>ESTUDIO DEL CAMBIO CLIMÁTICO Y EXPANSIÓN URBANA SOBRE OFERTA Y DEMANDA DE AGUA POTABLE EN RÍO BOGOTÁ</t>
  </si>
  <si>
    <t>MEJORA DEL METODO SCS-CN INCORPORANDO AJUSTE DE PENDIENTE Y COEFICIENTE DE ABSTRACCIÓN INICIAL PARA LA REPRESENTACIÓN DE CRECIENTES EN UNA CUENCA ANDINA.</t>
  </si>
  <si>
    <t>INTEGRATED FLOOD VULNERABILITY ASSESSMENT IN A DATA-
SCARCE TROPICAL MOUNTAIN-TO-PIEDMONT WATERSHED</t>
  </si>
  <si>
    <t>Universidad EIA</t>
  </si>
  <si>
    <t>Universidad de Cundinamarca</t>
  </si>
  <si>
    <t>Universidad EAFIT</t>
  </si>
  <si>
    <t>EJE TEMÁTICO 5 - Ingeniería e infraestructuras hidráulicas</t>
  </si>
  <si>
    <t xml:space="preserve">
</t>
  </si>
  <si>
    <t>ALMUERZO LIBRE</t>
  </si>
  <si>
    <t>EJE TEMÁTICO 9 - Cambio climático y variabilidad climática</t>
  </si>
  <si>
    <t>EJE TEMÁTICO 2 - Hidrología superficial y subterránea</t>
  </si>
  <si>
    <t>EJE TEMÁTICO 1 - Mecánica de los fluidos e hidráulica fundamental</t>
  </si>
  <si>
    <t>EJE TEMÁTICO 3 - Hidráulica de ríos</t>
  </si>
  <si>
    <t>EJE TEMÁTICO 6 - Agua y ambiente</t>
  </si>
  <si>
    <t>CARACTERIZACIÓN Y EVALUACIÓN DE LA EFICIENCIA DEPURADORA  DE UN CANAL NATURAL CON COBERTURA VEGETAL, RECEPTOR DE  AGUAS RESIDUALES DOMÉSTICAS EN CÚCUTA, CON EL FIN DE  PLANTEAR EL DISEÑO DE UN HUMEDAL ARTIFICIAL QUE REPRODUZCA SU FUNCIONAMIENTO.</t>
  </si>
  <si>
    <t>ESTRATEGIA DE SEGURIDAD HÍDRICA DE BOGOTÁ: RESILIENCIA,
GOBERNANZA Y ALTERNATIVAS DE ABASTECIMIENTO PARA UNA METRÓPOLI ANTE EL CAMBIO CLIMÁTICO</t>
  </si>
  <si>
    <t>EXPERIENCIA DEL OPERADOR DEL SISTEMA ELÉCTRICO EN LA GESTIÓN DE LA HIDROLOGÍA Y LA VARIABILIDAD CLIMÁTICA EN EL SIN</t>
  </si>
  <si>
    <t>PALABRAS DE BIENVENIDA</t>
  </si>
  <si>
    <t>CONTEXTO DEL SEMINARIO</t>
  </si>
  <si>
    <t>PALABRAS DE APERTURA</t>
  </si>
  <si>
    <t>PALABRAS DE CIERRE</t>
  </si>
  <si>
    <r>
      <t xml:space="preserve">Aulio Tovar Solano
</t>
    </r>
    <r>
      <rPr>
        <b/>
        <sz val="12"/>
        <color theme="1"/>
        <rFont val="Arial Narrow"/>
        <family val="2"/>
      </rPr>
      <t>Sociedad Colombiana de Ingenieros</t>
    </r>
  </si>
  <si>
    <r>
      <t xml:space="preserve">Luis Eduardo Mora Mora 
Javier Molina Romero
</t>
    </r>
    <r>
      <rPr>
        <b/>
        <sz val="12"/>
        <color theme="1"/>
        <rFont val="Arial Narrow"/>
        <family val="2"/>
      </rPr>
      <t>TribuCorp-DCK Studios</t>
    </r>
  </si>
  <si>
    <r>
      <t xml:space="preserve">Diego Germán Montero, Gerente Corporativo Sistema Maestro
</t>
    </r>
    <r>
      <rPr>
        <b/>
        <sz val="12"/>
        <color theme="1"/>
        <rFont val="Arial Narrow"/>
        <family val="2"/>
      </rPr>
      <t>Empresa de Acueducto y Alcantarillado de Bogotá (EAAB)</t>
    </r>
  </si>
  <si>
    <r>
      <t xml:space="preserve">Oscar Efrén Ospina Zúñiga
</t>
    </r>
    <r>
      <rPr>
        <b/>
        <sz val="12"/>
        <color theme="1"/>
        <rFont val="Arial Narrow"/>
        <family val="2"/>
      </rPr>
      <t>Universidad Cooperativa de Colombia</t>
    </r>
  </si>
  <si>
    <r>
      <t xml:space="preserve">Mauricio Fernando Revelo Hidalgo
</t>
    </r>
    <r>
      <rPr>
        <b/>
        <sz val="12"/>
        <color theme="1"/>
        <rFont val="Arial Narrow"/>
        <family val="2"/>
      </rPr>
      <t>Uniputumayo</t>
    </r>
  </si>
  <si>
    <r>
      <t xml:space="preserve">Luis Fernando Carvajal Serna
Daniel Estiben Galvis Cuervo
</t>
    </r>
    <r>
      <rPr>
        <b/>
        <sz val="12"/>
        <color theme="1"/>
        <rFont val="Arial Narrow"/>
        <family val="2"/>
      </rPr>
      <t>Universidad de Medellín</t>
    </r>
  </si>
  <si>
    <r>
      <t xml:space="preserve">Jessica Paola Páez Pedraza
</t>
    </r>
    <r>
      <rPr>
        <b/>
        <sz val="12"/>
        <color theme="1"/>
        <rFont val="Arial Narrow"/>
        <family val="2"/>
      </rPr>
      <t>Universidad Nacional de Colombia</t>
    </r>
  </si>
  <si>
    <r>
      <t xml:space="preserve">Juan Felipe Ochoa
</t>
    </r>
    <r>
      <rPr>
        <b/>
        <sz val="12"/>
        <color theme="1"/>
        <rFont val="Arial Narrow"/>
        <family val="2"/>
      </rPr>
      <t>Universidad Nacional de Colombia</t>
    </r>
  </si>
  <si>
    <r>
      <t xml:space="preserve">José Julián Villate Corredor
David Esteban Fonseca Aragón
</t>
    </r>
    <r>
      <rPr>
        <b/>
        <sz val="12"/>
        <color theme="1"/>
        <rFont val="Arial Narrow"/>
        <family val="2"/>
      </rPr>
      <t>Universidad Pedagógica y Tecnológica de Colombia</t>
    </r>
  </si>
  <si>
    <r>
      <t xml:space="preserve">Lilian del Socorro Posada García, Docente
</t>
    </r>
    <r>
      <rPr>
        <b/>
        <sz val="12"/>
        <color theme="1"/>
        <rFont val="Arial Narrow"/>
        <family val="2"/>
      </rPr>
      <t>Universidad Nacional Colombia Sede Medellín</t>
    </r>
  </si>
  <si>
    <r>
      <t xml:space="preserve">Yelena Hernández Atencia
</t>
    </r>
    <r>
      <rPr>
        <b/>
        <sz val="12"/>
        <color theme="1"/>
        <rFont val="Arial Narrow"/>
        <family val="2"/>
      </rPr>
      <t>Universidad Cooperativa de Colombia</t>
    </r>
  </si>
  <si>
    <r>
      <t xml:space="preserve">Andrea Marcela Bolaños Rodriguez
Oscar Felipe Agredo Camouzano
</t>
    </r>
    <r>
      <rPr>
        <b/>
        <sz val="12"/>
        <color theme="1"/>
        <rFont val="Arial Narrow"/>
        <family val="2"/>
      </rPr>
      <t>Universidad del Cauca</t>
    </r>
  </si>
  <si>
    <r>
      <t xml:space="preserve">Jose Andres Alvarado Muñoz 
Allison Stefani Franco Bautista
</t>
    </r>
    <r>
      <rPr>
        <b/>
        <sz val="12"/>
        <color theme="1"/>
        <rFont val="Arial Narrow"/>
        <family val="2"/>
      </rPr>
      <t>Universidad Pedagógica y Tecnológica de Colombia</t>
    </r>
  </si>
  <si>
    <r>
      <t xml:space="preserve">Clara Marcela Romero Hernandez
</t>
    </r>
    <r>
      <rPr>
        <b/>
        <sz val="12"/>
        <color theme="1"/>
        <rFont val="Arial Narrow"/>
        <family val="2"/>
      </rPr>
      <t>Universidad del Valle</t>
    </r>
  </si>
  <si>
    <r>
      <t xml:space="preserve">Fabio Andrés Bernal Quiroga, Subdirector de Hidrología 
</t>
    </r>
    <r>
      <rPr>
        <b/>
        <sz val="12"/>
        <color theme="1"/>
        <rFont val="Arial Narrow"/>
        <family val="2"/>
      </rPr>
      <t>IDEAM</t>
    </r>
  </si>
  <si>
    <r>
      <t xml:space="preserve">Robert Luis Narváez Hernández
Andrés Mauricio Arrieta Echinique
</t>
    </r>
    <r>
      <rPr>
        <b/>
        <sz val="12"/>
        <color theme="1"/>
        <rFont val="Arial Narrow"/>
        <family val="2"/>
      </rPr>
      <t>SISCO Ingeniería S.A.S</t>
    </r>
  </si>
  <si>
    <r>
      <t xml:space="preserve">Nathalia Andrea Carvajal Giraldo 
Catalina Bravo Serrano
</t>
    </r>
    <r>
      <rPr>
        <b/>
        <sz val="12"/>
        <color theme="1"/>
        <rFont val="Arial Narrow"/>
        <family val="2"/>
      </rPr>
      <t>INGEOTECNIA SAS</t>
    </r>
  </si>
  <si>
    <r>
      <t xml:space="preserve">Alejandro Franco Rojas
Edgar Alexander Padilla González
</t>
    </r>
    <r>
      <rPr>
        <b/>
        <sz val="12"/>
        <color theme="1"/>
        <rFont val="Arial Narrow"/>
        <family val="2"/>
      </rPr>
      <t>UNGRD</t>
    </r>
  </si>
  <si>
    <r>
      <t xml:space="preserve">Héctor Alfonso Rodríguez Díaz
Andrés Humberto Otálora Carmona
</t>
    </r>
    <r>
      <rPr>
        <b/>
        <sz val="12"/>
        <color theme="1"/>
        <rFont val="Arial Narrow"/>
        <family val="2"/>
      </rPr>
      <t>Universidad Escuela Colombiana de Ingeniería Julio Garavito</t>
    </r>
  </si>
  <si>
    <r>
      <t xml:space="preserve">Andersson Stiven Duarte Cardenas
</t>
    </r>
    <r>
      <rPr>
        <b/>
        <sz val="12"/>
        <color theme="1"/>
        <rFont val="Arial Narrow"/>
        <family val="2"/>
      </rPr>
      <t>Universidad del Magdalena</t>
    </r>
  </si>
  <si>
    <r>
      <t xml:space="preserve">Gabriel José Manjarrés Herrera
</t>
    </r>
    <r>
      <rPr>
        <b/>
        <sz val="12"/>
        <color theme="1"/>
        <rFont val="Arial Narrow"/>
        <family val="2"/>
      </rPr>
      <t>Universidad del Magdalena</t>
    </r>
  </si>
  <si>
    <r>
      <t xml:space="preserve">Juan Daniel Ríos Arboleda
</t>
    </r>
    <r>
      <rPr>
        <b/>
        <sz val="12"/>
        <color theme="1"/>
        <rFont val="Arial Narrow"/>
        <family val="2"/>
      </rPr>
      <t>Sociedad Colombiana de Ingenieros</t>
    </r>
  </si>
  <si>
    <r>
      <t xml:space="preserve">Edder Alexander Velandia Durán
Julio Castellanos Giraldo
</t>
    </r>
    <r>
      <rPr>
        <b/>
        <sz val="12"/>
        <color theme="1"/>
        <rFont val="Arial Narrow"/>
        <family val="2"/>
      </rPr>
      <t>Universidad de La Salle</t>
    </r>
  </si>
  <si>
    <r>
      <t xml:space="preserve">Emily Paola Mayorga Delgado
Diego Alejandro Rodriguez Cruz
</t>
    </r>
    <r>
      <rPr>
        <b/>
        <sz val="12"/>
        <color theme="1"/>
        <rFont val="Arial Narrow"/>
        <family val="2"/>
      </rPr>
      <t>Universidad Distrital Francisco José de Caldas</t>
    </r>
  </si>
  <si>
    <r>
      <t xml:space="preserve">
</t>
    </r>
    <r>
      <rPr>
        <b/>
        <sz val="12"/>
        <color theme="1"/>
        <rFont val="Arial Narrow"/>
        <family val="2"/>
      </rPr>
      <t>Universidad Distrital Francisco José de Caldas</t>
    </r>
  </si>
  <si>
    <r>
      <t xml:space="preserve">Carlos Herney Buritica Aguada
Dayron Antohan Bustillo Mendez
</t>
    </r>
    <r>
      <rPr>
        <b/>
        <sz val="12"/>
        <color theme="1"/>
        <rFont val="Arial Narrow"/>
        <family val="2"/>
      </rPr>
      <t>Universidad Distrital Francisco José de Caldas</t>
    </r>
  </si>
  <si>
    <r>
      <t xml:space="preserve">Angie Natalia Gaitán Sandoval 
Juan Carlos Borbón
</t>
    </r>
    <r>
      <rPr>
        <b/>
        <sz val="12"/>
        <color theme="1"/>
        <rFont val="Arial Narrow"/>
        <family val="2"/>
      </rPr>
      <t>Universidad Distrital Francisco José de Caldas</t>
    </r>
  </si>
  <si>
    <r>
      <t xml:space="preserve">Arlex Toro Rodríguez, Director Ejecutivo
</t>
    </r>
    <r>
      <rPr>
        <b/>
        <sz val="12"/>
        <color theme="1"/>
        <rFont val="Arial Narrow"/>
        <family val="2"/>
      </rPr>
      <t>Asociación Latinoamericana de Tecnologías Sin Zanja (LAMSTT)</t>
    </r>
  </si>
  <si>
    <r>
      <t xml:space="preserve">Laura Maestre Rodríguez
</t>
    </r>
    <r>
      <rPr>
        <b/>
        <sz val="12"/>
        <color theme="1"/>
        <rFont val="Arial Narrow"/>
        <family val="2"/>
      </rPr>
      <t>Universidad de Antioquia</t>
    </r>
  </si>
  <si>
    <r>
      <t xml:space="preserve">Orlando Castañeda Vanegas
</t>
    </r>
    <r>
      <rPr>
        <b/>
        <sz val="12"/>
        <color theme="1"/>
        <rFont val="Arial Narrow"/>
        <family val="2"/>
      </rPr>
      <t>Sociedad Ingenieros y Arquitectos de Bolivar y Sociedad Colombiana de Ingenieros</t>
    </r>
  </si>
  <si>
    <r>
      <t xml:space="preserve">Andrés Felipe Madrid Garzón
</t>
    </r>
    <r>
      <rPr>
        <b/>
        <sz val="12"/>
        <color theme="1"/>
        <rFont val="Arial Narrow"/>
        <family val="2"/>
      </rPr>
      <t>Universidad EIA</t>
    </r>
  </si>
  <si>
    <r>
      <t xml:space="preserve">Valeria Alejandra Quezada Olarte
Luis Mario Díaz Díaz
</t>
    </r>
    <r>
      <rPr>
        <b/>
        <sz val="12"/>
        <color theme="1"/>
        <rFont val="Arial Narrow"/>
        <family val="2"/>
      </rPr>
      <t>Universidad de Cartagena</t>
    </r>
  </si>
  <si>
    <r>
      <t xml:space="preserve">Ana Sophia Rincón Gil
Valentina Bejarano Moreno
</t>
    </r>
    <r>
      <rPr>
        <b/>
        <sz val="12"/>
        <color theme="1"/>
        <rFont val="Arial Narrow"/>
        <family val="2"/>
      </rPr>
      <t>Universidad de Cundinamarca</t>
    </r>
  </si>
  <si>
    <r>
      <t xml:space="preserve">Maria Camila Fernández Berbeo
</t>
    </r>
    <r>
      <rPr>
        <b/>
        <sz val="12"/>
        <color theme="1"/>
        <rFont val="Arial Narrow"/>
        <family val="2"/>
      </rPr>
      <t>Universidad Sergio arboleda
Universidad Politécnica de Valencia</t>
    </r>
  </si>
  <si>
    <r>
      <t xml:space="preserve">Diana María Prieto Sanabria
Juan Pablo Rodríguez Miranda
</t>
    </r>
    <r>
      <rPr>
        <b/>
        <sz val="12"/>
        <color theme="1"/>
        <rFont val="Arial Narrow"/>
        <family val="2"/>
      </rPr>
      <t>Universidad Distrital Francisco José de Caldas</t>
    </r>
  </si>
  <si>
    <r>
      <t xml:space="preserve">Yeison Adrian Ochoa Sanabria
Maria Jose Barrera Alarcon
</t>
    </r>
    <r>
      <rPr>
        <b/>
        <sz val="12"/>
        <color theme="1"/>
        <rFont val="Arial Narrow"/>
        <family val="2"/>
      </rPr>
      <t>Universidad Pedagógica y Tecnológica de Colombia</t>
    </r>
  </si>
  <si>
    <r>
      <t xml:space="preserve">Juan David Rodriguez Acevedo
William Ricardo Aguilar Piña
</t>
    </r>
    <r>
      <rPr>
        <b/>
        <sz val="12"/>
        <color theme="1"/>
        <rFont val="Arial Narrow"/>
        <family val="2"/>
      </rPr>
      <t>Universidad Escuela Colombiana de Ingeniería Julio Garavito</t>
    </r>
  </si>
  <si>
    <r>
      <t xml:space="preserve">Juan David Amaris Martínez
</t>
    </r>
    <r>
      <rPr>
        <b/>
        <sz val="12"/>
        <color theme="1"/>
        <rFont val="Arial Narrow"/>
        <family val="2"/>
      </rPr>
      <t>Universidad Nacional de Colombia</t>
    </r>
  </si>
  <si>
    <r>
      <t xml:space="preserve">Carlos Ernesto Heredia Otero
Rossy Estefany Rojas Quintana
</t>
    </r>
    <r>
      <rPr>
        <b/>
        <sz val="12"/>
        <color theme="1"/>
        <rFont val="Arial Narrow"/>
        <family val="2"/>
      </rPr>
      <t>Universidad Francisco de Paula Santander</t>
    </r>
  </si>
  <si>
    <r>
      <t xml:space="preserve">Denelly Poliuxy León Coral
Ana María Muñoz Pérez
</t>
    </r>
    <r>
      <rPr>
        <b/>
        <sz val="12"/>
        <color theme="1"/>
        <rFont val="Arial Narrow"/>
        <family val="2"/>
      </rPr>
      <t>Universidad del Cauca</t>
    </r>
  </si>
  <si>
    <r>
      <t xml:space="preserve">Sara Alejandra Giraldo Caicedo
Alejandro Pinzón Cuaran
</t>
    </r>
    <r>
      <rPr>
        <b/>
        <sz val="12"/>
        <color theme="1"/>
        <rFont val="Arial Narrow"/>
        <family val="2"/>
      </rPr>
      <t>Universidad Distrital Francisco José de Caldas</t>
    </r>
  </si>
  <si>
    <r>
      <t xml:space="preserve">Laura Julieth Ortiz Baron
Jaime Alberto Duran
</t>
    </r>
    <r>
      <rPr>
        <b/>
        <sz val="12"/>
        <color theme="1"/>
        <rFont val="Arial Narrow"/>
        <family val="2"/>
      </rPr>
      <t>INGEOTECNIA SAS</t>
    </r>
  </si>
  <si>
    <r>
      <t xml:space="preserve">Daniel Humberto Gil Ramírez
Carlos Daniel Montes Rodríguez
</t>
    </r>
    <r>
      <rPr>
        <b/>
        <sz val="12"/>
        <color theme="1"/>
        <rFont val="Arial Narrow"/>
        <family val="2"/>
      </rPr>
      <t>Universidad de La Sabana</t>
    </r>
  </si>
  <si>
    <r>
      <t xml:space="preserve">Stefany Vega Torres
</t>
    </r>
    <r>
      <rPr>
        <b/>
        <sz val="12"/>
        <color theme="1"/>
        <rFont val="Arial Narrow"/>
        <family val="2"/>
      </rPr>
      <t>Universidad del Cesar</t>
    </r>
  </si>
  <si>
    <r>
      <t xml:space="preserve">Juan Felipe T. Bateman
</t>
    </r>
    <r>
      <rPr>
        <b/>
        <sz val="12"/>
        <color theme="1"/>
        <rFont val="Arial Narrow"/>
        <family val="2"/>
      </rPr>
      <t>Universidad del Rosarío</t>
    </r>
  </si>
  <si>
    <r>
      <t xml:space="preserve">Juan Carlos Morales, gerente
</t>
    </r>
    <r>
      <rPr>
        <b/>
        <sz val="12"/>
        <color theme="1"/>
        <rFont val="Arial Narrow"/>
        <family val="2"/>
      </rPr>
      <t xml:space="preserve">Centro Nacional de Despacho (CND) de XM </t>
    </r>
  </si>
  <si>
    <t>EJE TEMÁTICO 7- Agua y sociedad</t>
  </si>
  <si>
    <t>METODOLOGÍA DE PRIORIZACIÓN DE SISTEMAS DE  ABASTECIMIENTO DE AGUA POTABLE EN ÁREAS RURALES</t>
  </si>
  <si>
    <r>
      <t xml:space="preserve">Alejandra Moreno
Carlos Montes
</t>
    </r>
    <r>
      <rPr>
        <b/>
        <sz val="12"/>
        <color theme="1"/>
        <rFont val="Arial Narrow"/>
        <family val="2"/>
      </rPr>
      <t>Universidad de La Sabana</t>
    </r>
  </si>
  <si>
    <t>EFECTO DEL DETERIORO GEOTÉCNICO ACUMULADO (DGA) EN LOS EVENTOS DE AVENIDAS TORRENCIALES - CASO CORTINAS TOLEDO COLOMBIA.</t>
  </si>
  <si>
    <t xml:space="preserve">ESPACIO COMERCIAL - CIERRE </t>
  </si>
  <si>
    <t>MAESTRA DE CEREMONIAS</t>
  </si>
  <si>
    <t>ESPACIO COMERCIAL</t>
  </si>
  <si>
    <t>ARMADA NACIONAL DE COLOMBIA</t>
  </si>
  <si>
    <t xml:space="preserve">ALMUERZO DE CLAUSURA SEGUNDO PISO  </t>
  </si>
  <si>
    <r>
      <t xml:space="preserve">Carlos Andrés Buenahora Ballesteros
</t>
    </r>
    <r>
      <rPr>
        <b/>
        <sz val="12"/>
        <color theme="1"/>
        <rFont val="Arial Narrow"/>
        <family val="2"/>
      </rPr>
      <t>INGEOTECNIA SAS</t>
    </r>
  </si>
  <si>
    <t xml:space="preserve">XXVI Seminario Nacional de Hidráulica e Hidrología </t>
  </si>
  <si>
    <t>RESTAURACIÓN DE LOS ECOSISTEMAS DEGRADADOS DEL CANAL DEL DIQUE</t>
  </si>
  <si>
    <r>
      <t xml:space="preserve">Jorge Alberto Escobar Vargas
</t>
    </r>
    <r>
      <rPr>
        <b/>
        <sz val="12"/>
        <color theme="1"/>
        <rFont val="Arial Narrow"/>
        <family val="2"/>
      </rPr>
      <t>SACYR</t>
    </r>
  </si>
  <si>
    <r>
      <t xml:space="preserve">Ruben Darío Montoya Ramírez
Luis Fernando Carvajal Serna
</t>
    </r>
    <r>
      <rPr>
        <b/>
        <sz val="12"/>
        <color theme="1"/>
        <rFont val="Arial Narrow"/>
        <family val="2"/>
      </rPr>
      <t>Universidad Nacional de Colombia</t>
    </r>
  </si>
  <si>
    <r>
      <t xml:space="preserve">Santiago Forero Bustamante
</t>
    </r>
    <r>
      <rPr>
        <b/>
        <sz val="12"/>
        <color theme="1"/>
        <rFont val="Arial Narrow"/>
        <family val="2"/>
      </rPr>
      <t>Universidad Distrital Francisco José de Caldas</t>
    </r>
  </si>
  <si>
    <t>PENDIENTE</t>
  </si>
  <si>
    <r>
      <t xml:space="preserve">Javier Mouthon Bello
</t>
    </r>
    <r>
      <rPr>
        <b/>
        <sz val="12"/>
        <color theme="1"/>
        <rFont val="Arial Narrow"/>
        <family val="2"/>
      </rPr>
      <t>Universidad de Cartagena</t>
    </r>
  </si>
  <si>
    <r>
      <t xml:space="preserve">Juan Manuel Benavides Guerrero
</t>
    </r>
    <r>
      <rPr>
        <b/>
        <sz val="12"/>
        <color theme="1"/>
        <rFont val="Arial Narrow"/>
        <family val="2"/>
      </rPr>
      <t>Universidad de Medellín</t>
    </r>
  </si>
  <si>
    <t>AGENDA ACADÉMICA</t>
  </si>
  <si>
    <t xml:space="preserve">LUGAR: SALÓN 1 </t>
  </si>
  <si>
    <t>LUGAR: SALÓN 2</t>
  </si>
  <si>
    <t>LUGAR: SALÓN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</si>
</sst>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F800]dddd\,\ mmmm\ dd\,\ yyyy"/>
  </numFmts>
  <fonts count="4" x14ac:knownFonts="1">
    <font>
      <sz val="11"/>
      <color theme="1"/>
      <name val="Calibri"/>
      <family val="2"/>
      <scheme val="minor"/>
    </font>
    <font>
      <sz val="11"/>
      <color theme="1"/>
      <name val="Calibri"/>
      <family val="2"/>
      <scheme val="minor"/>
    </font>
    <font>
      <b/>
      <sz val="12"/>
      <color theme="1"/>
      <name val="Arial Narrow"/>
      <family val="2"/>
    </font>
    <font>
      <sz val="12"/>
      <color theme="1"/>
      <name val="Arial Narrow"/>
      <family val="2"/>
    </font>
  </fonts>
  <fills count="4">
    <fill>
      <patternFill patternType="none"/>
    </fill>
    <fill>
      <patternFill patternType="gray125"/>
    </fill>
    <fill>
      <patternFill patternType="solid">
        <fgColor theme="2" tint="-9.9978637043366805E-2"/>
        <bgColor indexed="64"/>
      </patternFill>
    </fill>
    <fill>
      <patternFill patternType="solid">
        <fgColor theme="0" tint="-0.249977111117893"/>
        <bgColor indexed="64"/>
      </patternFill>
    </fill>
  </fills>
  <borders count="22">
    <border>
      <left/>
      <right/>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
      <left style="medium">
        <color indexed="64"/>
      </left>
      <right/>
      <top/>
      <bottom style="medium">
        <color indexed="64"/>
      </bottom>
      <diagonal/>
    </border>
    <border>
      <left style="medium">
        <color indexed="64"/>
      </left>
      <right/>
      <top/>
      <bottom/>
      <diagonal/>
    </border>
    <border>
      <left style="thin">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thin">
        <color indexed="64"/>
      </bottom>
      <diagonal/>
    </border>
  </borders>
  <cellStyleXfs count="3">
    <xf numFmtId="0" fontId="0" fillId="0" borderId="0"/>
    <xf numFmtId="0" fontId="1" fillId="0" borderId="0"/>
    <xf numFmtId="0" fontId="1" fillId="0" borderId="0"/>
  </cellStyleXfs>
  <cellXfs count="64">
    <xf numFmtId="0" fontId="0" fillId="0" borderId="0" xfId="0"/>
    <xf numFmtId="0" fontId="3" fillId="0" borderId="0" xfId="0" applyFont="1" applyAlignment="1">
      <alignment horizontal="center" vertical="center"/>
    </xf>
    <xf numFmtId="0" fontId="2" fillId="0" borderId="4" xfId="0" applyFont="1" applyBorder="1" applyAlignment="1">
      <alignment horizontal="center" vertical="center"/>
    </xf>
    <xf numFmtId="164" fontId="2" fillId="0" borderId="9" xfId="0" applyNumberFormat="1" applyFont="1" applyBorder="1" applyAlignment="1">
      <alignment horizontal="center" vertical="center"/>
    </xf>
    <xf numFmtId="164" fontId="2" fillId="0" borderId="10" xfId="0" applyNumberFormat="1" applyFont="1" applyBorder="1" applyAlignment="1">
      <alignment horizontal="center" vertical="center"/>
    </xf>
    <xf numFmtId="0" fontId="3" fillId="0" borderId="10" xfId="0" applyFont="1" applyBorder="1" applyAlignment="1">
      <alignment horizontal="center" vertical="center"/>
    </xf>
    <xf numFmtId="164" fontId="2" fillId="0" borderId="5" xfId="0" applyNumberFormat="1" applyFont="1" applyBorder="1" applyAlignment="1">
      <alignment horizontal="center" vertical="center"/>
    </xf>
    <xf numFmtId="164" fontId="2" fillId="0" borderId="2" xfId="0" applyNumberFormat="1" applyFont="1" applyBorder="1" applyAlignment="1">
      <alignment horizontal="center" vertical="center"/>
    </xf>
    <xf numFmtId="0" fontId="3" fillId="0" borderId="2" xfId="0" applyFont="1" applyBorder="1" applyAlignment="1">
      <alignment horizontal="center" vertical="center"/>
    </xf>
    <xf numFmtId="164" fontId="2" fillId="0" borderId="6" xfId="0" applyNumberFormat="1" applyFont="1" applyBorder="1" applyAlignment="1">
      <alignment horizontal="center" vertical="center"/>
    </xf>
    <xf numFmtId="0" fontId="3" fillId="0" borderId="6" xfId="0" applyFont="1" applyBorder="1" applyAlignment="1">
      <alignment horizontal="center" vertical="center"/>
    </xf>
    <xf numFmtId="0" fontId="3" fillId="0" borderId="0" xfId="0" applyFont="1"/>
    <xf numFmtId="164" fontId="2" fillId="0" borderId="0" xfId="0" applyNumberFormat="1" applyFont="1"/>
    <xf numFmtId="0" fontId="2" fillId="0" borderId="19" xfId="0" applyFont="1" applyBorder="1" applyAlignment="1">
      <alignment vertical="center"/>
    </xf>
    <xf numFmtId="164" fontId="2" fillId="2" borderId="7" xfId="0" applyNumberFormat="1" applyFont="1" applyFill="1" applyBorder="1" applyAlignment="1">
      <alignment horizontal="center" vertical="center"/>
    </xf>
    <xf numFmtId="164" fontId="2" fillId="2" borderId="8" xfId="0" applyNumberFormat="1" applyFont="1" applyFill="1" applyBorder="1" applyAlignment="1">
      <alignment horizontal="center" vertical="center"/>
    </xf>
    <xf numFmtId="164" fontId="2" fillId="2" borderId="11" xfId="0" applyNumberFormat="1" applyFont="1" applyFill="1" applyBorder="1" applyAlignment="1">
      <alignment horizontal="center" vertical="center"/>
    </xf>
    <xf numFmtId="164" fontId="2" fillId="2" borderId="12" xfId="0" applyNumberFormat="1" applyFont="1" applyFill="1" applyBorder="1" applyAlignment="1">
      <alignment horizontal="center" vertical="center"/>
    </xf>
    <xf numFmtId="0" fontId="2" fillId="0" borderId="0" xfId="1" applyFont="1" applyAlignment="1">
      <alignment horizontal="center" vertical="center" wrapText="1"/>
    </xf>
    <xf numFmtId="164" fontId="2" fillId="0" borderId="0" xfId="0" applyNumberFormat="1" applyFont="1" applyAlignment="1">
      <alignment horizontal="center" vertical="center"/>
    </xf>
    <xf numFmtId="0" fontId="2" fillId="3" borderId="21" xfId="0" applyFont="1" applyFill="1" applyBorder="1" applyAlignment="1">
      <alignment horizontal="center" vertical="center"/>
    </xf>
    <xf numFmtId="164" fontId="2" fillId="3" borderId="5" xfId="0" applyNumberFormat="1" applyFont="1" applyFill="1" applyBorder="1" applyAlignment="1">
      <alignment horizontal="center" vertical="center"/>
    </xf>
    <xf numFmtId="0" fontId="3" fillId="3" borderId="10" xfId="0" applyFont="1" applyFill="1" applyBorder="1" applyAlignment="1">
      <alignment horizontal="center" vertical="center"/>
    </xf>
    <xf numFmtId="0" fontId="2" fillId="0" borderId="8" xfId="0" applyFont="1" applyBorder="1" applyAlignment="1">
      <alignment horizontal="center" vertical="center"/>
    </xf>
    <xf numFmtId="164" fontId="2" fillId="3" borderId="2" xfId="0" applyNumberFormat="1" applyFont="1" applyFill="1" applyBorder="1" applyAlignment="1">
      <alignment horizontal="center" vertical="center"/>
    </xf>
    <xf numFmtId="0" fontId="3" fillId="3"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0" borderId="17" xfId="0" applyFont="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horizontal="left" vertical="center" wrapText="1"/>
    </xf>
    <xf numFmtId="0" fontId="3" fillId="0" borderId="2" xfId="0" applyFont="1" applyBorder="1" applyAlignment="1">
      <alignment horizont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164" fontId="2" fillId="2" borderId="2" xfId="0" applyNumberFormat="1" applyFont="1" applyFill="1" applyBorder="1" applyAlignment="1">
      <alignment horizontal="center" vertical="center"/>
    </xf>
    <xf numFmtId="0" fontId="2" fillId="0" borderId="2" xfId="0" applyFont="1" applyBorder="1" applyAlignment="1">
      <alignment horizontal="center" vertical="center"/>
    </xf>
    <xf numFmtId="165" fontId="3" fillId="0" borderId="19" xfId="0" applyNumberFormat="1" applyFont="1" applyBorder="1" applyAlignment="1">
      <alignment horizontal="center" vertical="center"/>
    </xf>
    <xf numFmtId="0" fontId="3" fillId="0" borderId="0" xfId="0" applyFont="1" applyAlignment="1">
      <alignment horizontal="left" vertical="center"/>
    </xf>
    <xf numFmtId="0" fontId="3" fillId="0" borderId="2" xfId="0" applyFont="1" applyBorder="1" applyAlignment="1">
      <alignment horizontal="left" wrapText="1"/>
    </xf>
    <xf numFmtId="0" fontId="2" fillId="0" borderId="1" xfId="1" applyFont="1" applyBorder="1" applyAlignment="1">
      <alignment horizontal="center" vertical="center" wrapText="1"/>
    </xf>
    <xf numFmtId="0" fontId="2" fillId="0" borderId="14" xfId="1" applyFont="1" applyBorder="1" applyAlignment="1">
      <alignment horizontal="center" vertical="center" wrapText="1"/>
    </xf>
    <xf numFmtId="0" fontId="2" fillId="0" borderId="16" xfId="1" applyFont="1" applyBorder="1" applyAlignment="1">
      <alignment horizontal="center" vertical="center" wrapText="1"/>
    </xf>
    <xf numFmtId="0" fontId="2" fillId="0" borderId="0" xfId="1" applyFont="1" applyAlignment="1">
      <alignment horizontal="center" vertical="center" wrapText="1"/>
    </xf>
    <xf numFmtId="0" fontId="2" fillId="0" borderId="15" xfId="1" applyFont="1" applyBorder="1" applyAlignment="1">
      <alignment horizontal="center" vertical="center" wrapText="1"/>
    </xf>
    <xf numFmtId="0" fontId="2" fillId="0" borderId="13" xfId="1" applyFont="1"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2" borderId="12" xfId="0" applyFont="1" applyFill="1" applyBorder="1" applyAlignment="1">
      <alignment horizontal="center" vertical="center"/>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3" xfId="0" applyFont="1" applyBorder="1" applyAlignment="1">
      <alignment horizontal="center" vertical="top" wrapText="1"/>
    </xf>
    <xf numFmtId="0" fontId="2" fillId="0" borderId="20" xfId="0" applyFont="1" applyBorder="1" applyAlignment="1">
      <alignment horizontal="center" vertical="top"/>
    </xf>
    <xf numFmtId="0" fontId="3" fillId="0" borderId="15" xfId="0" applyFont="1" applyBorder="1" applyAlignment="1">
      <alignment horizontal="center"/>
    </xf>
    <xf numFmtId="0" fontId="3" fillId="0" borderId="13" xfId="0" applyFont="1" applyBorder="1" applyAlignment="1">
      <alignment horizont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3" fillId="2" borderId="8" xfId="0" applyFont="1" applyFill="1" applyBorder="1" applyAlignment="1">
      <alignment horizontal="center" vertical="center"/>
    </xf>
    <xf numFmtId="0" fontId="2" fillId="0" borderId="2" xfId="0" applyFont="1" applyBorder="1" applyAlignment="1">
      <alignment horizontal="center" vertical="center"/>
    </xf>
    <xf numFmtId="0" fontId="3" fillId="2" borderId="2" xfId="0" applyFont="1" applyFill="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164" fontId="2" fillId="0" borderId="2" xfId="0" applyNumberFormat="1" applyFont="1" applyFill="1" applyBorder="1" applyAlignment="1">
      <alignment horizontal="center" vertical="center"/>
    </xf>
    <xf numFmtId="0" fontId="3" fillId="0" borderId="2" xfId="0" applyFont="1" applyFill="1" applyBorder="1" applyAlignment="1">
      <alignment horizontal="left" vertical="center" wrapText="1"/>
    </xf>
    <xf numFmtId="0" fontId="3" fillId="0" borderId="2" xfId="0" applyFont="1" applyFill="1" applyBorder="1" applyAlignment="1">
      <alignment horizontal="center" vertical="center" wrapText="1"/>
    </xf>
    <xf numFmtId="0" fontId="2" fillId="0" borderId="2" xfId="0" applyFont="1" applyFill="1" applyBorder="1" applyAlignment="1">
      <alignment horizontal="center" vertical="center" wrapText="1"/>
    </xf>
  </cellXfs>
  <cellStyles count="3">
    <cellStyle name="Normal" xfId="0" builtinId="0"/>
    <cellStyle name="Normal 2" xfId="1" xr:uid="{6A822C37-42B2-425D-82DB-2BA12675BEBE}"/>
    <cellStyle name="Normal 5" xfId="2" xr:uid="{93386764-34E2-414D-85C2-EE255BAF51C5}"/>
  </cellStyles>
  <dxfs count="9">
    <dxf>
      <font>
        <color auto="1"/>
      </font>
    </dxf>
    <dxf>
      <font>
        <color auto="1"/>
      </font>
    </dxf>
    <dxf>
      <font>
        <color auto="1"/>
      </font>
    </dxf>
    <dxf>
      <font>
        <color auto="1"/>
      </font>
    </dxf>
    <dxf>
      <font>
        <color auto="1"/>
      </font>
    </dxf>
    <dxf>
      <font>
        <color auto="1"/>
      </font>
    </dxf>
    <dxf>
      <font>
        <color auto="1"/>
      </font>
    </dxf>
    <dxf>
      <font>
        <color auto="1"/>
      </font>
    </dxf>
    <dxf>
      <font>
        <color auto="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209550</xdr:colOff>
      <xdr:row>0</xdr:row>
      <xdr:rowOff>50801</xdr:rowOff>
    </xdr:from>
    <xdr:to>
      <xdr:col>1</xdr:col>
      <xdr:colOff>703685</xdr:colOff>
      <xdr:row>0</xdr:row>
      <xdr:rowOff>568325</xdr:rowOff>
    </xdr:to>
    <xdr:pic>
      <xdr:nvPicPr>
        <xdr:cNvPr id="2" name="Imagen 1">
          <a:extLst>
            <a:ext uri="{FF2B5EF4-FFF2-40B4-BE49-F238E27FC236}">
              <a16:creationId xmlns:a16="http://schemas.microsoft.com/office/drawing/2014/main" id="{5E89E99B-A730-4F64-ABEA-E606D8DEB0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50801"/>
          <a:ext cx="494135" cy="5175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209550</xdr:colOff>
      <xdr:row>0</xdr:row>
      <xdr:rowOff>50801</xdr:rowOff>
    </xdr:from>
    <xdr:to>
      <xdr:col>1</xdr:col>
      <xdr:colOff>703685</xdr:colOff>
      <xdr:row>0</xdr:row>
      <xdr:rowOff>568325</xdr:rowOff>
    </xdr:to>
    <xdr:pic>
      <xdr:nvPicPr>
        <xdr:cNvPr id="2" name="Imagen 1">
          <a:extLst>
            <a:ext uri="{FF2B5EF4-FFF2-40B4-BE49-F238E27FC236}">
              <a16:creationId xmlns:a16="http://schemas.microsoft.com/office/drawing/2014/main" id="{BFEA46E2-779C-4CE7-85AD-65DFFF2C4D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8450" y="53976"/>
          <a:ext cx="494135" cy="51434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209550</xdr:colOff>
      <xdr:row>0</xdr:row>
      <xdr:rowOff>50801</xdr:rowOff>
    </xdr:from>
    <xdr:to>
      <xdr:col>1</xdr:col>
      <xdr:colOff>703685</xdr:colOff>
      <xdr:row>0</xdr:row>
      <xdr:rowOff>568325</xdr:rowOff>
    </xdr:to>
    <xdr:pic>
      <xdr:nvPicPr>
        <xdr:cNvPr id="3" name="Imagen 2">
          <a:extLst>
            <a:ext uri="{FF2B5EF4-FFF2-40B4-BE49-F238E27FC236}">
              <a16:creationId xmlns:a16="http://schemas.microsoft.com/office/drawing/2014/main" id="{75C7A035-7CE0-61E5-AE92-B81894BBAF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8450" y="50801"/>
          <a:ext cx="494135" cy="51434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209550</xdr:colOff>
      <xdr:row>0</xdr:row>
      <xdr:rowOff>50801</xdr:rowOff>
    </xdr:from>
    <xdr:to>
      <xdr:col>1</xdr:col>
      <xdr:colOff>703685</xdr:colOff>
      <xdr:row>0</xdr:row>
      <xdr:rowOff>568325</xdr:rowOff>
    </xdr:to>
    <xdr:pic>
      <xdr:nvPicPr>
        <xdr:cNvPr id="2" name="Imagen 1">
          <a:extLst>
            <a:ext uri="{FF2B5EF4-FFF2-40B4-BE49-F238E27FC236}">
              <a16:creationId xmlns:a16="http://schemas.microsoft.com/office/drawing/2014/main" id="{FF9F9BBD-0F98-4CAE-9931-3AD65B7D79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8450" y="53976"/>
          <a:ext cx="494135" cy="51434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209550</xdr:colOff>
      <xdr:row>0</xdr:row>
      <xdr:rowOff>50801</xdr:rowOff>
    </xdr:from>
    <xdr:to>
      <xdr:col>1</xdr:col>
      <xdr:colOff>703685</xdr:colOff>
      <xdr:row>0</xdr:row>
      <xdr:rowOff>568325</xdr:rowOff>
    </xdr:to>
    <xdr:pic>
      <xdr:nvPicPr>
        <xdr:cNvPr id="2" name="Imagen 1">
          <a:extLst>
            <a:ext uri="{FF2B5EF4-FFF2-40B4-BE49-F238E27FC236}">
              <a16:creationId xmlns:a16="http://schemas.microsoft.com/office/drawing/2014/main" id="{0D983CCC-9A71-4E70-BC70-91D0B1F1B8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50801"/>
          <a:ext cx="494135" cy="51752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12933-DA5B-4AF2-9518-0058F2277C1A}">
  <sheetPr codeName="Hoja3"/>
  <dimension ref="B1:F43"/>
  <sheetViews>
    <sheetView showGridLines="0" view="pageBreakPreview" zoomScale="104" zoomScaleNormal="88" zoomScaleSheetLayoutView="104" workbookViewId="0">
      <selection activeCell="B11" sqref="B11"/>
    </sheetView>
  </sheetViews>
  <sheetFormatPr baseColWidth="10" defaultColWidth="10.85546875" defaultRowHeight="15.75" x14ac:dyDescent="0.25"/>
  <cols>
    <col min="1" max="1" width="1.28515625" style="11" customWidth="1"/>
    <col min="2" max="2" width="18.42578125" style="11" customWidth="1"/>
    <col min="3" max="3" width="16" style="11" customWidth="1"/>
    <col min="4" max="4" width="64.7109375" style="11" customWidth="1"/>
    <col min="5" max="5" width="65.5703125" style="11" bestFit="1" customWidth="1"/>
    <col min="6" max="6" width="4.140625" style="11" customWidth="1"/>
    <col min="7" max="16384" width="10.85546875" style="11"/>
  </cols>
  <sheetData>
    <row r="1" spans="2:5" s="1" customFormat="1" ht="51" customHeight="1" thickBot="1" x14ac:dyDescent="0.3">
      <c r="B1" s="27"/>
      <c r="C1" s="47" t="s">
        <v>141</v>
      </c>
      <c r="D1" s="48"/>
      <c r="E1" s="48"/>
    </row>
    <row r="2" spans="2:5" ht="16.149999999999999" customHeight="1" thickBot="1" x14ac:dyDescent="0.3">
      <c r="B2" s="49" t="s">
        <v>0</v>
      </c>
      <c r="C2" s="50"/>
      <c r="D2" s="51" t="s">
        <v>133</v>
      </c>
      <c r="E2" s="52"/>
    </row>
    <row r="3" spans="2:5" ht="16.5" thickBot="1" x14ac:dyDescent="0.3">
      <c r="B3" s="53" t="s">
        <v>1</v>
      </c>
      <c r="C3" s="54"/>
      <c r="D3" s="35">
        <v>46155</v>
      </c>
      <c r="E3" s="13" t="s">
        <v>142</v>
      </c>
    </row>
    <row r="4" spans="2:5" ht="16.5" thickBot="1" x14ac:dyDescent="0.3">
      <c r="B4" s="1"/>
      <c r="C4" s="1"/>
      <c r="D4" s="1"/>
      <c r="E4" s="1"/>
    </row>
    <row r="5" spans="2:5" ht="16.5" thickBot="1" x14ac:dyDescent="0.3">
      <c r="B5" s="14">
        <v>0.33333333333333331</v>
      </c>
      <c r="C5" s="15">
        <f>B5+(30/1440)</f>
        <v>0.35416666666666663</v>
      </c>
      <c r="D5" s="55" t="s">
        <v>2</v>
      </c>
      <c r="E5" s="55"/>
    </row>
    <row r="6" spans="2:5" ht="16.5" thickBot="1" x14ac:dyDescent="0.3">
      <c r="B6" s="44" t="s">
        <v>3</v>
      </c>
      <c r="C6" s="45"/>
      <c r="D6" s="2" t="s">
        <v>4</v>
      </c>
      <c r="E6" s="2" t="s">
        <v>5</v>
      </c>
    </row>
    <row r="7" spans="2:5" x14ac:dyDescent="0.25">
      <c r="B7" s="3">
        <f>+C5</f>
        <v>0.35416666666666663</v>
      </c>
      <c r="C7" s="4">
        <f>B7+(5/1440)</f>
        <v>0.35763888888888884</v>
      </c>
      <c r="D7" s="5" t="s">
        <v>73</v>
      </c>
      <c r="E7" s="28"/>
    </row>
    <row r="8" spans="2:5" x14ac:dyDescent="0.25">
      <c r="B8" s="3">
        <f>+C7</f>
        <v>0.35763888888888884</v>
      </c>
      <c r="C8" s="4">
        <f>B8+(5/1440)</f>
        <v>0.36111111111111105</v>
      </c>
      <c r="D8" s="5" t="s">
        <v>74</v>
      </c>
      <c r="E8" s="28"/>
    </row>
    <row r="9" spans="2:5" x14ac:dyDescent="0.25">
      <c r="B9" s="21"/>
      <c r="C9" s="22"/>
      <c r="D9" s="20"/>
      <c r="E9" s="20" t="s">
        <v>67</v>
      </c>
    </row>
    <row r="10" spans="2:5" ht="31.5" x14ac:dyDescent="0.25">
      <c r="B10" s="6">
        <f>+C8</f>
        <v>0.36111111111111105</v>
      </c>
      <c r="C10" s="7">
        <f>B10+(20/1440)</f>
        <v>0.37499999999999994</v>
      </c>
      <c r="D10" s="29" t="s">
        <v>10</v>
      </c>
      <c r="E10" s="28" t="s">
        <v>77</v>
      </c>
    </row>
    <row r="11" spans="2:5" ht="47.25" x14ac:dyDescent="0.25">
      <c r="B11" s="6">
        <f>+C10</f>
        <v>0.37499999999999994</v>
      </c>
      <c r="C11" s="7">
        <f>B11+(20/1440)</f>
        <v>0.38888888888888884</v>
      </c>
      <c r="D11" s="29" t="s">
        <v>37</v>
      </c>
      <c r="E11" s="28" t="s">
        <v>78</v>
      </c>
    </row>
    <row r="12" spans="2:5" ht="63" x14ac:dyDescent="0.25">
      <c r="B12" s="6">
        <f>C11</f>
        <v>0.38888888888888884</v>
      </c>
      <c r="C12" s="7">
        <f>B12+(40/1440)</f>
        <v>0.41666666666666663</v>
      </c>
      <c r="D12" s="29" t="s">
        <v>71</v>
      </c>
      <c r="E12" s="28" t="s">
        <v>79</v>
      </c>
    </row>
    <row r="13" spans="2:5" x14ac:dyDescent="0.25">
      <c r="B13" s="21"/>
      <c r="C13" s="22"/>
      <c r="D13" s="20"/>
      <c r="E13" s="20" t="s">
        <v>66</v>
      </c>
    </row>
    <row r="14" spans="2:5" x14ac:dyDescent="0.25">
      <c r="B14" s="6">
        <f>+C12</f>
        <v>0.41666666666666663</v>
      </c>
      <c r="C14" s="7">
        <f>B14+(20/1440)</f>
        <v>0.43055555555555552</v>
      </c>
      <c r="D14" s="29" t="s">
        <v>129</v>
      </c>
      <c r="E14" s="28"/>
    </row>
    <row r="15" spans="2:5" ht="31.5" x14ac:dyDescent="0.25">
      <c r="B15" s="6">
        <f>+C14</f>
        <v>0.43055555555555552</v>
      </c>
      <c r="C15" s="7">
        <f>B15+(20/1440)</f>
        <v>0.44444444444444442</v>
      </c>
      <c r="D15" s="29" t="s">
        <v>8</v>
      </c>
      <c r="E15" s="28" t="s">
        <v>80</v>
      </c>
    </row>
    <row r="16" spans="2:5" ht="31.5" x14ac:dyDescent="0.25">
      <c r="B16" s="6">
        <f t="shared" ref="B16:B17" si="0">+C15</f>
        <v>0.44444444444444442</v>
      </c>
      <c r="C16" s="7">
        <f>B16+(20/1440)</f>
        <v>0.45833333333333331</v>
      </c>
      <c r="D16" s="29" t="s">
        <v>11</v>
      </c>
      <c r="E16" s="28" t="s">
        <v>81</v>
      </c>
    </row>
    <row r="17" spans="2:5" ht="47.25" x14ac:dyDescent="0.25">
      <c r="B17" s="6">
        <f t="shared" si="0"/>
        <v>0.45833333333333331</v>
      </c>
      <c r="C17" s="7">
        <f>B17+(20/1440)</f>
        <v>0.47222222222222221</v>
      </c>
      <c r="D17" s="29" t="s">
        <v>13</v>
      </c>
      <c r="E17" s="28" t="s">
        <v>82</v>
      </c>
    </row>
    <row r="18" spans="2:5" ht="16.5" thickBot="1" x14ac:dyDescent="0.3">
      <c r="B18" s="1"/>
      <c r="C18" s="1"/>
      <c r="D18" s="1"/>
      <c r="E18" s="1"/>
    </row>
    <row r="19" spans="2:5" ht="16.5" thickBot="1" x14ac:dyDescent="0.3">
      <c r="B19" s="16">
        <f>+C17</f>
        <v>0.47222222222222221</v>
      </c>
      <c r="C19" s="17">
        <f>B19+(20/1440)</f>
        <v>0.4861111111111111</v>
      </c>
      <c r="D19" s="46" t="s">
        <v>6</v>
      </c>
      <c r="E19" s="46"/>
    </row>
    <row r="20" spans="2:5" x14ac:dyDescent="0.25">
      <c r="B20" s="1"/>
      <c r="C20" s="1"/>
      <c r="D20" s="1"/>
      <c r="E20" s="1"/>
    </row>
    <row r="21" spans="2:5" ht="47.25" x14ac:dyDescent="0.25">
      <c r="B21" s="6">
        <f>+C19</f>
        <v>0.4861111111111111</v>
      </c>
      <c r="C21" s="7">
        <f>B21+(20/1440)</f>
        <v>0.5</v>
      </c>
      <c r="D21" s="29" t="s">
        <v>14</v>
      </c>
      <c r="E21" s="28" t="s">
        <v>136</v>
      </c>
    </row>
    <row r="22" spans="2:5" ht="31.5" x14ac:dyDescent="0.25">
      <c r="B22" s="60">
        <f>C21</f>
        <v>0.5</v>
      </c>
      <c r="C22" s="60">
        <f>B22+(20/1440)</f>
        <v>0.51388888888888884</v>
      </c>
      <c r="D22" s="61" t="s">
        <v>15</v>
      </c>
      <c r="E22" s="62" t="s">
        <v>83</v>
      </c>
    </row>
    <row r="23" spans="2:5" ht="31.5" x14ac:dyDescent="0.25">
      <c r="B23" s="7">
        <f>+C22</f>
        <v>0.51388888888888884</v>
      </c>
      <c r="C23" s="7">
        <f>B23+(40/1440)</f>
        <v>0.54166666666666663</v>
      </c>
      <c r="D23" s="29"/>
      <c r="E23" s="28" t="s">
        <v>86</v>
      </c>
    </row>
    <row r="24" spans="2:5" ht="16.5" thickBot="1" x14ac:dyDescent="0.3">
      <c r="B24" s="1"/>
      <c r="C24" s="1"/>
      <c r="D24" s="1"/>
      <c r="E24" s="1"/>
    </row>
    <row r="25" spans="2:5" ht="16.5" thickBot="1" x14ac:dyDescent="0.3">
      <c r="B25" s="16">
        <f>+C23</f>
        <v>0.54166666666666663</v>
      </c>
      <c r="C25" s="17">
        <f>B25+(60/1440)</f>
        <v>0.58333333333333326</v>
      </c>
      <c r="D25" s="46" t="s">
        <v>64</v>
      </c>
      <c r="E25" s="46"/>
    </row>
    <row r="26" spans="2:5" x14ac:dyDescent="0.25">
      <c r="B26" s="1"/>
      <c r="C26" s="1"/>
      <c r="D26" s="1"/>
      <c r="E26" s="1"/>
    </row>
    <row r="27" spans="2:5" ht="47.25" x14ac:dyDescent="0.25">
      <c r="B27" s="7">
        <f>+C25</f>
        <v>0.58333333333333326</v>
      </c>
      <c r="C27" s="7">
        <f t="shared" ref="C27:C32" si="1">B27+(20/1440)</f>
        <v>0.5972222222222221</v>
      </c>
      <c r="D27" s="29" t="s">
        <v>18</v>
      </c>
      <c r="E27" s="28" t="s">
        <v>137</v>
      </c>
    </row>
    <row r="28" spans="2:5" ht="31.5" x14ac:dyDescent="0.25">
      <c r="B28" s="7">
        <f>+C27</f>
        <v>0.5972222222222221</v>
      </c>
      <c r="C28" s="7">
        <f t="shared" si="1"/>
        <v>0.61111111111111094</v>
      </c>
      <c r="D28" s="29" t="s">
        <v>23</v>
      </c>
      <c r="E28" s="28" t="s">
        <v>84</v>
      </c>
    </row>
    <row r="29" spans="2:5" x14ac:dyDescent="0.25">
      <c r="B29" s="6">
        <f>+C28</f>
        <v>0.61111111111111094</v>
      </c>
      <c r="C29" s="7">
        <f t="shared" si="1"/>
        <v>0.62499999999999978</v>
      </c>
      <c r="D29" s="29" t="s">
        <v>129</v>
      </c>
      <c r="E29" s="28"/>
    </row>
    <row r="30" spans="2:5" ht="47.25" x14ac:dyDescent="0.25">
      <c r="B30" s="7">
        <f>+C29</f>
        <v>0.62499999999999978</v>
      </c>
      <c r="C30" s="7">
        <f t="shared" si="1"/>
        <v>0.63888888888888862</v>
      </c>
      <c r="D30" s="29" t="s">
        <v>31</v>
      </c>
      <c r="E30" s="28" t="s">
        <v>85</v>
      </c>
    </row>
    <row r="31" spans="2:5" ht="31.5" x14ac:dyDescent="0.25">
      <c r="B31" s="7">
        <f t="shared" ref="B31:B33" si="2">+C30</f>
        <v>0.63888888888888862</v>
      </c>
      <c r="C31" s="7">
        <f t="shared" si="1"/>
        <v>0.65277777777777746</v>
      </c>
      <c r="D31" s="29" t="s">
        <v>36</v>
      </c>
      <c r="E31" s="28" t="s">
        <v>84</v>
      </c>
    </row>
    <row r="32" spans="2:5" ht="47.25" x14ac:dyDescent="0.25">
      <c r="B32" s="7">
        <f t="shared" si="2"/>
        <v>0.65277777777777746</v>
      </c>
      <c r="C32" s="7">
        <f t="shared" si="1"/>
        <v>0.6666666666666663</v>
      </c>
      <c r="D32" s="29" t="s">
        <v>41</v>
      </c>
      <c r="E32" s="28" t="s">
        <v>88</v>
      </c>
    </row>
    <row r="33" spans="2:6" ht="16.5" thickBot="1" x14ac:dyDescent="0.3">
      <c r="B33" s="7">
        <f t="shared" si="2"/>
        <v>0.6666666666666663</v>
      </c>
      <c r="C33" s="9">
        <f>B33+(5/1440)</f>
        <v>0.67013888888888851</v>
      </c>
      <c r="D33" s="10" t="s">
        <v>76</v>
      </c>
      <c r="E33" s="10" t="s">
        <v>128</v>
      </c>
    </row>
    <row r="34" spans="2:6" ht="16.5" thickBot="1" x14ac:dyDescent="0.3">
      <c r="B34" s="16">
        <f>+C33</f>
        <v>0.67013888888888851</v>
      </c>
      <c r="C34" s="17">
        <f>B34+(20/1440)</f>
        <v>0.68402777777777735</v>
      </c>
      <c r="D34" s="46" t="s">
        <v>127</v>
      </c>
      <c r="E34" s="46"/>
    </row>
    <row r="35" spans="2:6" x14ac:dyDescent="0.25">
      <c r="B35" s="38" t="s">
        <v>7</v>
      </c>
      <c r="C35" s="39"/>
      <c r="D35" s="39"/>
      <c r="E35" s="39"/>
    </row>
    <row r="36" spans="2:6" x14ac:dyDescent="0.25">
      <c r="B36" s="40"/>
      <c r="C36" s="41"/>
      <c r="D36" s="41"/>
      <c r="E36" s="41"/>
    </row>
    <row r="37" spans="2:6" ht="16.5" thickBot="1" x14ac:dyDescent="0.3">
      <c r="B37" s="42"/>
      <c r="C37" s="43"/>
      <c r="D37" s="43"/>
      <c r="E37" s="43"/>
    </row>
    <row r="38" spans="2:6" x14ac:dyDescent="0.25">
      <c r="B38" s="18"/>
      <c r="C38" s="18"/>
      <c r="D38" s="18"/>
      <c r="E38" s="18"/>
    </row>
    <row r="39" spans="2:6" x14ac:dyDescent="0.25">
      <c r="B39" s="18"/>
      <c r="C39" s="18"/>
      <c r="D39" s="18"/>
      <c r="E39" s="36"/>
      <c r="F39" s="36"/>
    </row>
    <row r="40" spans="2:6" x14ac:dyDescent="0.25">
      <c r="E40" s="36"/>
      <c r="F40" s="36"/>
    </row>
    <row r="41" spans="2:6" x14ac:dyDescent="0.25">
      <c r="E41" s="36"/>
      <c r="F41" s="36"/>
    </row>
    <row r="42" spans="2:6" x14ac:dyDescent="0.25">
      <c r="E42" s="36"/>
      <c r="F42" s="36"/>
    </row>
    <row r="43" spans="2:6" x14ac:dyDescent="0.25">
      <c r="E43" s="36"/>
      <c r="F43" s="36"/>
    </row>
  </sheetData>
  <mergeCells count="10">
    <mergeCell ref="D19:E19"/>
    <mergeCell ref="B35:E37"/>
    <mergeCell ref="D34:E34"/>
    <mergeCell ref="C1:E1"/>
    <mergeCell ref="B2:C2"/>
    <mergeCell ref="D2:E2"/>
    <mergeCell ref="B3:C3"/>
    <mergeCell ref="D5:E5"/>
    <mergeCell ref="B6:C6"/>
    <mergeCell ref="D25:E25"/>
  </mergeCells>
  <conditionalFormatting sqref="B1:C1">
    <cfRule type="containsText" dxfId="8" priority="2" operator="containsText" text="1">
      <formula>NOT(ISERROR(SEARCH("1",B1)))</formula>
    </cfRule>
  </conditionalFormatting>
  <pageMargins left="0.7" right="0.7" top="0.75" bottom="0.75" header="0.3" footer="0.3"/>
  <pageSetup scale="2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FCF8E-B87C-4392-8929-025D18DAD290}">
  <dimension ref="B1:E40"/>
  <sheetViews>
    <sheetView showGridLines="0" view="pageBreakPreview" zoomScaleNormal="88" zoomScaleSheetLayoutView="100" workbookViewId="0">
      <selection activeCell="C1" sqref="C1:E1"/>
    </sheetView>
  </sheetViews>
  <sheetFormatPr baseColWidth="10" defaultColWidth="10.85546875" defaultRowHeight="15.75" x14ac:dyDescent="0.25"/>
  <cols>
    <col min="1" max="1" width="1.28515625" style="11" customWidth="1"/>
    <col min="2" max="2" width="18.42578125" style="11" customWidth="1"/>
    <col min="3" max="3" width="16" style="11" customWidth="1"/>
    <col min="4" max="4" width="64.7109375" style="11" customWidth="1"/>
    <col min="5" max="5" width="52.5703125" style="11" customWidth="1"/>
    <col min="6" max="6" width="2.140625" style="11" customWidth="1"/>
    <col min="7" max="16384" width="10.85546875" style="11"/>
  </cols>
  <sheetData>
    <row r="1" spans="2:5" s="1" customFormat="1" ht="51" customHeight="1" thickBot="1" x14ac:dyDescent="0.3">
      <c r="B1" s="27"/>
      <c r="C1" s="47" t="s">
        <v>141</v>
      </c>
      <c r="D1" s="48"/>
      <c r="E1" s="48"/>
    </row>
    <row r="2" spans="2:5" ht="16.149999999999999" customHeight="1" thickBot="1" x14ac:dyDescent="0.3">
      <c r="B2" s="49" t="s">
        <v>0</v>
      </c>
      <c r="C2" s="50"/>
      <c r="D2" s="51" t="s">
        <v>133</v>
      </c>
      <c r="E2" s="52"/>
    </row>
    <row r="3" spans="2:5" ht="16.5" thickBot="1" x14ac:dyDescent="0.3">
      <c r="B3" s="53" t="s">
        <v>1</v>
      </c>
      <c r="C3" s="54"/>
      <c r="D3" s="35">
        <v>46155</v>
      </c>
      <c r="E3" s="13" t="s">
        <v>143</v>
      </c>
    </row>
    <row r="4" spans="2:5" ht="16.5" thickBot="1" x14ac:dyDescent="0.3">
      <c r="B4" s="1"/>
      <c r="C4" s="1"/>
      <c r="D4" s="1"/>
      <c r="E4" s="1"/>
    </row>
    <row r="5" spans="2:5" ht="16.5" thickBot="1" x14ac:dyDescent="0.3">
      <c r="B5" s="14">
        <v>0.33333333333333331</v>
      </c>
      <c r="C5" s="15">
        <f>B5+(30/1440)</f>
        <v>0.35416666666666663</v>
      </c>
      <c r="D5" s="55" t="s">
        <v>2</v>
      </c>
      <c r="E5" s="55"/>
    </row>
    <row r="6" spans="2:5" ht="16.5" thickBot="1" x14ac:dyDescent="0.3">
      <c r="B6" s="44" t="s">
        <v>3</v>
      </c>
      <c r="C6" s="45"/>
      <c r="D6" s="2" t="s">
        <v>4</v>
      </c>
      <c r="E6" s="2" t="s">
        <v>5</v>
      </c>
    </row>
    <row r="7" spans="2:5" x14ac:dyDescent="0.25">
      <c r="B7" s="21"/>
      <c r="C7" s="22"/>
      <c r="D7" s="20"/>
      <c r="E7" s="20" t="s">
        <v>66</v>
      </c>
    </row>
    <row r="8" spans="2:5" x14ac:dyDescent="0.25">
      <c r="B8" s="3">
        <f>+C5</f>
        <v>0.35416666666666663</v>
      </c>
      <c r="C8" s="4">
        <f>B8+(5/1440)</f>
        <v>0.35763888888888884</v>
      </c>
      <c r="D8" s="5" t="s">
        <v>73</v>
      </c>
      <c r="E8" s="28"/>
    </row>
    <row r="9" spans="2:5" x14ac:dyDescent="0.25">
      <c r="B9" s="3">
        <f>+C8</f>
        <v>0.35763888888888884</v>
      </c>
      <c r="C9" s="4">
        <f>B9+(5/1440)</f>
        <v>0.36111111111111105</v>
      </c>
      <c r="D9" s="5" t="s">
        <v>74</v>
      </c>
      <c r="E9" s="28"/>
    </row>
    <row r="10" spans="2:5" ht="47.25" x14ac:dyDescent="0.25">
      <c r="B10" s="7">
        <f>+C9</f>
        <v>0.36111111111111105</v>
      </c>
      <c r="C10" s="7">
        <f>B10+(20/1440)</f>
        <v>0.37499999999999994</v>
      </c>
      <c r="D10" s="29" t="s">
        <v>47</v>
      </c>
      <c r="E10" s="28" t="s">
        <v>89</v>
      </c>
    </row>
    <row r="11" spans="2:5" x14ac:dyDescent="0.25">
      <c r="B11" s="7">
        <f t="shared" ref="B11:B14" si="0">C10</f>
        <v>0.37499999999999994</v>
      </c>
      <c r="C11" s="7">
        <f>B11+(20/1440)</f>
        <v>0.38888888888888884</v>
      </c>
      <c r="D11" s="29" t="s">
        <v>129</v>
      </c>
      <c r="E11" s="28"/>
    </row>
    <row r="12" spans="2:5" ht="31.5" x14ac:dyDescent="0.25">
      <c r="B12" s="7">
        <f t="shared" si="0"/>
        <v>0.38888888888888884</v>
      </c>
      <c r="C12" s="7">
        <f>B12+(20/1440)</f>
        <v>0.40277777777777773</v>
      </c>
      <c r="D12" s="29" t="s">
        <v>54</v>
      </c>
      <c r="E12" s="28" t="s">
        <v>139</v>
      </c>
    </row>
    <row r="13" spans="2:5" ht="47.25" x14ac:dyDescent="0.25">
      <c r="B13" s="7">
        <f t="shared" si="0"/>
        <v>0.40277777777777773</v>
      </c>
      <c r="C13" s="7">
        <f>B13+(20/1440)</f>
        <v>0.41666666666666663</v>
      </c>
      <c r="D13" s="29" t="s">
        <v>57</v>
      </c>
      <c r="E13" s="28" t="s">
        <v>90</v>
      </c>
    </row>
    <row r="14" spans="2:5" ht="31.5" x14ac:dyDescent="0.25">
      <c r="B14" s="7">
        <f t="shared" si="0"/>
        <v>0.41666666666666663</v>
      </c>
      <c r="C14" s="7">
        <f>B14+(40/1440)</f>
        <v>0.44444444444444442</v>
      </c>
      <c r="D14" s="28" t="s">
        <v>134</v>
      </c>
      <c r="E14" s="28" t="s">
        <v>135</v>
      </c>
    </row>
    <row r="15" spans="2:5" ht="16.5" thickBot="1" x14ac:dyDescent="0.3">
      <c r="B15" s="1"/>
      <c r="C15" s="1"/>
      <c r="D15" s="1"/>
      <c r="E15" s="1"/>
    </row>
    <row r="16" spans="2:5" ht="16.5" thickBot="1" x14ac:dyDescent="0.3">
      <c r="B16" s="16">
        <f>+C14</f>
        <v>0.44444444444444442</v>
      </c>
      <c r="C16" s="17">
        <f>B16+(20/1440)</f>
        <v>0.45833333333333331</v>
      </c>
      <c r="D16" s="46" t="s">
        <v>6</v>
      </c>
      <c r="E16" s="46"/>
    </row>
    <row r="17" spans="2:5" x14ac:dyDescent="0.25">
      <c r="B17" s="1"/>
      <c r="C17" s="1"/>
      <c r="D17" s="1"/>
      <c r="E17" s="1"/>
    </row>
    <row r="18" spans="2:5" x14ac:dyDescent="0.25">
      <c r="B18" s="24"/>
      <c r="C18" s="25"/>
      <c r="D18" s="26"/>
      <c r="E18" s="26" t="s">
        <v>68</v>
      </c>
    </row>
    <row r="19" spans="2:5" ht="47.25" x14ac:dyDescent="0.25">
      <c r="B19" s="7">
        <f>+C16</f>
        <v>0.45833333333333331</v>
      </c>
      <c r="C19" s="7">
        <f>B19+(20/1440)</f>
        <v>0.47222222222222221</v>
      </c>
      <c r="D19" s="29" t="s">
        <v>53</v>
      </c>
      <c r="E19" s="28" t="s">
        <v>92</v>
      </c>
    </row>
    <row r="20" spans="2:5" ht="47.25" x14ac:dyDescent="0.25">
      <c r="B20" s="7">
        <f>+C19</f>
        <v>0.47222222222222221</v>
      </c>
      <c r="C20" s="7">
        <f>B20+(20/1440)</f>
        <v>0.4861111111111111</v>
      </c>
      <c r="D20" s="29" t="s">
        <v>29</v>
      </c>
      <c r="E20" s="28" t="s">
        <v>84</v>
      </c>
    </row>
    <row r="21" spans="2:5" ht="31.5" x14ac:dyDescent="0.25">
      <c r="B21" s="7">
        <f>+C20</f>
        <v>0.4861111111111111</v>
      </c>
      <c r="C21" s="7">
        <f>B21+(20/1440)</f>
        <v>0.5</v>
      </c>
      <c r="D21" s="29" t="s">
        <v>30</v>
      </c>
      <c r="E21" s="28" t="s">
        <v>61</v>
      </c>
    </row>
    <row r="22" spans="2:5" ht="47.25" x14ac:dyDescent="0.25">
      <c r="B22" s="7">
        <f>+C21</f>
        <v>0.5</v>
      </c>
      <c r="C22" s="7">
        <f>B22+(20/1440)</f>
        <v>0.51388888888888884</v>
      </c>
      <c r="D22" s="29" t="s">
        <v>32</v>
      </c>
      <c r="E22" s="28" t="s">
        <v>93</v>
      </c>
    </row>
    <row r="23" spans="2:5" ht="47.25" x14ac:dyDescent="0.25">
      <c r="B23" s="7">
        <f>+C22</f>
        <v>0.51388888888888884</v>
      </c>
      <c r="C23" s="7">
        <f>B23+(20/1440)</f>
        <v>0.52777777777777768</v>
      </c>
      <c r="D23" s="29" t="s">
        <v>24</v>
      </c>
      <c r="E23" s="28" t="s">
        <v>94</v>
      </c>
    </row>
    <row r="24" spans="2:5" ht="16.5" thickBot="1" x14ac:dyDescent="0.3">
      <c r="B24" s="1"/>
      <c r="C24" s="1"/>
      <c r="D24" s="1"/>
      <c r="E24" s="1"/>
    </row>
    <row r="25" spans="2:5" ht="16.5" thickBot="1" x14ac:dyDescent="0.3">
      <c r="B25" s="16">
        <f>+C23</f>
        <v>0.52777777777777768</v>
      </c>
      <c r="C25" s="17">
        <f>B25+(60/1440)</f>
        <v>0.56944444444444431</v>
      </c>
      <c r="D25" s="46" t="s">
        <v>64</v>
      </c>
      <c r="E25" s="46"/>
    </row>
    <row r="26" spans="2:5" x14ac:dyDescent="0.25">
      <c r="B26" s="1"/>
      <c r="C26" s="1"/>
      <c r="D26" s="1"/>
      <c r="E26" s="1"/>
    </row>
    <row r="27" spans="2:5" ht="47.25" x14ac:dyDescent="0.25">
      <c r="B27" s="7">
        <f>+C25</f>
        <v>0.56944444444444431</v>
      </c>
      <c r="C27" s="7">
        <f>B27+(20/1440)</f>
        <v>0.58333333333333315</v>
      </c>
      <c r="D27" s="29" t="s">
        <v>52</v>
      </c>
      <c r="E27" s="28" t="s">
        <v>92</v>
      </c>
    </row>
    <row r="28" spans="2:5" x14ac:dyDescent="0.25">
      <c r="B28" s="24"/>
      <c r="C28" s="25"/>
      <c r="D28" s="26"/>
      <c r="E28" s="26" t="s">
        <v>62</v>
      </c>
    </row>
    <row r="29" spans="2:5" ht="63" x14ac:dyDescent="0.25">
      <c r="B29" s="7">
        <f>+C27</f>
        <v>0.58333333333333315</v>
      </c>
      <c r="C29" s="7">
        <f>B29+(20/1440)</f>
        <v>0.59722222222222199</v>
      </c>
      <c r="D29" s="29" t="s">
        <v>9</v>
      </c>
      <c r="E29" s="28" t="s">
        <v>95</v>
      </c>
    </row>
    <row r="30" spans="2:5" x14ac:dyDescent="0.25">
      <c r="B30" s="7">
        <f>+C29</f>
        <v>0.59722222222222199</v>
      </c>
      <c r="C30" s="7">
        <f>B30+(20/1440)</f>
        <v>0.61111111111111083</v>
      </c>
      <c r="D30" s="29" t="s">
        <v>129</v>
      </c>
      <c r="E30" s="28"/>
    </row>
    <row r="31" spans="2:5" ht="31.5" x14ac:dyDescent="0.25">
      <c r="B31" s="7">
        <f>+C30</f>
        <v>0.61111111111111083</v>
      </c>
      <c r="C31" s="7">
        <f>B31+(40/1440)</f>
        <v>0.63888888888888862</v>
      </c>
      <c r="D31" s="37" t="s">
        <v>138</v>
      </c>
      <c r="E31" s="30" t="s">
        <v>91</v>
      </c>
    </row>
    <row r="32" spans="2:5" ht="47.25" x14ac:dyDescent="0.25">
      <c r="B32" s="7">
        <f>C31</f>
        <v>0.63888888888888862</v>
      </c>
      <c r="C32" s="7">
        <f>B32+(20/1440)</f>
        <v>0.65277777777777746</v>
      </c>
      <c r="D32" s="29" t="s">
        <v>16</v>
      </c>
      <c r="E32" s="28" t="s">
        <v>96</v>
      </c>
    </row>
    <row r="33" spans="2:5" ht="16.5" thickBot="1" x14ac:dyDescent="0.3">
      <c r="B33" s="7">
        <f>+C32</f>
        <v>0.65277777777777746</v>
      </c>
      <c r="C33" s="9">
        <f>B33+(5/1440)</f>
        <v>0.65624999999999967</v>
      </c>
      <c r="D33" s="10" t="s">
        <v>76</v>
      </c>
      <c r="E33" s="10" t="s">
        <v>128</v>
      </c>
    </row>
    <row r="34" spans="2:5" ht="16.5" thickBot="1" x14ac:dyDescent="0.3">
      <c r="B34" s="16">
        <f>+C33</f>
        <v>0.65624999999999967</v>
      </c>
      <c r="C34" s="17">
        <f>B34+(20/1440)</f>
        <v>0.67013888888888851</v>
      </c>
      <c r="D34" s="46" t="s">
        <v>127</v>
      </c>
      <c r="E34" s="46"/>
    </row>
    <row r="35" spans="2:5" ht="16.5" thickBot="1" x14ac:dyDescent="0.3">
      <c r="B35" s="12"/>
      <c r="C35" s="12"/>
    </row>
    <row r="36" spans="2:5" x14ac:dyDescent="0.25">
      <c r="B36" s="38" t="s">
        <v>7</v>
      </c>
      <c r="C36" s="39"/>
      <c r="D36" s="39"/>
      <c r="E36" s="39"/>
    </row>
    <row r="37" spans="2:5" x14ac:dyDescent="0.25">
      <c r="B37" s="40"/>
      <c r="C37" s="41"/>
      <c r="D37" s="41"/>
      <c r="E37" s="41"/>
    </row>
    <row r="38" spans="2:5" ht="16.5" thickBot="1" x14ac:dyDescent="0.3">
      <c r="B38" s="42"/>
      <c r="C38" s="43"/>
      <c r="D38" s="43"/>
      <c r="E38" s="43"/>
    </row>
    <row r="39" spans="2:5" x14ac:dyDescent="0.25">
      <c r="B39" s="18"/>
      <c r="C39" s="18"/>
      <c r="D39" s="18"/>
      <c r="E39" s="18"/>
    </row>
    <row r="40" spans="2:5" x14ac:dyDescent="0.25">
      <c r="B40" s="18"/>
      <c r="C40" s="18"/>
      <c r="D40" s="18"/>
      <c r="E40" s="18"/>
    </row>
  </sheetData>
  <mergeCells count="10">
    <mergeCell ref="B36:E38"/>
    <mergeCell ref="D16:E16"/>
    <mergeCell ref="D25:E25"/>
    <mergeCell ref="D34:E34"/>
    <mergeCell ref="C1:E1"/>
    <mergeCell ref="B2:C2"/>
    <mergeCell ref="D2:E2"/>
    <mergeCell ref="B3:C3"/>
    <mergeCell ref="D5:E5"/>
    <mergeCell ref="B6:C6"/>
  </mergeCells>
  <conditionalFormatting sqref="B1">
    <cfRule type="containsText" dxfId="7" priority="3" operator="containsText" text="1">
      <formula>NOT(ISERROR(SEARCH("1",B1)))</formula>
    </cfRule>
  </conditionalFormatting>
  <conditionalFormatting sqref="C1">
    <cfRule type="containsText" dxfId="6" priority="1" operator="containsText" text="1">
      <formula>NOT(ISERROR(SEARCH("1",C1)))</formula>
    </cfRule>
  </conditionalFormatting>
  <pageMargins left="0.7" right="0.7" top="0.75" bottom="0.75" header="0.3" footer="0.3"/>
  <pageSetup scale="5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DCEDF-C644-41E8-ACB9-8FD4BAED2D3B}">
  <sheetPr codeName="Hoja2"/>
  <dimension ref="B1:E40"/>
  <sheetViews>
    <sheetView showGridLines="0" tabSelected="1" view="pageBreakPreview" zoomScaleNormal="90" zoomScaleSheetLayoutView="100" workbookViewId="0">
      <selection activeCell="D8" sqref="D8"/>
    </sheetView>
  </sheetViews>
  <sheetFormatPr baseColWidth="10" defaultColWidth="10.85546875" defaultRowHeight="15.75" x14ac:dyDescent="0.25"/>
  <cols>
    <col min="1" max="1" width="1.28515625" style="11" customWidth="1"/>
    <col min="2" max="2" width="18.42578125" style="11" customWidth="1"/>
    <col min="3" max="3" width="13.85546875" style="11" bestFit="1" customWidth="1"/>
    <col min="4" max="4" width="57.28515625" style="11" customWidth="1"/>
    <col min="5" max="5" width="76.140625" style="11" bestFit="1" customWidth="1"/>
    <col min="6" max="6" width="3.28515625" style="11" customWidth="1"/>
    <col min="7" max="16384" width="10.85546875" style="11"/>
  </cols>
  <sheetData>
    <row r="1" spans="2:5" s="1" customFormat="1" ht="51" customHeight="1" thickBot="1" x14ac:dyDescent="0.3">
      <c r="B1" s="27"/>
      <c r="C1" s="47" t="s">
        <v>141</v>
      </c>
      <c r="D1" s="48"/>
      <c r="E1" s="48"/>
    </row>
    <row r="2" spans="2:5" ht="16.149999999999999" customHeight="1" thickBot="1" x14ac:dyDescent="0.3">
      <c r="B2" s="49" t="s">
        <v>0</v>
      </c>
      <c r="C2" s="50"/>
      <c r="D2" s="51" t="s">
        <v>133</v>
      </c>
      <c r="E2" s="52"/>
    </row>
    <row r="3" spans="2:5" ht="16.5" thickBot="1" x14ac:dyDescent="0.3">
      <c r="B3" s="53" t="s">
        <v>1</v>
      </c>
      <c r="C3" s="54"/>
      <c r="D3" s="35">
        <v>46156</v>
      </c>
      <c r="E3" s="13" t="s">
        <v>144</v>
      </c>
    </row>
    <row r="4" spans="2:5" x14ac:dyDescent="0.25">
      <c r="B4" s="1"/>
      <c r="C4" s="1"/>
      <c r="D4" s="1"/>
      <c r="E4" s="1"/>
    </row>
    <row r="5" spans="2:5" x14ac:dyDescent="0.25">
      <c r="B5" s="33">
        <v>0.33333333333333331</v>
      </c>
      <c r="C5" s="33">
        <f>B5+(30/1440)</f>
        <v>0.35416666666666663</v>
      </c>
      <c r="D5" s="57" t="s">
        <v>2</v>
      </c>
      <c r="E5" s="57"/>
    </row>
    <row r="6" spans="2:5" x14ac:dyDescent="0.25">
      <c r="B6" s="56" t="s">
        <v>3</v>
      </c>
      <c r="C6" s="56"/>
      <c r="D6" s="34" t="s">
        <v>4</v>
      </c>
      <c r="E6" s="34" t="s">
        <v>5</v>
      </c>
    </row>
    <row r="7" spans="2:5" x14ac:dyDescent="0.25">
      <c r="B7" s="24"/>
      <c r="C7" s="25"/>
      <c r="D7" s="26"/>
      <c r="E7" s="26" t="s">
        <v>62</v>
      </c>
    </row>
    <row r="8" spans="2:5" x14ac:dyDescent="0.25">
      <c r="B8" s="7">
        <f>+C5</f>
        <v>0.35416666666666663</v>
      </c>
      <c r="C8" s="7">
        <f>B8+(5/1440)</f>
        <v>0.35763888888888884</v>
      </c>
      <c r="D8" s="8" t="s">
        <v>75</v>
      </c>
      <c r="E8" s="8"/>
    </row>
    <row r="9" spans="2:5" x14ac:dyDescent="0.25">
      <c r="B9" s="7">
        <f>+C8</f>
        <v>0.35763888888888884</v>
      </c>
      <c r="C9" s="7">
        <f>B9+(5/1440)</f>
        <v>0.36111111111111105</v>
      </c>
      <c r="D9" s="8" t="s">
        <v>74</v>
      </c>
      <c r="E9" s="28"/>
    </row>
    <row r="10" spans="2:5" ht="47.25" x14ac:dyDescent="0.25">
      <c r="B10" s="7">
        <f t="shared" ref="B10:B15" si="0">+C9</f>
        <v>0.36111111111111105</v>
      </c>
      <c r="C10" s="7">
        <f>B10+(20/1440)</f>
        <v>0.37499999999999994</v>
      </c>
      <c r="D10" s="29" t="s">
        <v>20</v>
      </c>
      <c r="E10" s="28" t="s">
        <v>97</v>
      </c>
    </row>
    <row r="11" spans="2:5" ht="31.5" x14ac:dyDescent="0.25">
      <c r="B11" s="7">
        <f t="shared" si="0"/>
        <v>0.37499999999999994</v>
      </c>
      <c r="C11" s="7">
        <f t="shared" ref="C11:C13" si="1">B11+(20/1440)</f>
        <v>0.38888888888888884</v>
      </c>
      <c r="D11" s="29" t="s">
        <v>38</v>
      </c>
      <c r="E11" s="28" t="s">
        <v>98</v>
      </c>
    </row>
    <row r="12" spans="2:5" ht="47.25" x14ac:dyDescent="0.25">
      <c r="B12" s="7">
        <f t="shared" si="0"/>
        <v>0.38888888888888884</v>
      </c>
      <c r="C12" s="7">
        <f t="shared" si="1"/>
        <v>0.40277777777777773</v>
      </c>
      <c r="D12" s="29" t="s">
        <v>42</v>
      </c>
      <c r="E12" s="28" t="s">
        <v>99</v>
      </c>
    </row>
    <row r="13" spans="2:5" ht="63" x14ac:dyDescent="0.25">
      <c r="B13" s="7">
        <f t="shared" si="0"/>
        <v>0.40277777777777773</v>
      </c>
      <c r="C13" s="7">
        <f t="shared" si="1"/>
        <v>0.41666666666666663</v>
      </c>
      <c r="D13" s="29" t="s">
        <v>43</v>
      </c>
      <c r="E13" s="28" t="s">
        <v>100</v>
      </c>
    </row>
    <row r="14" spans="2:5" x14ac:dyDescent="0.25">
      <c r="B14" s="7">
        <f t="shared" si="0"/>
        <v>0.41666666666666663</v>
      </c>
      <c r="C14" s="7">
        <f>B14+(20/1440)</f>
        <v>0.43055555555555552</v>
      </c>
      <c r="D14" s="29" t="s">
        <v>129</v>
      </c>
      <c r="E14" s="28"/>
    </row>
    <row r="15" spans="2:5" ht="47.25" x14ac:dyDescent="0.25">
      <c r="B15" s="7">
        <f t="shared" si="0"/>
        <v>0.43055555555555552</v>
      </c>
      <c r="C15" s="7">
        <f>B15+(40/1440)</f>
        <v>0.45833333333333331</v>
      </c>
      <c r="D15" s="28"/>
      <c r="E15" s="30" t="s">
        <v>104</v>
      </c>
    </row>
    <row r="16" spans="2:5" ht="16.5" thickBot="1" x14ac:dyDescent="0.3">
      <c r="B16" s="1"/>
      <c r="C16" s="1"/>
      <c r="D16" s="1"/>
      <c r="E16" s="1"/>
    </row>
    <row r="17" spans="2:5" ht="16.5" thickBot="1" x14ac:dyDescent="0.3">
      <c r="B17" s="16">
        <f>+C15</f>
        <v>0.45833333333333331</v>
      </c>
      <c r="C17" s="17">
        <f>B17+(20/1440)</f>
        <v>0.47222222222222221</v>
      </c>
      <c r="D17" s="46" t="s">
        <v>6</v>
      </c>
      <c r="E17" s="46"/>
    </row>
    <row r="18" spans="2:5" x14ac:dyDescent="0.25">
      <c r="B18" s="1"/>
      <c r="C18" s="1"/>
      <c r="D18" s="1"/>
      <c r="E18" s="1"/>
    </row>
    <row r="19" spans="2:5" ht="47.25" x14ac:dyDescent="0.25">
      <c r="B19" s="7">
        <f>+C17</f>
        <v>0.47222222222222221</v>
      </c>
      <c r="C19" s="7">
        <f>B19+(20/1440)</f>
        <v>0.4861111111111111</v>
      </c>
      <c r="D19" s="29" t="s">
        <v>45</v>
      </c>
      <c r="E19" s="28" t="s">
        <v>101</v>
      </c>
    </row>
    <row r="20" spans="2:5" ht="63" x14ac:dyDescent="0.25">
      <c r="B20" s="7">
        <f>C19</f>
        <v>0.4861111111111111</v>
      </c>
      <c r="C20" s="7">
        <f t="shared" ref="C20:C22" si="2">B20+(20/1440)</f>
        <v>0.5</v>
      </c>
      <c r="D20" s="29" t="s">
        <v>46</v>
      </c>
      <c r="E20" s="28" t="s">
        <v>102</v>
      </c>
    </row>
    <row r="21" spans="2:5" ht="47.25" x14ac:dyDescent="0.25">
      <c r="B21" s="7">
        <f t="shared" ref="B21:B22" si="3">C20</f>
        <v>0.5</v>
      </c>
      <c r="C21" s="7">
        <f t="shared" si="2"/>
        <v>0.51388888888888884</v>
      </c>
      <c r="D21" s="29" t="s">
        <v>48</v>
      </c>
      <c r="E21" s="28" t="s">
        <v>103</v>
      </c>
    </row>
    <row r="22" spans="2:5" ht="31.5" x14ac:dyDescent="0.25">
      <c r="B22" s="7">
        <f t="shared" si="3"/>
        <v>0.51388888888888884</v>
      </c>
      <c r="C22" s="7">
        <f t="shared" si="2"/>
        <v>0.52777777777777768</v>
      </c>
      <c r="D22" s="29" t="s">
        <v>55</v>
      </c>
      <c r="E22" s="28" t="s">
        <v>63</v>
      </c>
    </row>
    <row r="23" spans="2:5" ht="47.25" x14ac:dyDescent="0.25">
      <c r="B23" s="7">
        <f>+C22</f>
        <v>0.52777777777777768</v>
      </c>
      <c r="C23" s="7">
        <f t="shared" ref="C23" si="4">B23+(20/1440)</f>
        <v>0.54166666666666652</v>
      </c>
      <c r="D23" s="29" t="s">
        <v>56</v>
      </c>
      <c r="E23" s="28" t="s">
        <v>105</v>
      </c>
    </row>
    <row r="24" spans="2:5" ht="16.5" thickBot="1" x14ac:dyDescent="0.3">
      <c r="B24" s="19"/>
      <c r="C24" s="19"/>
      <c r="D24" s="31"/>
      <c r="E24" s="32"/>
    </row>
    <row r="25" spans="2:5" ht="16.5" thickBot="1" x14ac:dyDescent="0.3">
      <c r="B25" s="16">
        <f>+C23</f>
        <v>0.54166666666666652</v>
      </c>
      <c r="C25" s="17">
        <f>B25+(60/1440)</f>
        <v>0.58333333333333315</v>
      </c>
      <c r="D25" s="46" t="s">
        <v>64</v>
      </c>
      <c r="E25" s="46"/>
    </row>
    <row r="27" spans="2:5" x14ac:dyDescent="0.25">
      <c r="B27" s="24"/>
      <c r="C27" s="25"/>
      <c r="D27" s="26"/>
      <c r="E27" s="26" t="s">
        <v>69</v>
      </c>
    </row>
    <row r="28" spans="2:5" ht="47.25" x14ac:dyDescent="0.25">
      <c r="B28" s="7">
        <f>+C25</f>
        <v>0.58333333333333315</v>
      </c>
      <c r="C28" s="7">
        <f t="shared" ref="C28" si="5">B28+(20/1440)</f>
        <v>0.59722222222222199</v>
      </c>
      <c r="D28" s="29" t="s">
        <v>12</v>
      </c>
      <c r="E28" s="28" t="s">
        <v>106</v>
      </c>
    </row>
    <row r="29" spans="2:5" x14ac:dyDescent="0.25">
      <c r="B29" s="7">
        <f>+C28</f>
        <v>0.59722222222222199</v>
      </c>
      <c r="C29" s="7">
        <f t="shared" ref="C29" si="6">B29+(20/1440)</f>
        <v>0.61111111111111083</v>
      </c>
      <c r="D29" s="29" t="s">
        <v>129</v>
      </c>
      <c r="E29" s="28"/>
    </row>
    <row r="30" spans="2:5" ht="47.25" x14ac:dyDescent="0.25">
      <c r="B30" s="7">
        <f t="shared" ref="B30:B31" si="7">+C29</f>
        <v>0.61111111111111083</v>
      </c>
      <c r="C30" s="7">
        <f>B30+(40/1440)</f>
        <v>0.63888888888888862</v>
      </c>
      <c r="D30" s="29" t="s">
        <v>72</v>
      </c>
      <c r="E30" s="28" t="s">
        <v>122</v>
      </c>
    </row>
    <row r="31" spans="2:5" ht="47.25" x14ac:dyDescent="0.25">
      <c r="B31" s="7">
        <f t="shared" si="7"/>
        <v>0.63888888888888862</v>
      </c>
      <c r="C31" s="7">
        <f>B31+(40/1440)</f>
        <v>0.66666666666666641</v>
      </c>
      <c r="D31" s="29" t="s">
        <v>17</v>
      </c>
      <c r="E31" s="28" t="s">
        <v>107</v>
      </c>
    </row>
    <row r="32" spans="2:5" ht="16.5" thickBot="1" x14ac:dyDescent="0.3">
      <c r="B32" s="7">
        <f>+C31</f>
        <v>0.66666666666666641</v>
      </c>
      <c r="C32" s="9">
        <f>B32+(5/1440)</f>
        <v>0.67013888888888862</v>
      </c>
      <c r="D32" s="10" t="s">
        <v>76</v>
      </c>
      <c r="E32" s="10" t="s">
        <v>128</v>
      </c>
    </row>
    <row r="33" spans="2:5" ht="16.5" thickBot="1" x14ac:dyDescent="0.3">
      <c r="B33" s="16">
        <f>+C32</f>
        <v>0.67013888888888862</v>
      </c>
      <c r="C33" s="17">
        <f>B33+(20/1440)</f>
        <v>0.68402777777777746</v>
      </c>
      <c r="D33" s="46" t="s">
        <v>127</v>
      </c>
      <c r="E33" s="46"/>
    </row>
    <row r="34" spans="2:5" x14ac:dyDescent="0.25">
      <c r="B34" s="1"/>
      <c r="C34" s="1"/>
      <c r="D34" s="1"/>
      <c r="E34" s="1"/>
    </row>
    <row r="35" spans="2:5" ht="16.5" thickBot="1" x14ac:dyDescent="0.3">
      <c r="B35" s="1"/>
      <c r="C35" s="1"/>
      <c r="D35" s="1"/>
      <c r="E35" s="1"/>
    </row>
    <row r="36" spans="2:5" x14ac:dyDescent="0.25">
      <c r="B36" s="38" t="s">
        <v>7</v>
      </c>
      <c r="C36" s="39"/>
      <c r="D36" s="39"/>
      <c r="E36" s="39"/>
    </row>
    <row r="37" spans="2:5" x14ac:dyDescent="0.25">
      <c r="B37" s="40"/>
      <c r="C37" s="41"/>
      <c r="D37" s="41"/>
      <c r="E37" s="41"/>
    </row>
    <row r="38" spans="2:5" ht="16.5" thickBot="1" x14ac:dyDescent="0.3">
      <c r="B38" s="42"/>
      <c r="C38" s="43"/>
      <c r="D38" s="43"/>
      <c r="E38" s="43"/>
    </row>
    <row r="39" spans="2:5" x14ac:dyDescent="0.25">
      <c r="B39" s="19"/>
      <c r="C39" s="19"/>
      <c r="D39" s="31"/>
      <c r="E39" s="32"/>
    </row>
    <row r="40" spans="2:5" x14ac:dyDescent="0.25">
      <c r="B40" s="19"/>
      <c r="C40" s="19"/>
      <c r="D40" s="31"/>
      <c r="E40" s="32"/>
    </row>
  </sheetData>
  <mergeCells count="10">
    <mergeCell ref="C1:E1"/>
    <mergeCell ref="B36:E38"/>
    <mergeCell ref="B3:C3"/>
    <mergeCell ref="B6:C6"/>
    <mergeCell ref="D2:E2"/>
    <mergeCell ref="D5:E5"/>
    <mergeCell ref="B2:C2"/>
    <mergeCell ref="D25:E25"/>
    <mergeCell ref="D33:E33"/>
    <mergeCell ref="D17:E17"/>
  </mergeCells>
  <conditionalFormatting sqref="B1">
    <cfRule type="containsText" dxfId="5" priority="3" operator="containsText" text="1">
      <formula>NOT(ISERROR(SEARCH("1",B1)))</formula>
    </cfRule>
  </conditionalFormatting>
  <conditionalFormatting sqref="C1">
    <cfRule type="containsText" dxfId="4" priority="1" operator="containsText" text="1">
      <formula>NOT(ISERROR(SEARCH("1",C1)))</formula>
    </cfRule>
  </conditionalFormatting>
  <pageMargins left="0.7" right="0.7" top="0.75" bottom="0.75" header="0.3" footer="0.3"/>
  <pageSetup scale="4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3F74E-D995-4844-AFB0-4EBC602403CE}">
  <dimension ref="B1:E39"/>
  <sheetViews>
    <sheetView showGridLines="0" view="pageBreakPreview" zoomScaleNormal="90" zoomScaleSheetLayoutView="100" workbookViewId="0">
      <selection activeCell="C1" sqref="C1:E1"/>
    </sheetView>
  </sheetViews>
  <sheetFormatPr baseColWidth="10" defaultColWidth="10.85546875" defaultRowHeight="15.75" x14ac:dyDescent="0.25"/>
  <cols>
    <col min="1" max="1" width="1.28515625" style="11" customWidth="1"/>
    <col min="2" max="2" width="18.42578125" style="11" customWidth="1"/>
    <col min="3" max="3" width="13.85546875" style="11" bestFit="1" customWidth="1"/>
    <col min="4" max="4" width="57.28515625" style="11" customWidth="1"/>
    <col min="5" max="5" width="48.42578125" style="11" customWidth="1"/>
    <col min="6" max="6" width="2.7109375" style="11" customWidth="1"/>
    <col min="7" max="16384" width="10.85546875" style="11"/>
  </cols>
  <sheetData>
    <row r="1" spans="2:5" s="1" customFormat="1" ht="51" customHeight="1" thickBot="1" x14ac:dyDescent="0.3">
      <c r="B1" s="27"/>
      <c r="C1" s="47" t="s">
        <v>141</v>
      </c>
      <c r="D1" s="48"/>
      <c r="E1" s="48"/>
    </row>
    <row r="2" spans="2:5" ht="16.149999999999999" customHeight="1" thickBot="1" x14ac:dyDescent="0.3">
      <c r="B2" s="49" t="s">
        <v>0</v>
      </c>
      <c r="C2" s="50"/>
      <c r="D2" s="51" t="s">
        <v>133</v>
      </c>
      <c r="E2" s="52"/>
    </row>
    <row r="3" spans="2:5" ht="16.5" thickBot="1" x14ac:dyDescent="0.3">
      <c r="B3" s="53" t="s">
        <v>1</v>
      </c>
      <c r="C3" s="54"/>
      <c r="D3" s="35">
        <v>46156</v>
      </c>
      <c r="E3" s="13" t="s">
        <v>143</v>
      </c>
    </row>
    <row r="4" spans="2:5" ht="16.5" thickBot="1" x14ac:dyDescent="0.3">
      <c r="B4" s="1"/>
      <c r="C4" s="1"/>
      <c r="D4" s="1"/>
      <c r="E4" s="1"/>
    </row>
    <row r="5" spans="2:5" ht="16.5" thickBot="1" x14ac:dyDescent="0.3">
      <c r="B5" s="14">
        <v>0.33333333333333331</v>
      </c>
      <c r="C5" s="15">
        <f>B5+(30/1440)</f>
        <v>0.35416666666666663</v>
      </c>
      <c r="D5" s="55" t="s">
        <v>2</v>
      </c>
      <c r="E5" s="55"/>
    </row>
    <row r="6" spans="2:5" x14ac:dyDescent="0.25">
      <c r="B6" s="58" t="s">
        <v>3</v>
      </c>
      <c r="C6" s="59"/>
      <c r="D6" s="23" t="s">
        <v>4</v>
      </c>
      <c r="E6" s="23" t="s">
        <v>5</v>
      </c>
    </row>
    <row r="7" spans="2:5" x14ac:dyDescent="0.25">
      <c r="B7" s="24"/>
      <c r="C7" s="25"/>
      <c r="D7" s="26"/>
      <c r="E7" s="26" t="s">
        <v>69</v>
      </c>
    </row>
    <row r="8" spans="2:5" x14ac:dyDescent="0.25">
      <c r="B8" s="7">
        <f>+C5</f>
        <v>0.35416666666666663</v>
      </c>
      <c r="C8" s="7">
        <f>B8+(5/1440)</f>
        <v>0.35763888888888884</v>
      </c>
      <c r="D8" s="8" t="s">
        <v>75</v>
      </c>
      <c r="E8" s="8"/>
    </row>
    <row r="9" spans="2:5" x14ac:dyDescent="0.25">
      <c r="B9" s="7">
        <f>+C8</f>
        <v>0.35763888888888884</v>
      </c>
      <c r="C9" s="7">
        <f>B9+(5/1440)</f>
        <v>0.36111111111111105</v>
      </c>
      <c r="D9" s="8" t="s">
        <v>74</v>
      </c>
      <c r="E9" s="28"/>
    </row>
    <row r="10" spans="2:5" ht="47.25" x14ac:dyDescent="0.25">
      <c r="B10" s="7">
        <f>+C9</f>
        <v>0.36111111111111105</v>
      </c>
      <c r="C10" s="7">
        <f t="shared" ref="C10:C12" si="0">B10+(20/1440)</f>
        <v>0.37499999999999994</v>
      </c>
      <c r="D10" s="29" t="s">
        <v>22</v>
      </c>
      <c r="E10" s="28" t="s">
        <v>108</v>
      </c>
    </row>
    <row r="11" spans="2:5" ht="47.25" x14ac:dyDescent="0.25">
      <c r="B11" s="7">
        <f t="shared" ref="B11:B13" si="1">+C10</f>
        <v>0.37499999999999994</v>
      </c>
      <c r="C11" s="7">
        <f t="shared" si="0"/>
        <v>0.38888888888888884</v>
      </c>
      <c r="D11" s="29" t="s">
        <v>27</v>
      </c>
      <c r="E11" s="28" t="s">
        <v>109</v>
      </c>
    </row>
    <row r="12" spans="2:5" ht="47.25" x14ac:dyDescent="0.25">
      <c r="B12" s="7">
        <f t="shared" si="1"/>
        <v>0.38888888888888884</v>
      </c>
      <c r="C12" s="7">
        <f t="shared" si="0"/>
        <v>0.40277777777777773</v>
      </c>
      <c r="D12" s="29" t="s">
        <v>28</v>
      </c>
      <c r="E12" s="28" t="s">
        <v>110</v>
      </c>
    </row>
    <row r="13" spans="2:5" x14ac:dyDescent="0.25">
      <c r="B13" s="7">
        <f t="shared" si="1"/>
        <v>0.40277777777777773</v>
      </c>
      <c r="C13" s="7">
        <f>B13+(20/1440)</f>
        <v>0.41666666666666663</v>
      </c>
      <c r="D13" s="29" t="s">
        <v>129</v>
      </c>
      <c r="E13" s="28"/>
    </row>
    <row r="14" spans="2:5" ht="47.25" x14ac:dyDescent="0.25">
      <c r="B14" s="60">
        <f>+C13</f>
        <v>0.41666666666666663</v>
      </c>
      <c r="C14" s="60">
        <f t="shared" ref="C14:C15" si="2">B14+(20/1440)</f>
        <v>0.43055555555555552</v>
      </c>
      <c r="D14" s="61" t="s">
        <v>34</v>
      </c>
      <c r="E14" s="63" t="s">
        <v>59</v>
      </c>
    </row>
    <row r="15" spans="2:5" ht="47.25" x14ac:dyDescent="0.25">
      <c r="B15" s="7">
        <f>+C14</f>
        <v>0.43055555555555552</v>
      </c>
      <c r="C15" s="7">
        <f t="shared" si="2"/>
        <v>0.44444444444444442</v>
      </c>
      <c r="D15" s="29" t="s">
        <v>39</v>
      </c>
      <c r="E15" s="28" t="s">
        <v>111</v>
      </c>
    </row>
    <row r="16" spans="2:5" ht="47.25" x14ac:dyDescent="0.25">
      <c r="B16" s="6">
        <f>+C15</f>
        <v>0.44444444444444442</v>
      </c>
      <c r="C16" s="7">
        <f>B16+(20/1440)</f>
        <v>0.45833333333333331</v>
      </c>
      <c r="D16" s="29" t="s">
        <v>50</v>
      </c>
      <c r="E16" s="28" t="s">
        <v>112</v>
      </c>
    </row>
    <row r="17" spans="2:5" ht="16.5" thickBot="1" x14ac:dyDescent="0.3">
      <c r="B17" s="1"/>
      <c r="C17" s="1"/>
      <c r="D17" s="1"/>
      <c r="E17" s="1"/>
    </row>
    <row r="18" spans="2:5" ht="16.5" thickBot="1" x14ac:dyDescent="0.3">
      <c r="B18" s="16">
        <f>+C16</f>
        <v>0.45833333333333331</v>
      </c>
      <c r="C18" s="17">
        <f>B18+(20/1440)</f>
        <v>0.47222222222222221</v>
      </c>
      <c r="D18" s="46" t="s">
        <v>6</v>
      </c>
      <c r="E18" s="46"/>
    </row>
    <row r="19" spans="2:5" x14ac:dyDescent="0.25">
      <c r="B19" s="1"/>
      <c r="C19" s="1"/>
      <c r="D19" s="1"/>
      <c r="E19" s="1"/>
    </row>
    <row r="20" spans="2:5" ht="47.25" x14ac:dyDescent="0.25">
      <c r="B20" s="7">
        <f>+C18</f>
        <v>0.47222222222222221</v>
      </c>
      <c r="C20" s="7">
        <f>B20+(20/1440)</f>
        <v>0.4861111111111111</v>
      </c>
      <c r="D20" s="29" t="s">
        <v>19</v>
      </c>
      <c r="E20" s="28" t="s">
        <v>140</v>
      </c>
    </row>
    <row r="21" spans="2:5" ht="63" x14ac:dyDescent="0.25">
      <c r="B21" s="7">
        <f>+C20</f>
        <v>0.4861111111111111</v>
      </c>
      <c r="C21" s="7">
        <f t="shared" ref="C21:C30" si="3">B21+(20/1440)</f>
        <v>0.5</v>
      </c>
      <c r="D21" s="29" t="s">
        <v>21</v>
      </c>
      <c r="E21" s="28" t="s">
        <v>113</v>
      </c>
    </row>
    <row r="22" spans="2:5" ht="63" x14ac:dyDescent="0.25">
      <c r="B22" s="7">
        <f>+C21</f>
        <v>0.5</v>
      </c>
      <c r="C22" s="7">
        <f t="shared" si="3"/>
        <v>0.51388888888888884</v>
      </c>
      <c r="D22" s="29" t="s">
        <v>25</v>
      </c>
      <c r="E22" s="28" t="s">
        <v>60</v>
      </c>
    </row>
    <row r="23" spans="2:5" ht="16.5" thickBot="1" x14ac:dyDescent="0.3">
      <c r="B23" s="1"/>
      <c r="C23" s="1"/>
      <c r="D23" s="1"/>
      <c r="E23" s="1"/>
    </row>
    <row r="24" spans="2:5" ht="16.5" thickBot="1" x14ac:dyDescent="0.3">
      <c r="B24" s="16">
        <f>+C22</f>
        <v>0.51388888888888884</v>
      </c>
      <c r="C24" s="17">
        <f>B24+(60/1440)</f>
        <v>0.55555555555555547</v>
      </c>
      <c r="D24" s="46" t="s">
        <v>64</v>
      </c>
      <c r="E24" s="46"/>
    </row>
    <row r="25" spans="2:5" x14ac:dyDescent="0.25">
      <c r="B25" s="1"/>
      <c r="C25" s="1"/>
      <c r="D25" s="1"/>
      <c r="E25" s="1"/>
    </row>
    <row r="26" spans="2:5" ht="31.5" x14ac:dyDescent="0.25">
      <c r="B26" s="7">
        <f>+C24</f>
        <v>0.55555555555555547</v>
      </c>
      <c r="C26" s="7">
        <f t="shared" si="3"/>
        <v>0.56944444444444431</v>
      </c>
      <c r="D26" s="29" t="s">
        <v>26</v>
      </c>
      <c r="E26" s="28" t="s">
        <v>114</v>
      </c>
    </row>
    <row r="27" spans="2:5" ht="94.5" x14ac:dyDescent="0.25">
      <c r="B27" s="7">
        <f t="shared" ref="B27" si="4">C26</f>
        <v>0.56944444444444431</v>
      </c>
      <c r="C27" s="7">
        <f t="shared" si="3"/>
        <v>0.58333333333333315</v>
      </c>
      <c r="D27" s="29" t="s">
        <v>70</v>
      </c>
      <c r="E27" s="28" t="s">
        <v>115</v>
      </c>
    </row>
    <row r="28" spans="2:5" ht="47.25" x14ac:dyDescent="0.25">
      <c r="B28" s="7">
        <f>+C27</f>
        <v>0.58333333333333315</v>
      </c>
      <c r="C28" s="7">
        <f t="shared" si="3"/>
        <v>0.59722222222222199</v>
      </c>
      <c r="D28" s="29" t="s">
        <v>44</v>
      </c>
      <c r="E28" s="28" t="s">
        <v>116</v>
      </c>
    </row>
    <row r="29" spans="2:5" x14ac:dyDescent="0.25">
      <c r="B29" s="7"/>
      <c r="C29" s="7"/>
      <c r="D29" s="29" t="s">
        <v>129</v>
      </c>
      <c r="E29" s="28"/>
    </row>
    <row r="30" spans="2:5" ht="47.25" x14ac:dyDescent="0.25">
      <c r="B30" s="7">
        <f>+C28</f>
        <v>0.59722222222222199</v>
      </c>
      <c r="C30" s="7">
        <f t="shared" si="3"/>
        <v>0.61111111111111083</v>
      </c>
      <c r="D30" s="29" t="s">
        <v>49</v>
      </c>
      <c r="E30" s="28" t="s">
        <v>117</v>
      </c>
    </row>
    <row r="31" spans="2:5" ht="16.5" thickBot="1" x14ac:dyDescent="0.3">
      <c r="B31" s="7">
        <f>+C30</f>
        <v>0.61111111111111083</v>
      </c>
      <c r="C31" s="9">
        <f>B31+(5/1440)</f>
        <v>0.61458333333333304</v>
      </c>
      <c r="D31" s="10" t="s">
        <v>76</v>
      </c>
      <c r="E31" s="10" t="s">
        <v>128</v>
      </c>
    </row>
    <row r="32" spans="2:5" ht="16.5" thickBot="1" x14ac:dyDescent="0.3">
      <c r="B32" s="16">
        <f>+C31</f>
        <v>0.61458333333333304</v>
      </c>
      <c r="C32" s="17">
        <f>B32+(20/1440)</f>
        <v>0.62847222222222188</v>
      </c>
      <c r="D32" s="46" t="s">
        <v>127</v>
      </c>
      <c r="E32" s="46"/>
    </row>
    <row r="33" spans="2:5" x14ac:dyDescent="0.25">
      <c r="B33" s="1"/>
      <c r="C33" s="1"/>
      <c r="D33" s="1"/>
      <c r="E33" s="1"/>
    </row>
    <row r="34" spans="2:5" ht="16.5" thickBot="1" x14ac:dyDescent="0.3">
      <c r="B34" s="12"/>
      <c r="C34" s="12"/>
    </row>
    <row r="35" spans="2:5" x14ac:dyDescent="0.25">
      <c r="B35" s="38" t="s">
        <v>7</v>
      </c>
      <c r="C35" s="39"/>
      <c r="D35" s="39"/>
      <c r="E35" s="39"/>
    </row>
    <row r="36" spans="2:5" x14ac:dyDescent="0.25">
      <c r="B36" s="40"/>
      <c r="C36" s="41"/>
      <c r="D36" s="41"/>
      <c r="E36" s="41"/>
    </row>
    <row r="37" spans="2:5" ht="16.5" thickBot="1" x14ac:dyDescent="0.3">
      <c r="B37" s="42"/>
      <c r="C37" s="43"/>
      <c r="D37" s="43"/>
      <c r="E37" s="43"/>
    </row>
    <row r="38" spans="2:5" x14ac:dyDescent="0.25">
      <c r="B38" s="19"/>
      <c r="C38" s="19"/>
      <c r="D38" s="31"/>
      <c r="E38" s="32"/>
    </row>
    <row r="39" spans="2:5" x14ac:dyDescent="0.25">
      <c r="B39" s="19"/>
      <c r="C39" s="19"/>
      <c r="D39" s="31"/>
      <c r="E39" s="32"/>
    </row>
  </sheetData>
  <mergeCells count="10">
    <mergeCell ref="D18:E18"/>
    <mergeCell ref="D32:E32"/>
    <mergeCell ref="B35:E37"/>
    <mergeCell ref="D24:E24"/>
    <mergeCell ref="C1:E1"/>
    <mergeCell ref="B2:C2"/>
    <mergeCell ref="D2:E2"/>
    <mergeCell ref="B3:C3"/>
    <mergeCell ref="D5:E5"/>
    <mergeCell ref="B6:C6"/>
  </mergeCells>
  <conditionalFormatting sqref="B1">
    <cfRule type="containsText" dxfId="3" priority="3" operator="containsText" text="1">
      <formula>NOT(ISERROR(SEARCH("1",B1)))</formula>
    </cfRule>
  </conditionalFormatting>
  <conditionalFormatting sqref="C1">
    <cfRule type="containsText" dxfId="2" priority="1" operator="containsText" text="1">
      <formula>NOT(ISERROR(SEARCH("1",C1)))</formula>
    </cfRule>
  </conditionalFormatting>
  <pageMargins left="0.7" right="0.7" top="0.75" bottom="0.75" header="0.3" footer="0.3"/>
  <pageSetup scale="6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D4960-5F8C-44EF-9FD9-831A14934220}">
  <sheetPr codeName="Hoja8"/>
  <dimension ref="B1:E31"/>
  <sheetViews>
    <sheetView showGridLines="0" view="pageBreakPreview" zoomScaleNormal="81" zoomScaleSheetLayoutView="100" workbookViewId="0">
      <selection activeCell="C1" sqref="C1:E1"/>
    </sheetView>
  </sheetViews>
  <sheetFormatPr baseColWidth="10" defaultColWidth="10.85546875" defaultRowHeight="15.75" x14ac:dyDescent="0.25"/>
  <cols>
    <col min="1" max="1" width="1.28515625" style="11" customWidth="1"/>
    <col min="2" max="2" width="18.42578125" style="11" customWidth="1"/>
    <col min="3" max="3" width="17.140625" style="11" customWidth="1"/>
    <col min="4" max="4" width="57.28515625" style="11" customWidth="1"/>
    <col min="5" max="5" width="63.140625" style="11" bestFit="1" customWidth="1"/>
    <col min="6" max="6" width="2.140625" style="11" customWidth="1"/>
    <col min="7" max="16384" width="10.85546875" style="11"/>
  </cols>
  <sheetData>
    <row r="1" spans="2:5" s="1" customFormat="1" ht="51" customHeight="1" thickBot="1" x14ac:dyDescent="0.3">
      <c r="B1" s="27"/>
      <c r="C1" s="47" t="s">
        <v>141</v>
      </c>
      <c r="D1" s="48"/>
      <c r="E1" s="48"/>
    </row>
    <row r="2" spans="2:5" ht="16.149999999999999" customHeight="1" thickBot="1" x14ac:dyDescent="0.3">
      <c r="B2" s="49" t="s">
        <v>0</v>
      </c>
      <c r="C2" s="50"/>
      <c r="D2" s="51" t="s">
        <v>133</v>
      </c>
      <c r="E2" s="52"/>
    </row>
    <row r="3" spans="2:5" ht="16.5" thickBot="1" x14ac:dyDescent="0.3">
      <c r="B3" s="53" t="s">
        <v>1</v>
      </c>
      <c r="C3" s="54"/>
      <c r="D3" s="35">
        <v>46157</v>
      </c>
      <c r="E3" s="13" t="s">
        <v>144</v>
      </c>
    </row>
    <row r="4" spans="2:5" ht="16.5" thickBot="1" x14ac:dyDescent="0.3">
      <c r="B4" s="1"/>
      <c r="C4" s="1"/>
      <c r="D4" s="1"/>
      <c r="E4" s="1"/>
    </row>
    <row r="5" spans="2:5" ht="16.5" thickBot="1" x14ac:dyDescent="0.3">
      <c r="B5" s="14">
        <v>0.33333333333333331</v>
      </c>
      <c r="C5" s="15">
        <f>B5+(30/1440)</f>
        <v>0.35416666666666663</v>
      </c>
      <c r="D5" s="55" t="s">
        <v>2</v>
      </c>
      <c r="E5" s="55"/>
    </row>
    <row r="6" spans="2:5" ht="16.5" thickBot="1" x14ac:dyDescent="0.3">
      <c r="B6" s="44" t="s">
        <v>3</v>
      </c>
      <c r="C6" s="45"/>
      <c r="D6" s="2" t="s">
        <v>4</v>
      </c>
      <c r="E6" s="2" t="s">
        <v>5</v>
      </c>
    </row>
    <row r="7" spans="2:5" x14ac:dyDescent="0.25">
      <c r="B7" s="7">
        <f>+C5</f>
        <v>0.35416666666666663</v>
      </c>
      <c r="C7" s="7">
        <f>B7+(5/1440)</f>
        <v>0.35763888888888884</v>
      </c>
      <c r="D7" s="8" t="s">
        <v>75</v>
      </c>
      <c r="E7" s="8"/>
    </row>
    <row r="8" spans="2:5" x14ac:dyDescent="0.25">
      <c r="B8" s="7">
        <f>+C7</f>
        <v>0.35763888888888884</v>
      </c>
      <c r="C8" s="7">
        <f>B8+(5/1440)</f>
        <v>0.36111111111111105</v>
      </c>
      <c r="D8" s="8" t="s">
        <v>74</v>
      </c>
      <c r="E8" s="28"/>
    </row>
    <row r="9" spans="2:5" x14ac:dyDescent="0.25">
      <c r="B9" s="24"/>
      <c r="C9" s="25"/>
      <c r="D9" s="26"/>
      <c r="E9" s="26" t="s">
        <v>67</v>
      </c>
    </row>
    <row r="10" spans="2:5" ht="47.25" x14ac:dyDescent="0.25">
      <c r="B10" s="7">
        <f>+C8</f>
        <v>0.36111111111111105</v>
      </c>
      <c r="C10" s="7">
        <f>B10+(20/1440)</f>
        <v>0.37499999999999994</v>
      </c>
      <c r="D10" s="29" t="s">
        <v>126</v>
      </c>
      <c r="E10" s="28" t="s">
        <v>132</v>
      </c>
    </row>
    <row r="11" spans="2:5" x14ac:dyDescent="0.25">
      <c r="B11" s="24"/>
      <c r="C11" s="25"/>
      <c r="D11" s="26"/>
      <c r="E11" s="20" t="s">
        <v>66</v>
      </c>
    </row>
    <row r="12" spans="2:5" ht="63" x14ac:dyDescent="0.25">
      <c r="B12" s="7">
        <f>+C10</f>
        <v>0.37499999999999994</v>
      </c>
      <c r="C12" s="7">
        <f>B12+(20/1440)</f>
        <v>0.38888888888888884</v>
      </c>
      <c r="D12" s="29" t="s">
        <v>40</v>
      </c>
      <c r="E12" s="28" t="s">
        <v>87</v>
      </c>
    </row>
    <row r="13" spans="2:5" x14ac:dyDescent="0.25">
      <c r="B13" s="24"/>
      <c r="C13" s="25"/>
      <c r="D13" s="26"/>
      <c r="E13" s="26" t="s">
        <v>69</v>
      </c>
    </row>
    <row r="14" spans="2:5" ht="47.25" x14ac:dyDescent="0.25">
      <c r="B14" s="6">
        <f>+C12</f>
        <v>0.38888888888888884</v>
      </c>
      <c r="C14" s="7">
        <f>B14+(20/1440)</f>
        <v>0.40277777777777773</v>
      </c>
      <c r="D14" s="29" t="s">
        <v>51</v>
      </c>
      <c r="E14" s="28" t="s">
        <v>118</v>
      </c>
    </row>
    <row r="15" spans="2:5" x14ac:dyDescent="0.25">
      <c r="B15" s="24"/>
      <c r="C15" s="25"/>
      <c r="D15" s="26"/>
      <c r="E15" s="26" t="s">
        <v>123</v>
      </c>
    </row>
    <row r="16" spans="2:5" ht="57" customHeight="1" x14ac:dyDescent="0.25">
      <c r="B16" s="60">
        <f>+C14</f>
        <v>0.40277777777777773</v>
      </c>
      <c r="C16" s="60">
        <f t="shared" ref="C16" si="0">B16+(20/1440)</f>
        <v>0.41666666666666663</v>
      </c>
      <c r="D16" s="61" t="s">
        <v>124</v>
      </c>
      <c r="E16" s="62" t="s">
        <v>125</v>
      </c>
    </row>
    <row r="17" spans="2:5" x14ac:dyDescent="0.25">
      <c r="B17" s="6">
        <f>+C16</f>
        <v>0.41666666666666663</v>
      </c>
      <c r="C17" s="7">
        <f>B17+(20/1440)</f>
        <v>0.43055555555555552</v>
      </c>
      <c r="D17" s="29" t="s">
        <v>129</v>
      </c>
      <c r="E17" s="28"/>
    </row>
    <row r="18" spans="2:5" x14ac:dyDescent="0.25">
      <c r="B18" s="24"/>
      <c r="C18" s="25"/>
      <c r="D18" s="26"/>
      <c r="E18" s="26" t="s">
        <v>65</v>
      </c>
    </row>
    <row r="19" spans="2:5" ht="63" x14ac:dyDescent="0.25">
      <c r="B19" s="60">
        <f>+C17</f>
        <v>0.43055555555555552</v>
      </c>
      <c r="C19" s="60">
        <f t="shared" ref="C19:C21" si="1">B19+(20/1440)</f>
        <v>0.44444444444444442</v>
      </c>
      <c r="D19" s="61" t="s">
        <v>33</v>
      </c>
      <c r="E19" s="62" t="s">
        <v>119</v>
      </c>
    </row>
    <row r="20" spans="2:5" ht="47.25" x14ac:dyDescent="0.25">
      <c r="B20" s="7">
        <f t="shared" ref="B20:B25" si="2">+C19</f>
        <v>0.44444444444444442</v>
      </c>
      <c r="C20" s="7">
        <f t="shared" si="1"/>
        <v>0.45833333333333331</v>
      </c>
      <c r="D20" s="29" t="s">
        <v>35</v>
      </c>
      <c r="E20" s="28" t="s">
        <v>120</v>
      </c>
    </row>
    <row r="21" spans="2:5" ht="47.25" x14ac:dyDescent="0.25">
      <c r="B21" s="60">
        <f t="shared" si="2"/>
        <v>0.45833333333333331</v>
      </c>
      <c r="C21" s="60">
        <f t="shared" si="1"/>
        <v>0.47222222222222221</v>
      </c>
      <c r="D21" s="61" t="s">
        <v>58</v>
      </c>
      <c r="E21" s="62" t="s">
        <v>121</v>
      </c>
    </row>
    <row r="22" spans="2:5" ht="47.25" x14ac:dyDescent="0.25">
      <c r="B22" s="7">
        <f t="shared" si="2"/>
        <v>0.47222222222222221</v>
      </c>
      <c r="C22" s="7">
        <f>B22+(20/1440)</f>
        <v>0.4861111111111111</v>
      </c>
      <c r="D22" s="29" t="s">
        <v>126</v>
      </c>
      <c r="E22" s="28" t="s">
        <v>132</v>
      </c>
    </row>
    <row r="23" spans="2:5" x14ac:dyDescent="0.25">
      <c r="B23" s="7">
        <f t="shared" si="2"/>
        <v>0.4861111111111111</v>
      </c>
      <c r="C23" s="7">
        <f>B23+(40/1440)</f>
        <v>0.51388888888888884</v>
      </c>
      <c r="D23" s="29"/>
      <c r="E23" s="28" t="s">
        <v>130</v>
      </c>
    </row>
    <row r="24" spans="2:5" ht="16.5" thickBot="1" x14ac:dyDescent="0.3">
      <c r="B24" s="7">
        <f t="shared" si="2"/>
        <v>0.51388888888888884</v>
      </c>
      <c r="C24" s="9">
        <f>B24+(5/1440)</f>
        <v>0.51736111111111105</v>
      </c>
      <c r="D24" s="10" t="s">
        <v>76</v>
      </c>
      <c r="E24" s="10" t="s">
        <v>128</v>
      </c>
    </row>
    <row r="25" spans="2:5" ht="16.5" thickBot="1" x14ac:dyDescent="0.3">
      <c r="B25" s="16">
        <f t="shared" si="2"/>
        <v>0.51736111111111105</v>
      </c>
      <c r="C25" s="17">
        <f>B25+(20/1440)</f>
        <v>0.53124999999999989</v>
      </c>
      <c r="D25" s="46" t="s">
        <v>131</v>
      </c>
      <c r="E25" s="46"/>
    </row>
    <row r="27" spans="2:5" ht="16.5" thickBot="1" x14ac:dyDescent="0.3">
      <c r="B27" s="12"/>
      <c r="C27" s="12"/>
    </row>
    <row r="28" spans="2:5" x14ac:dyDescent="0.25">
      <c r="B28" s="38" t="s">
        <v>7</v>
      </c>
      <c r="C28" s="39"/>
      <c r="D28" s="39"/>
      <c r="E28" s="39"/>
    </row>
    <row r="29" spans="2:5" x14ac:dyDescent="0.25">
      <c r="B29" s="40"/>
      <c r="C29" s="41"/>
      <c r="D29" s="41"/>
      <c r="E29" s="41"/>
    </row>
    <row r="30" spans="2:5" ht="16.5" thickBot="1" x14ac:dyDescent="0.3">
      <c r="B30" s="42"/>
      <c r="C30" s="43"/>
      <c r="D30" s="43"/>
      <c r="E30" s="43"/>
    </row>
    <row r="31" spans="2:5" ht="8.65" customHeight="1" x14ac:dyDescent="0.25"/>
  </sheetData>
  <mergeCells count="8">
    <mergeCell ref="B28:E30"/>
    <mergeCell ref="B6:C6"/>
    <mergeCell ref="D25:E25"/>
    <mergeCell ref="C1:E1"/>
    <mergeCell ref="B2:C2"/>
    <mergeCell ref="D2:E2"/>
    <mergeCell ref="B3:C3"/>
    <mergeCell ref="D5:E5"/>
  </mergeCells>
  <conditionalFormatting sqref="B1">
    <cfRule type="containsText" dxfId="1" priority="3" operator="containsText" text="1">
      <formula>NOT(ISERROR(SEARCH("1",B1)))</formula>
    </cfRule>
  </conditionalFormatting>
  <conditionalFormatting sqref="C1">
    <cfRule type="containsText" dxfId="0" priority="1" operator="containsText" text="1">
      <formula>NOT(ISERROR(SEARCH("1",C1)))</formula>
    </cfRule>
  </conditionalFormatting>
  <pageMargins left="0.7" right="0.7" top="0.75" bottom="0.75" header="0.3" footer="0.3"/>
  <pageSetup scale="53"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175199E146F3D4C88234A8D3F5D148B" ma:contentTypeVersion="18" ma:contentTypeDescription="Crear nuevo documento." ma:contentTypeScope="" ma:versionID="64a0b4c347ae9984d7e257a4ce703256">
  <xsd:schema xmlns:xsd="http://www.w3.org/2001/XMLSchema" xmlns:xs="http://www.w3.org/2001/XMLSchema" xmlns:p="http://schemas.microsoft.com/office/2006/metadata/properties" xmlns:ns2="ff062aa5-72bf-46c0-9b46-229027462acb" xmlns:ns3="ba6003ae-dad1-4bc3-99f1-47a75784f2fc" targetNamespace="http://schemas.microsoft.com/office/2006/metadata/properties" ma:root="true" ma:fieldsID="48bdfcb60acfdb37956c2a45c6b8b055" ns2:_="" ns3:_="">
    <xsd:import namespace="ff062aa5-72bf-46c0-9b46-229027462acb"/>
    <xsd:import namespace="ba6003ae-dad1-4bc3-99f1-47a75784f2fc"/>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LengthInSeconds"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element ref="ns2:Orden" minOccurs="0"/>
                <xsd:element ref="ns2:Listado_x0020_de_x0020_asistenci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062aa5-72bf-46c0-9b46-229027462a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f7331b8a-05de-44c0-bd9b-2e2f71038b1e"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Orden" ma:index="24" nillable="true" ma:displayName="Orden" ma:decimals="0" ma:format="Dropdown" ma:internalName="Orden" ma:percentage="FALSE">
      <xsd:simpleType>
        <xsd:restriction base="dms:Number"/>
      </xsd:simpleType>
    </xsd:element>
    <xsd:element name="Listado_x0020_de_x0020_asistencia" ma:index="25" nillable="true" ma:displayName="Listado de asistencia" ma:format="Hyperlink" ma:internalName="Listado_x0020_de_x0020_asistencia">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a6003ae-dad1-4bc3-99f1-47a75784f2fc"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fb551609-de24-40d1-bb9d-a260e32c4918}" ma:internalName="TaxCatchAll" ma:showField="CatchAllData" ma:web="ba6003ae-dad1-4bc3-99f1-47a75784f2fc">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a6003ae-dad1-4bc3-99f1-47a75784f2fc" xsi:nil="true"/>
    <lcf76f155ced4ddcb4097134ff3c332f xmlns="ff062aa5-72bf-46c0-9b46-229027462acb">
      <Terms xmlns="http://schemas.microsoft.com/office/infopath/2007/PartnerControls"/>
    </lcf76f155ced4ddcb4097134ff3c332f>
    <Orden xmlns="ff062aa5-72bf-46c0-9b46-229027462acb" xsi:nil="true"/>
    <Listado_x0020_de_x0020_asistencia xmlns="ff062aa5-72bf-46c0-9b46-229027462acb">
      <Url xsi:nil="true"/>
      <Description xsi:nil="true"/>
    </Listado_x0020_de_x0020_asistencia>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905424-072A-43C0-BCA1-96CE66E7F5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062aa5-72bf-46c0-9b46-229027462acb"/>
    <ds:schemaRef ds:uri="ba6003ae-dad1-4bc3-99f1-47a75784f2f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5ED928F-3044-4FAD-BE90-767A2BD3FB1D}">
  <ds:schemaRefs>
    <ds:schemaRef ds:uri="http://purl.org/dc/elements/1.1/"/>
    <ds:schemaRef ds:uri="http://schemas.microsoft.com/office/2006/documentManagement/types"/>
    <ds:schemaRef ds:uri="http://www.w3.org/XML/1998/namespace"/>
    <ds:schemaRef ds:uri="ff062aa5-72bf-46c0-9b46-229027462acb"/>
    <ds:schemaRef ds:uri="http://schemas.microsoft.com/office/2006/metadata/properties"/>
    <ds:schemaRef ds:uri="http://schemas.openxmlformats.org/package/2006/metadata/core-properties"/>
    <ds:schemaRef ds:uri="http://schemas.microsoft.com/office/infopath/2007/PartnerControls"/>
    <ds:schemaRef ds:uri="ba6003ae-dad1-4bc3-99f1-47a75784f2fc"/>
    <ds:schemaRef ds:uri="http://purl.org/dc/dcmitype/"/>
    <ds:schemaRef ds:uri="http://purl.org/dc/terms/"/>
  </ds:schemaRefs>
</ds:datastoreItem>
</file>

<file path=customXml/itemProps3.xml><?xml version="1.0" encoding="utf-8"?>
<ds:datastoreItem xmlns:ds="http://schemas.openxmlformats.org/officeDocument/2006/customXml" ds:itemID="{F37D9F66-B531-4708-BC9D-BDA0B0B485B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5</vt:i4>
      </vt:variant>
    </vt:vector>
  </HeadingPairs>
  <TitlesOfParts>
    <vt:vector size="10" baseType="lpstr">
      <vt:lpstr>Agenda día1 salón 1</vt:lpstr>
      <vt:lpstr>Agenda día1 salón 2</vt:lpstr>
      <vt:lpstr>Agenda día2 salón 1</vt:lpstr>
      <vt:lpstr>Agenda día2 salón 2</vt:lpstr>
      <vt:lpstr>Agenda día3 Salon 1</vt:lpstr>
      <vt:lpstr>'Agenda día1 salón 1'!Área_de_impresión</vt:lpstr>
      <vt:lpstr>'Agenda día1 salón 2'!Área_de_impresión</vt:lpstr>
      <vt:lpstr>'Agenda día2 salón 1'!Área_de_impresión</vt:lpstr>
      <vt:lpstr>'Agenda día2 salón 2'!Área_de_impresión</vt:lpstr>
      <vt:lpstr>'Agenda día3 Salon 1'!Área_de_impresión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Camila Ramirez</cp:lastModifiedBy>
  <cp:revision/>
  <cp:lastPrinted>2026-04-22T22:48:49Z</cp:lastPrinted>
  <dcterms:created xsi:type="dcterms:W3CDTF">2025-04-04T19:51:34Z</dcterms:created>
  <dcterms:modified xsi:type="dcterms:W3CDTF">2026-04-22T22:52:40Z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0x0101007175199E146F3D4C88234A8D3F5D148B</vt:lpwstr>
  </property>
  <property fmtid="{D5CDD505-2E9C-101B-9397-08002B2CF9AE}" pid="3" name="MediaServiceImageTags">
    <vt:lpwstr/>
  </property>
</Properties>
</file>