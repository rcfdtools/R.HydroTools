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C883A926-EBD6-4A8E-A5DA-77A586E5BE9A}" xr6:coauthVersionLast="47" xr6:coauthVersionMax="47" xr10:uidLastSave="{00000000-0000-0000-0000-000000000000}"/>
  <bookViews>
    <workbookView xWindow="-98" yWindow="-98" windowWidth="28996" windowHeight="15675" activeTab="1" xr2:uid="{47787139-5384-4680-882A-D7262C6BD61D}"/>
  </bookViews>
  <sheets>
    <sheet name="Rain" sheetId="1" r:id="rId1"/>
    <sheet name="PMP" sheetId="2" r:id="rId2"/>
    <sheet name="25020230" sheetId="3" r:id="rId3"/>
    <sheet name="BestFil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" l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<sst xmlns="http://schemas.openxmlformats.org/spreadsheetml/2006/main" count="208" uniqueCount="145">
  <si>
    <t>Year / Station</t>
  </si>
  <si>
    <t>id</t>
  </si>
  <si>
    <t>beta</t>
  </si>
  <si>
    <t>semicircular</t>
  </si>
  <si>
    <t>empirical_dist</t>
  </si>
  <si>
    <t>station</t>
  </si>
  <si>
    <t>n</t>
  </si>
  <si>
    <t>25020230_1969_2009</t>
  </si>
  <si>
    <t>Tr</t>
  </si>
  <si>
    <t>Excel-Gumbel</t>
  </si>
  <si>
    <t>R.HydroTools-Gumbel</t>
  </si>
  <si>
    <t>R.HydroTools-Beta</t>
  </si>
  <si>
    <t>R.HydroTools-Johnsonsb</t>
  </si>
  <si>
    <t>R.HydroTools-Anglit</t>
  </si>
  <si>
    <t>p_dist</t>
  </si>
  <si>
    <t>delta</t>
  </si>
  <si>
    <t>deltao</t>
  </si>
  <si>
    <t>eval</t>
  </si>
  <si>
    <t>fit</t>
  </si>
  <si>
    <t>loc</t>
  </si>
  <si>
    <t>scale</t>
  </si>
  <si>
    <t>shape</t>
  </si>
  <si>
    <t>shape1</t>
  </si>
  <si>
    <t>shape2</t>
  </si>
  <si>
    <t>shape3</t>
  </si>
  <si>
    <t>best_fit</t>
  </si>
  <si>
    <t>best_fit_sort</t>
  </si>
  <si>
    <t>emp_blom</t>
  </si>
  <si>
    <t>Δo &gt; Δ</t>
  </si>
  <si>
    <t>emp_california</t>
  </si>
  <si>
    <t>emp_hazen</t>
  </si>
  <si>
    <t>emp_weibull</t>
  </si>
  <si>
    <t>emp_beard</t>
  </si>
  <si>
    <t>emp_chegodayev</t>
  </si>
  <si>
    <t>emp_tukey</t>
  </si>
  <si>
    <t>emp_gringorten</t>
  </si>
  <si>
    <t>emp_jenkinson</t>
  </si>
  <si>
    <t>emp_cunnane</t>
  </si>
  <si>
    <t>emp_adamowski</t>
  </si>
  <si>
    <t>tr</t>
  </si>
  <si>
    <t>prob_l</t>
  </si>
  <si>
    <t>prob_g</t>
  </si>
  <si>
    <t>alpha</t>
  </si>
  <si>
    <t>anglit</t>
  </si>
  <si>
    <t>arcsine</t>
  </si>
  <si>
    <t>argus</t>
  </si>
  <si>
    <t>betaprime</t>
  </si>
  <si>
    <t>bradford</t>
  </si>
  <si>
    <t>burr</t>
  </si>
  <si>
    <t>burr12</t>
  </si>
  <si>
    <t>cauchy</t>
  </si>
  <si>
    <t>chi2</t>
  </si>
  <si>
    <t>cosine</t>
  </si>
  <si>
    <t>crystalball</t>
  </si>
  <si>
    <t>dgamma</t>
  </si>
  <si>
    <t>erlang</t>
  </si>
  <si>
    <t>expon</t>
  </si>
  <si>
    <t>exponnorm</t>
  </si>
  <si>
    <t>exponpow</t>
  </si>
  <si>
    <t>exponweib</t>
  </si>
  <si>
    <t>f</t>
  </si>
  <si>
    <t>fatiguelife</t>
  </si>
  <si>
    <t>fisk</t>
  </si>
  <si>
    <t>foldcauchy</t>
  </si>
  <si>
    <t>foldnorm</t>
  </si>
  <si>
    <t>gamma</t>
  </si>
  <si>
    <t>gausshyper</t>
  </si>
  <si>
    <t>genexpon</t>
  </si>
  <si>
    <t>genextreme</t>
  </si>
  <si>
    <t>gengamma</t>
  </si>
  <si>
    <t>genhalflogistic</t>
  </si>
  <si>
    <t>genhyperbolic</t>
  </si>
  <si>
    <t>geninvgauss</t>
  </si>
  <si>
    <t>genlogistic</t>
  </si>
  <si>
    <t>gennorm</t>
  </si>
  <si>
    <t>genpareto</t>
  </si>
  <si>
    <t>gibrat</t>
  </si>
  <si>
    <t>gompertz</t>
  </si>
  <si>
    <t>gumbel_l</t>
  </si>
  <si>
    <t>gumbel_r</t>
  </si>
  <si>
    <t>halfcauchy</t>
  </si>
  <si>
    <t>halfgennorm</t>
  </si>
  <si>
    <t>halflogistic</t>
  </si>
  <si>
    <t>halfnorm</t>
  </si>
  <si>
    <t>hypsecant</t>
  </si>
  <si>
    <t>invgamma</t>
  </si>
  <si>
    <t>invgauss</t>
  </si>
  <si>
    <t>invweibull</t>
  </si>
  <si>
    <t>johnsonsb</t>
  </si>
  <si>
    <t>johnsonsu</t>
  </si>
  <si>
    <t>kappa3</t>
  </si>
  <si>
    <t>kappa4</t>
  </si>
  <si>
    <t>ksone</t>
  </si>
  <si>
    <t>kstwobign</t>
  </si>
  <si>
    <t>laplace</t>
  </si>
  <si>
    <t>laplace_asymmetric</t>
  </si>
  <si>
    <t>levy</t>
  </si>
  <si>
    <t>levy_l</t>
  </si>
  <si>
    <t>levy_stable</t>
  </si>
  <si>
    <t>loggamma</t>
  </si>
  <si>
    <t>logistic</t>
  </si>
  <si>
    <t>loglaplace</t>
  </si>
  <si>
    <t>lognorm</t>
  </si>
  <si>
    <t>loguniform</t>
  </si>
  <si>
    <t>lomax</t>
  </si>
  <si>
    <t>maxwell</t>
  </si>
  <si>
    <t>mielke</t>
  </si>
  <si>
    <t>moyal</t>
  </si>
  <si>
    <t>nakagami</t>
  </si>
  <si>
    <t>ncf</t>
  </si>
  <si>
    <t>nct</t>
  </si>
  <si>
    <t>ncx2</t>
  </si>
  <si>
    <t>norm</t>
  </si>
  <si>
    <t>norminvgauss</t>
  </si>
  <si>
    <t>pareto</t>
  </si>
  <si>
    <t>pearson3</t>
  </si>
  <si>
    <t>powerlaw</t>
  </si>
  <si>
    <t>powerlognorm</t>
  </si>
  <si>
    <t>powernorm</t>
  </si>
  <si>
    <t>rayleigh</t>
  </si>
  <si>
    <t>rdist</t>
  </si>
  <si>
    <t>recipinvgauss</t>
  </si>
  <si>
    <t>rel_breitwigner</t>
  </si>
  <si>
    <t>rice</t>
  </si>
  <si>
    <t>skewcauchy</t>
  </si>
  <si>
    <t>skewnorm</t>
  </si>
  <si>
    <t>t</t>
  </si>
  <si>
    <t>trapezoid</t>
  </si>
  <si>
    <t>triang</t>
  </si>
  <si>
    <t>truncexpon</t>
  </si>
  <si>
    <t>truncnorm</t>
  </si>
  <si>
    <t>truncpareto</t>
  </si>
  <si>
    <t>truncweibull_min</t>
  </si>
  <si>
    <t>tukeylambda</t>
  </si>
  <si>
    <t>uniform</t>
  </si>
  <si>
    <t>vonmises</t>
  </si>
  <si>
    <t>vonmises_line</t>
  </si>
  <si>
    <t>wald</t>
  </si>
  <si>
    <t>weibull_max</t>
  </si>
  <si>
    <t>weibull_min</t>
  </si>
  <si>
    <t>wrapcauchy</t>
  </si>
  <si>
    <t>zzgumbel</t>
  </si>
  <si>
    <t>zzloggumbel</t>
  </si>
  <si>
    <t>risk_rate</t>
  </si>
  <si>
    <t>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</si>
</sst>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PMP!$B$3</c:f>
              <c:strCache>
                <c:ptCount val="1"/>
                <c:pt idx="0">
                  <c:v>2502023-Excel-Gumbel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2-4502-9742-A60DED037D90}"/>
            </c:ext>
          </c:extLst>
        </c:ser>
        <c:ser>
          <c:idx val="1"/>
          <c:order val="1"/>
          <c:tx>
            <c:strRef>
              <c:f>PMP!$O$3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PMP!$O$4:$O$9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2-4502-9742-A60DED037D90}"/>
            </c:ext>
          </c:extLst>
        </c:ser>
        <c:ser>
          <c:idx val="2"/>
          <c:order val="2"/>
          <c:tx>
            <c:strRef>
              <c:f>PMP!$P$3</c:f>
              <c:strCache>
                <c:ptCount val="1"/>
                <c:pt idx="0">
                  <c:v>25020230-R.HydroTools-Beta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PMP!$P$4:$P$9</c:f>
              <c:numCache>
                <c:formatCode>General</c:formatCode>
                <c:ptCount val="6"/>
                <c:pt idx="0">
                  <c:v>116.04600000000001</c:v>
                </c:pt>
                <c:pt idx="1">
                  <c:v>140.715</c:v>
                </c:pt>
                <c:pt idx="2">
                  <c:v>150.77000000000001</c:v>
                </c:pt>
                <c:pt idx="3">
                  <c:v>156.495</c:v>
                </c:pt>
                <c:pt idx="4">
                  <c:v>158.31200000000001</c:v>
                </c:pt>
                <c:pt idx="5">
                  <c:v>159.18700000000001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2-4502-9742-A60DED037D90}"/>
            </c:ext>
          </c:extLst>
        </c:ser>
        <c:ser>
          <c:idx val="3"/>
          <c:order val="3"/>
          <c:tx>
            <c:strRef>
              <c:f>PMP!$Q$3</c:f>
              <c:strCache>
                <c:ptCount val="1"/>
                <c:pt idx="0">
                  <c:v>25020230-R.HydroTools-Johnsonsb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PMP!$Q$4:$Q$9</c:f>
              <c:numCache>
                <c:formatCode>General</c:formatCode>
                <c:ptCount val="6"/>
                <c:pt idx="0">
                  <c:v>118.82899999999999</c:v>
                </c:pt>
                <c:pt idx="1">
                  <c:v>141.88900000000001</c:v>
                </c:pt>
                <c:pt idx="2">
                  <c:v>150.74</c:v>
                </c:pt>
                <c:pt idx="3">
                  <c:v>156.07900000000001</c:v>
                </c:pt>
                <c:pt idx="4">
                  <c:v>158.08099999999999</c:v>
                </c:pt>
                <c:pt idx="5">
                  <c:v>159.268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4A2-4502-9742-A60DED037D90}"/>
            </c:ext>
          </c:extLst>
        </c:ser>
        <c:ser>
          <c:idx val="4"/>
          <c:order val="4"/>
          <c:tx>
            <c:strRef>
              <c:f>PMP!$R$3</c:f>
              <c:strCache>
                <c:ptCount val="1"/>
                <c:pt idx="0">
                  <c:v>-R.HydroTools-Anglit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PMP!$R$4:$R$9</c:f>
              <c:numCache>
                <c:formatCode>General</c:formatCode>
                <c:ptCount val="6"/>
                <c:pt idx="0">
                  <c:v>114.28700000000001</c:v>
                </c:pt>
                <c:pt idx="1">
                  <c:v>138.881</c:v>
                </c:pt>
                <c:pt idx="2">
                  <c:v>152.80099999999999</c:v>
                </c:pt>
                <c:pt idx="3">
                  <c:v>164.61099999999999</c:v>
                </c:pt>
                <c:pt idx="4">
                  <c:v>170.44399999999999</c:v>
                </c:pt>
                <c:pt idx="5">
                  <c:v>174.53800000000001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4A2-4502-9742-A60DED03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10</xdr:row>
      <xdr:rowOff>82826</xdr:rowOff>
    </xdr:from>
    <xdr:to>
      <xdr:col>12</xdr:col>
      <xdr:colOff>426555</xdr:colOff>
      <xdr:row>22</xdr:row>
      <xdr:rowOff>33130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B77B0-162F-A9D5-023D-32098EA7E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workbookViewId="0">
      <pane ySplit="1" topLeftCell="A10" activePane="bottomLeft" state="frozen"/>
      <selection pane="bottomLeft" activeCell="D31" sqref="D31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R9"/>
  <sheetViews>
    <sheetView showGridLines="0" tabSelected="1" zoomScale="115" zoomScaleNormal="115" workbookViewId="0">
      <selection activeCell="O14" sqref="O14"/>
    </sheetView>
  </sheetViews>
  <sheetFormatPr defaultRowHeight="16.5" x14ac:dyDescent="0.45"/>
  <cols>
    <col min="1" max="1" width="4.9296875" style="3" bestFit="1" customWidth="1"/>
    <col min="2" max="15" width="8.73046875" style="3" customWidth="1"/>
    <col min="16" max="16384" width="9.06640625" style="3"/>
  </cols>
  <sheetData>
    <row r="1" spans="1:18" s="2" customFormat="1" ht="66" x14ac:dyDescent="0.45">
      <c r="B1" s="2" t="s">
        <v>9</v>
      </c>
      <c r="C1" s="2" t="s">
        <v>9</v>
      </c>
      <c r="D1" s="2" t="s">
        <v>9</v>
      </c>
      <c r="E1" s="2" t="s">
        <v>9</v>
      </c>
      <c r="F1" s="2" t="s">
        <v>9</v>
      </c>
      <c r="G1" s="2" t="s">
        <v>9</v>
      </c>
      <c r="H1" s="2" t="s">
        <v>9</v>
      </c>
      <c r="I1" s="2" t="s">
        <v>9</v>
      </c>
      <c r="J1" s="2" t="s">
        <v>9</v>
      </c>
      <c r="K1" s="2" t="s">
        <v>9</v>
      </c>
      <c r="L1" s="2" t="s">
        <v>9</v>
      </c>
      <c r="M1" s="2" t="s">
        <v>9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</row>
    <row r="2" spans="1:18" s="2" customFormat="1" x14ac:dyDescent="0.45">
      <c r="B2" s="2">
        <v>2502023</v>
      </c>
      <c r="C2" s="2">
        <v>2502026</v>
      </c>
      <c r="D2" s="2">
        <v>2502028</v>
      </c>
      <c r="E2" s="2">
        <v>2502069</v>
      </c>
      <c r="F2" s="2">
        <v>2802008</v>
      </c>
      <c r="G2" s="2">
        <v>2802023</v>
      </c>
      <c r="H2" s="2">
        <v>2802044</v>
      </c>
      <c r="I2" s="2">
        <v>2802060</v>
      </c>
      <c r="J2" s="2">
        <v>2802508</v>
      </c>
      <c r="K2" s="2">
        <v>2802509</v>
      </c>
      <c r="L2" s="2">
        <v>2803504</v>
      </c>
      <c r="M2" s="2">
        <v>2804031</v>
      </c>
      <c r="N2" s="2">
        <v>2804035</v>
      </c>
      <c r="O2" s="2">
        <v>25020230</v>
      </c>
      <c r="P2" s="2">
        <v>25020230</v>
      </c>
      <c r="Q2" s="2">
        <v>25020230</v>
      </c>
    </row>
    <row r="3" spans="1:18" s="2" customFormat="1" ht="82.5" x14ac:dyDescent="0.45">
      <c r="A3" s="2" t="s">
        <v>8</v>
      </c>
      <c r="B3" s="2" t="str">
        <f>_xlfn.CONCAT(B2,"-",B1)</f>
        <v>2502023-Excel-Gumbel</v>
      </c>
      <c r="C3" s="2" t="str">
        <f t="shared" ref="C3:R3" si="0">_xlfn.CONCAT(C2,"-",C1)</f>
        <v>2502026-Excel-Gumbel</v>
      </c>
      <c r="D3" s="2" t="str">
        <f t="shared" si="0"/>
        <v>2502028-Excel-Gumbel</v>
      </c>
      <c r="E3" s="2" t="str">
        <f t="shared" si="0"/>
        <v>2502069-Excel-Gumbel</v>
      </c>
      <c r="F3" s="2" t="str">
        <f t="shared" si="0"/>
        <v>2802008-Excel-Gumbel</v>
      </c>
      <c r="G3" s="2" t="str">
        <f t="shared" si="0"/>
        <v>2802023-Excel-Gumbel</v>
      </c>
      <c r="H3" s="2" t="str">
        <f t="shared" si="0"/>
        <v>2802044-Excel-Gumbel</v>
      </c>
      <c r="I3" s="2" t="str">
        <f t="shared" si="0"/>
        <v>2802060-Excel-Gumbel</v>
      </c>
      <c r="J3" s="2" t="str">
        <f t="shared" si="0"/>
        <v>2802508-Excel-Gumbel</v>
      </c>
      <c r="K3" s="2" t="str">
        <f t="shared" si="0"/>
        <v>2802509-Excel-Gumbel</v>
      </c>
      <c r="L3" s="2" t="str">
        <f t="shared" si="0"/>
        <v>2803504-Excel-Gumbel</v>
      </c>
      <c r="M3" s="2" t="str">
        <f t="shared" si="0"/>
        <v>2804031-Excel-Gumbel</v>
      </c>
      <c r="N3" s="2" t="str">
        <f t="shared" si="0"/>
        <v>2804035-Excel-Gumbel</v>
      </c>
      <c r="O3" s="2" t="str">
        <f t="shared" si="0"/>
        <v>25020230-R.HydroTools-Gumbel</v>
      </c>
      <c r="P3" s="2" t="str">
        <f t="shared" si="0"/>
        <v>25020230-R.HydroTools-Beta</v>
      </c>
      <c r="Q3" s="2" t="str">
        <f t="shared" si="0"/>
        <v>25020230-R.HydroTools-Johnsonsb</v>
      </c>
      <c r="R3" s="2" t="str">
        <f t="shared" si="0"/>
        <v>-R.HydroTools-Anglit</v>
      </c>
    </row>
    <row r="4" spans="1:18" x14ac:dyDescent="0.6">
      <c r="A4" s="3">
        <v>2.33</v>
      </c>
      <c r="B4" s="3">
        <v>103</v>
      </c>
      <c r="C4" s="3">
        <v>107</v>
      </c>
      <c r="D4" s="3">
        <v>111</v>
      </c>
      <c r="E4" s="3">
        <v>92</v>
      </c>
      <c r="F4" s="3">
        <v>102</v>
      </c>
      <c r="G4" s="3">
        <v>102</v>
      </c>
      <c r="H4" s="3">
        <v>92</v>
      </c>
      <c r="I4" s="3">
        <v>91</v>
      </c>
      <c r="J4" s="3">
        <v>100</v>
      </c>
      <c r="K4" s="3">
        <v>100</v>
      </c>
      <c r="L4" s="3">
        <v>89</v>
      </c>
      <c r="M4" s="3">
        <v>98</v>
      </c>
      <c r="N4" s="3">
        <v>96</v>
      </c>
      <c r="O4" s="3">
        <v>122.61199999999999</v>
      </c>
      <c r="P4" s="1">
        <v>116.04600000000001</v>
      </c>
      <c r="Q4" s="1">
        <v>118.82899999999999</v>
      </c>
      <c r="R4" s="1">
        <v>114.28700000000001</v>
      </c>
    </row>
    <row r="5" spans="1:18" x14ac:dyDescent="0.6">
      <c r="A5" s="3">
        <v>5</v>
      </c>
      <c r="B5" s="3">
        <v>132</v>
      </c>
      <c r="C5" s="3">
        <v>133</v>
      </c>
      <c r="D5" s="3">
        <v>149</v>
      </c>
      <c r="E5" s="3">
        <v>117</v>
      </c>
      <c r="F5" s="3">
        <v>136</v>
      </c>
      <c r="G5" s="3">
        <v>136</v>
      </c>
      <c r="H5" s="3">
        <v>114</v>
      </c>
      <c r="I5" s="3">
        <v>111</v>
      </c>
      <c r="J5" s="3">
        <v>121</v>
      </c>
      <c r="K5" s="3">
        <v>117</v>
      </c>
      <c r="L5" s="3">
        <v>112</v>
      </c>
      <c r="M5" s="3">
        <v>120</v>
      </c>
      <c r="N5" s="3">
        <v>119</v>
      </c>
      <c r="O5" s="3">
        <v>147.001</v>
      </c>
      <c r="P5" s="1">
        <v>140.715</v>
      </c>
      <c r="Q5" s="1">
        <v>141.88900000000001</v>
      </c>
      <c r="R5" s="1">
        <v>138.881</v>
      </c>
    </row>
    <row r="6" spans="1:18" x14ac:dyDescent="0.6">
      <c r="A6" s="3">
        <v>10</v>
      </c>
      <c r="B6" s="3">
        <v>155</v>
      </c>
      <c r="C6" s="3">
        <v>154</v>
      </c>
      <c r="D6" s="3">
        <v>179</v>
      </c>
      <c r="E6" s="3">
        <v>137</v>
      </c>
      <c r="F6" s="3">
        <v>164</v>
      </c>
      <c r="G6" s="3">
        <v>165</v>
      </c>
      <c r="H6" s="3">
        <v>132</v>
      </c>
      <c r="I6" s="3">
        <v>127</v>
      </c>
      <c r="J6" s="3">
        <v>138</v>
      </c>
      <c r="K6" s="3">
        <v>130</v>
      </c>
      <c r="L6" s="3">
        <v>131</v>
      </c>
      <c r="M6" s="3">
        <v>138</v>
      </c>
      <c r="N6" s="3">
        <v>138</v>
      </c>
      <c r="O6" s="3">
        <v>166.86600000000001</v>
      </c>
      <c r="P6" s="1">
        <v>150.77000000000001</v>
      </c>
      <c r="Q6" s="1">
        <v>150.74</v>
      </c>
      <c r="R6" s="1">
        <v>152.80099999999999</v>
      </c>
    </row>
    <row r="7" spans="1:18" x14ac:dyDescent="0.6">
      <c r="A7" s="3">
        <v>25</v>
      </c>
      <c r="B7" s="3">
        <v>184</v>
      </c>
      <c r="C7" s="3">
        <v>181</v>
      </c>
      <c r="D7" s="3">
        <v>218</v>
      </c>
      <c r="E7" s="3">
        <v>162</v>
      </c>
      <c r="F7" s="3">
        <v>199</v>
      </c>
      <c r="G7" s="3">
        <v>201</v>
      </c>
      <c r="H7" s="3">
        <v>155</v>
      </c>
      <c r="I7" s="3">
        <v>148</v>
      </c>
      <c r="J7" s="3">
        <v>159</v>
      </c>
      <c r="K7" s="3">
        <v>148</v>
      </c>
      <c r="L7" s="3">
        <v>155</v>
      </c>
      <c r="M7" s="3">
        <v>161</v>
      </c>
      <c r="N7" s="3">
        <v>161</v>
      </c>
      <c r="O7" s="3">
        <v>191.965</v>
      </c>
      <c r="P7" s="1">
        <v>156.495</v>
      </c>
      <c r="Q7" s="1">
        <v>156.07900000000001</v>
      </c>
      <c r="R7" s="1">
        <v>164.61099999999999</v>
      </c>
    </row>
    <row r="8" spans="1:18" x14ac:dyDescent="0.6">
      <c r="A8" s="3">
        <v>50</v>
      </c>
      <c r="B8" s="3">
        <v>205</v>
      </c>
      <c r="C8" s="3">
        <v>201</v>
      </c>
      <c r="D8" s="3">
        <v>247</v>
      </c>
      <c r="E8" s="3">
        <v>180</v>
      </c>
      <c r="F8" s="3">
        <v>225</v>
      </c>
      <c r="G8" s="3">
        <v>227</v>
      </c>
      <c r="H8" s="3">
        <v>172</v>
      </c>
      <c r="I8" s="3">
        <v>163</v>
      </c>
      <c r="J8" s="3">
        <v>175</v>
      </c>
      <c r="K8" s="3">
        <v>161</v>
      </c>
      <c r="L8" s="3">
        <v>173</v>
      </c>
      <c r="M8" s="3">
        <v>178</v>
      </c>
      <c r="N8" s="3">
        <v>178</v>
      </c>
      <c r="O8" s="3">
        <v>210.584</v>
      </c>
      <c r="P8" s="1">
        <v>158.31200000000001</v>
      </c>
      <c r="Q8" s="1">
        <v>158.08099999999999</v>
      </c>
      <c r="R8" s="1">
        <v>170.44399999999999</v>
      </c>
    </row>
    <row r="9" spans="1:18" x14ac:dyDescent="0.6">
      <c r="A9" s="3">
        <v>100</v>
      </c>
      <c r="B9" s="3">
        <v>226</v>
      </c>
      <c r="C9" s="3">
        <v>220</v>
      </c>
      <c r="D9" s="3">
        <v>276</v>
      </c>
      <c r="E9" s="3">
        <v>199</v>
      </c>
      <c r="F9" s="3">
        <v>251</v>
      </c>
      <c r="G9" s="3">
        <v>254</v>
      </c>
      <c r="H9" s="3">
        <v>189</v>
      </c>
      <c r="I9" s="3">
        <v>178</v>
      </c>
      <c r="J9" s="3">
        <v>190</v>
      </c>
      <c r="K9" s="3">
        <v>174</v>
      </c>
      <c r="L9" s="3">
        <v>190</v>
      </c>
      <c r="M9" s="3">
        <v>195</v>
      </c>
      <c r="N9" s="3">
        <v>196</v>
      </c>
      <c r="O9" s="3">
        <v>229.06700000000001</v>
      </c>
      <c r="P9" s="1">
        <v>159.18700000000001</v>
      </c>
      <c r="Q9" s="1">
        <v>159.268</v>
      </c>
      <c r="R9" s="1">
        <v>174.53800000000001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:DG7"/>
  <sheetViews>
    <sheetView showGridLines="0" zoomScale="175" zoomScaleNormal="17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2" sqref="F2:F7"/>
    </sheetView>
  </sheetViews>
  <sheetFormatPr defaultRowHeight="16.5" x14ac:dyDescent="0.6"/>
  <cols>
    <col min="1" max="1" width="2.73046875" style="1" bestFit="1" customWidth="1"/>
    <col min="2" max="2" width="4.796875" style="1" bestFit="1" customWidth="1"/>
    <col min="3" max="3" width="8.86328125" style="1" bestFit="1" customWidth="1"/>
    <col min="4" max="4" width="10.9296875" style="1" bestFit="1" customWidth="1"/>
    <col min="5" max="9" width="7.86328125" style="1" bestFit="1" customWidth="1"/>
    <col min="10" max="10" width="9.06640625" style="1"/>
    <col min="11" max="15" width="7.86328125" style="1" bestFit="1" customWidth="1"/>
    <col min="16" max="16" width="8.6640625" style="1" bestFit="1" customWidth="1"/>
    <col min="17" max="17" width="7.9296875" style="1" bestFit="1" customWidth="1"/>
    <col min="18" max="19" width="7.86328125" style="1" bestFit="1" customWidth="1"/>
    <col min="20" max="20" width="10.1328125" style="1" bestFit="1" customWidth="1"/>
    <col min="21" max="21" width="7.86328125" style="1" bestFit="1" customWidth="1"/>
    <col min="22" max="22" width="8.6640625" style="1" bestFit="1" customWidth="1"/>
    <col min="23" max="23" width="7.86328125" style="1" bestFit="1" customWidth="1"/>
    <col min="24" max="24" width="8.19921875" style="1" bestFit="1" customWidth="1"/>
    <col min="25" max="25" width="7.86328125" style="1" bestFit="1" customWidth="1"/>
    <col min="26" max="26" width="9.9296875" style="1" bestFit="1" customWidth="1"/>
    <col min="27" max="27" width="8.86328125" style="1" bestFit="1" customWidth="1"/>
    <col min="28" max="28" width="10.53125" style="1" bestFit="1" customWidth="1"/>
    <col min="29" max="30" width="12.33203125" style="1" bestFit="1" customWidth="1"/>
    <col min="31" max="31" width="10.73046875" style="1" bestFit="1" customWidth="1"/>
    <col min="32" max="32" width="9.3984375" style="1" bestFit="1" customWidth="1"/>
    <col min="33" max="33" width="8.265625" style="1" bestFit="1" customWidth="1"/>
    <col min="34" max="34" width="9.19921875" style="1" bestFit="1" customWidth="1"/>
    <col min="35" max="35" width="7.86328125" style="1" bestFit="1" customWidth="1"/>
    <col min="36" max="36" width="8.6640625" style="1" bestFit="1" customWidth="1"/>
    <col min="37" max="37" width="8.1328125" style="1" bestFit="1" customWidth="1"/>
    <col min="38" max="38" width="8.3984375" style="1" bestFit="1" customWidth="1"/>
    <col min="39" max="39" width="9.19921875" style="1" bestFit="1" customWidth="1"/>
    <col min="40" max="40" width="8.06640625" style="1" bestFit="1" customWidth="1"/>
    <col min="41" max="41" width="8.9296875" style="1" bestFit="1" customWidth="1"/>
    <col min="42" max="42" width="9.19921875" style="1" bestFit="1" customWidth="1"/>
    <col min="43" max="43" width="7.86328125" style="1" bestFit="1" customWidth="1"/>
    <col min="44" max="44" width="8.73046875" style="1" bestFit="1" customWidth="1"/>
    <col min="45" max="46" width="9" style="1" bestFit="1" customWidth="1"/>
    <col min="47" max="49" width="7.86328125" style="1" bestFit="1" customWidth="1"/>
    <col min="50" max="50" width="8.9296875" style="1" bestFit="1" customWidth="1"/>
    <col min="51" max="51" width="7.86328125" style="1" bestFit="1" customWidth="1"/>
    <col min="52" max="52" width="9" style="1" bestFit="1" customWidth="1"/>
    <col min="53" max="53" width="7.86328125" style="1" bestFit="1" customWidth="1"/>
    <col min="54" max="54" width="9.3984375" style="1" bestFit="1" customWidth="1"/>
    <col min="55" max="55" width="9.46484375" style="1" bestFit="1" customWidth="1"/>
    <col min="56" max="57" width="7.86328125" style="1" bestFit="1" customWidth="1"/>
    <col min="58" max="58" width="9.6640625" style="1" bestFit="1" customWidth="1"/>
    <col min="59" max="61" width="7.86328125" style="1" bestFit="1" customWidth="1"/>
    <col min="62" max="62" width="8.59765625" style="1" bestFit="1" customWidth="1"/>
    <col min="63" max="66" width="7.86328125" style="1" bestFit="1" customWidth="1"/>
    <col min="67" max="67" width="8.265625" style="1" bestFit="1" customWidth="1"/>
    <col min="68" max="68" width="8.53125" style="1" bestFit="1" customWidth="1"/>
    <col min="69" max="69" width="12.86328125" style="1" bestFit="1" customWidth="1"/>
    <col min="70" max="70" width="10.265625" style="1" bestFit="1" customWidth="1"/>
    <col min="71" max="72" width="7.86328125" style="1" bestFit="1" customWidth="1"/>
    <col min="73" max="73" width="11.59765625" style="1" bestFit="1" customWidth="1"/>
    <col min="74" max="74" width="7.86328125" style="1" bestFit="1" customWidth="1"/>
    <col min="75" max="75" width="9.06640625" style="1"/>
    <col min="76" max="76" width="7.86328125" style="1" bestFit="1" customWidth="1"/>
    <col min="77" max="77" width="8.3984375" style="1" bestFit="1" customWidth="1"/>
    <col min="78" max="78" width="7.86328125" style="1" bestFit="1" customWidth="1"/>
    <col min="79" max="79" width="10" style="1" bestFit="1" customWidth="1"/>
    <col min="80" max="80" width="9.3984375" style="1" bestFit="1" customWidth="1"/>
    <col min="81" max="81" width="10.33203125" style="1" bestFit="1" customWidth="1"/>
    <col min="82" max="82" width="14.59765625" style="1" bestFit="1" customWidth="1"/>
    <col min="83" max="83" width="11.1328125" style="1" bestFit="1" customWidth="1"/>
    <col min="84" max="84" width="7.86328125" style="1" bestFit="1" customWidth="1"/>
    <col min="85" max="85" width="8.19921875" style="1" bestFit="1" customWidth="1"/>
    <col min="86" max="86" width="11.86328125" style="1" bestFit="1" customWidth="1"/>
    <col min="87" max="87" width="7.86328125" style="1" bestFit="1" customWidth="1"/>
    <col min="88" max="88" width="10.53125" style="1" bestFit="1" customWidth="1"/>
    <col min="89" max="89" width="10.265625" style="1" bestFit="1" customWidth="1"/>
    <col min="90" max="90" width="10.3984375" style="1" bestFit="1" customWidth="1"/>
    <col min="91" max="91" width="8.6640625" style="1" bestFit="1" customWidth="1"/>
    <col min="92" max="92" width="14.265625" style="1" bestFit="1" customWidth="1"/>
    <col min="93" max="93" width="18.53125" style="1" bestFit="1" customWidth="1"/>
    <col min="94" max="94" width="2.73046875" style="1" bestFit="1" customWidth="1"/>
    <col min="95" max="95" width="8.86328125" style="1" bestFit="1" customWidth="1"/>
    <col min="96" max="16384" width="9.06640625" style="1"/>
  </cols>
  <sheetData>
    <row r="1" spans="1:111" x14ac:dyDescent="0.6">
      <c r="A1" s="1" t="s">
        <v>1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2</v>
      </c>
      <c r="J1" s="1" t="s">
        <v>46</v>
      </c>
      <c r="K1" s="1" t="s">
        <v>47</v>
      </c>
      <c r="L1" s="1" t="s">
        <v>48</v>
      </c>
      <c r="M1" s="1" t="s">
        <v>49</v>
      </c>
      <c r="N1" s="1" t="s">
        <v>50</v>
      </c>
      <c r="O1" s="1" t="s">
        <v>51</v>
      </c>
      <c r="P1" s="1" t="s">
        <v>52</v>
      </c>
      <c r="Q1" s="1" t="s">
        <v>53</v>
      </c>
      <c r="R1" s="1" t="s">
        <v>54</v>
      </c>
      <c r="S1" s="1" t="s">
        <v>55</v>
      </c>
      <c r="T1" s="1" t="s">
        <v>56</v>
      </c>
      <c r="U1" s="1" t="s">
        <v>57</v>
      </c>
      <c r="V1" s="1" t="s">
        <v>58</v>
      </c>
      <c r="W1" s="1" t="s">
        <v>59</v>
      </c>
      <c r="X1" s="1" t="s">
        <v>60</v>
      </c>
      <c r="Y1" s="1" t="s">
        <v>61</v>
      </c>
      <c r="Z1" s="1" t="s">
        <v>62</v>
      </c>
      <c r="AA1" s="1" t="s">
        <v>63</v>
      </c>
      <c r="AB1" s="1" t="s">
        <v>64</v>
      </c>
      <c r="AC1" s="1" t="s">
        <v>65</v>
      </c>
      <c r="AD1" s="1" t="s">
        <v>66</v>
      </c>
      <c r="AE1" s="1" t="s">
        <v>67</v>
      </c>
      <c r="AF1" s="1" t="s">
        <v>68</v>
      </c>
      <c r="AG1" s="1" t="s">
        <v>69</v>
      </c>
      <c r="AH1" s="1" t="s">
        <v>70</v>
      </c>
      <c r="AI1" s="1" t="s">
        <v>71</v>
      </c>
      <c r="AJ1" s="1" t="s">
        <v>72</v>
      </c>
      <c r="AK1" s="1" t="s">
        <v>73</v>
      </c>
      <c r="AL1" s="1" t="s">
        <v>74</v>
      </c>
      <c r="AM1" s="1" t="s">
        <v>75</v>
      </c>
      <c r="AN1" s="1" t="s">
        <v>76</v>
      </c>
      <c r="AO1" s="1" t="s">
        <v>77</v>
      </c>
      <c r="AP1" s="1" t="s">
        <v>78</v>
      </c>
      <c r="AQ1" s="1" t="s">
        <v>79</v>
      </c>
      <c r="AR1" s="1" t="s">
        <v>80</v>
      </c>
      <c r="AS1" s="1" t="s">
        <v>81</v>
      </c>
      <c r="AT1" s="1" t="s">
        <v>82</v>
      </c>
      <c r="AU1" s="1" t="s">
        <v>83</v>
      </c>
      <c r="AV1" s="1" t="s">
        <v>84</v>
      </c>
      <c r="AW1" s="1" t="s">
        <v>85</v>
      </c>
      <c r="AX1" s="1" t="s">
        <v>86</v>
      </c>
      <c r="AY1" s="1" t="s">
        <v>87</v>
      </c>
      <c r="AZ1" s="1" t="s">
        <v>88</v>
      </c>
      <c r="BA1" s="1" t="s">
        <v>89</v>
      </c>
      <c r="BB1" s="1" t="s">
        <v>90</v>
      </c>
      <c r="BC1" s="1" t="s">
        <v>91</v>
      </c>
      <c r="BD1" s="1" t="s">
        <v>92</v>
      </c>
      <c r="BE1" s="1" t="s">
        <v>93</v>
      </c>
      <c r="BF1" s="1" t="s">
        <v>94</v>
      </c>
      <c r="BG1" s="1" t="s">
        <v>95</v>
      </c>
      <c r="BH1" s="1" t="s">
        <v>96</v>
      </c>
      <c r="BI1" s="1" t="s">
        <v>97</v>
      </c>
      <c r="BJ1" s="1" t="s">
        <v>98</v>
      </c>
      <c r="BK1" s="1" t="s">
        <v>99</v>
      </c>
      <c r="BL1" s="1" t="s">
        <v>100</v>
      </c>
      <c r="BM1" s="1" t="s">
        <v>101</v>
      </c>
      <c r="BN1" s="1" t="s">
        <v>102</v>
      </c>
      <c r="BO1" s="1" t="s">
        <v>103</v>
      </c>
      <c r="BP1" s="1" t="s">
        <v>104</v>
      </c>
      <c r="BQ1" s="1" t="s">
        <v>105</v>
      </c>
      <c r="BR1" s="1" t="s">
        <v>106</v>
      </c>
      <c r="BS1" s="1" t="s">
        <v>107</v>
      </c>
      <c r="BT1" s="1" t="s">
        <v>108</v>
      </c>
      <c r="BU1" s="1" t="s">
        <v>109</v>
      </c>
      <c r="BV1" s="1" t="s">
        <v>110</v>
      </c>
      <c r="BW1" s="1" t="s">
        <v>111</v>
      </c>
      <c r="BX1" s="1" t="s">
        <v>112</v>
      </c>
      <c r="BY1" s="1" t="s">
        <v>113</v>
      </c>
      <c r="BZ1" s="1" t="s">
        <v>114</v>
      </c>
      <c r="CA1" s="1" t="s">
        <v>115</v>
      </c>
      <c r="CB1" s="1" t="s">
        <v>116</v>
      </c>
      <c r="CC1" s="1" t="s">
        <v>117</v>
      </c>
      <c r="CD1" s="1" t="s">
        <v>118</v>
      </c>
      <c r="CE1" s="1" t="s">
        <v>119</v>
      </c>
      <c r="CF1" s="1" t="s">
        <v>120</v>
      </c>
      <c r="CG1" s="1" t="s">
        <v>121</v>
      </c>
      <c r="CH1" s="1" t="s">
        <v>122</v>
      </c>
      <c r="CI1" s="1" t="s">
        <v>123</v>
      </c>
      <c r="CJ1" s="1" t="s">
        <v>3</v>
      </c>
      <c r="CK1" s="1" t="s">
        <v>124</v>
      </c>
      <c r="CL1" s="1" t="s">
        <v>125</v>
      </c>
      <c r="CM1" s="1" t="s">
        <v>126</v>
      </c>
      <c r="CN1" s="1" t="s">
        <v>127</v>
      </c>
      <c r="CO1" s="1" t="s">
        <v>128</v>
      </c>
      <c r="CP1" s="1" t="s">
        <v>129</v>
      </c>
      <c r="CQ1" s="1" t="s">
        <v>130</v>
      </c>
      <c r="CR1" s="1" t="s">
        <v>131</v>
      </c>
      <c r="CS1" s="1" t="s">
        <v>132</v>
      </c>
      <c r="CT1" s="1" t="s">
        <v>133</v>
      </c>
      <c r="CU1" s="1" t="s">
        <v>134</v>
      </c>
      <c r="CV1" s="1" t="s">
        <v>135</v>
      </c>
      <c r="CW1" s="1" t="s">
        <v>136</v>
      </c>
      <c r="CX1" s="1" t="s">
        <v>137</v>
      </c>
      <c r="CY1" s="1" t="s">
        <v>138</v>
      </c>
      <c r="CZ1" s="1" t="s">
        <v>139</v>
      </c>
      <c r="DA1" s="1" t="s">
        <v>140</v>
      </c>
      <c r="DB1" s="1" t="s">
        <v>141</v>
      </c>
      <c r="DC1" s="1" t="s">
        <v>142</v>
      </c>
      <c r="DD1" s="1" t="s">
        <v>4</v>
      </c>
      <c r="DE1" s="1" t="s">
        <v>5</v>
      </c>
      <c r="DF1" s="1" t="s">
        <v>6</v>
      </c>
      <c r="DG1" s="1" t="s">
        <v>143</v>
      </c>
    </row>
    <row r="2" spans="1:111" x14ac:dyDescent="0.6">
      <c r="A2" s="1">
        <v>0</v>
      </c>
      <c r="B2" s="1">
        <v>2.33</v>
      </c>
      <c r="C2" s="1">
        <v>0.57081499999999996</v>
      </c>
      <c r="D2" s="1">
        <v>0.42918499999999998</v>
      </c>
      <c r="E2" s="1">
        <v>111.379</v>
      </c>
      <c r="F2" s="1">
        <v>114.28700000000001</v>
      </c>
      <c r="G2" s="1">
        <v>117.78100000000001</v>
      </c>
      <c r="H2" s="1">
        <v>118.01300000000001</v>
      </c>
      <c r="I2" s="1">
        <v>116.04600000000001</v>
      </c>
      <c r="J2" s="1">
        <v>110.43300000000001</v>
      </c>
      <c r="K2" s="1">
        <v>99.137699999999995</v>
      </c>
      <c r="L2" s="1">
        <v>122.631</v>
      </c>
      <c r="M2" s="1">
        <v>88.101299999999995</v>
      </c>
      <c r="N2" s="1">
        <v>115.01900000000001</v>
      </c>
      <c r="O2" s="1">
        <v>112.31699999999999</v>
      </c>
      <c r="P2" s="1">
        <v>111.833</v>
      </c>
      <c r="Q2" s="1">
        <v>113.301</v>
      </c>
      <c r="R2" s="1">
        <v>115.94199999999999</v>
      </c>
      <c r="S2" s="1">
        <v>112.557</v>
      </c>
      <c r="T2" s="1">
        <v>96.941400000000002</v>
      </c>
      <c r="U2" s="1">
        <v>113.301</v>
      </c>
      <c r="V2" s="1">
        <v>40.029200000000003</v>
      </c>
      <c r="W2" s="1">
        <v>45.6708</v>
      </c>
      <c r="X2" s="1">
        <v>113.23399999999999</v>
      </c>
      <c r="Y2" s="1">
        <v>113.119</v>
      </c>
      <c r="Z2" s="1">
        <v>113.9</v>
      </c>
      <c r="AA2" s="1">
        <v>108.92</v>
      </c>
      <c r="AB2" s="1">
        <v>114.572</v>
      </c>
      <c r="AC2" s="1">
        <v>112.726</v>
      </c>
      <c r="AD2" s="1">
        <v>119.681</v>
      </c>
      <c r="AE2" s="1">
        <v>93.846199999999996</v>
      </c>
      <c r="AF2" s="1">
        <v>119.205</v>
      </c>
      <c r="AG2" s="1">
        <v>43.968699999999998</v>
      </c>
      <c r="AH2" s="1">
        <v>125.488</v>
      </c>
      <c r="AI2" s="1">
        <v>121.026</v>
      </c>
      <c r="AJ2" s="1">
        <v>107.1</v>
      </c>
      <c r="AK2" s="1">
        <v>114.27800000000001</v>
      </c>
      <c r="AL2" s="1">
        <v>100</v>
      </c>
      <c r="AM2" s="1">
        <v>113.20699999999999</v>
      </c>
      <c r="AN2" s="1">
        <v>100.283</v>
      </c>
      <c r="AO2" s="1">
        <v>118.83499999999999</v>
      </c>
      <c r="AP2" s="1">
        <v>118.032</v>
      </c>
      <c r="AQ2" s="1">
        <v>107.35299999999999</v>
      </c>
      <c r="AR2" s="1">
        <v>115.962</v>
      </c>
      <c r="AS2" s="1">
        <v>90.125500000000002</v>
      </c>
      <c r="AT2" s="1">
        <v>104.77</v>
      </c>
      <c r="AU2" s="1">
        <v>106.911</v>
      </c>
      <c r="AV2" s="1">
        <v>112.10599999999999</v>
      </c>
      <c r="AW2" s="1">
        <v>110.739</v>
      </c>
      <c r="AX2" s="1">
        <v>108.654</v>
      </c>
      <c r="AY2" s="1">
        <v>107.932</v>
      </c>
      <c r="AZ2" s="1">
        <v>118.82899999999999</v>
      </c>
      <c r="BA2" s="1">
        <v>117.621</v>
      </c>
      <c r="BB2" s="1">
        <v>125.036</v>
      </c>
      <c r="BC2" s="1">
        <v>104.84</v>
      </c>
      <c r="BD2" s="1">
        <v>110.197</v>
      </c>
      <c r="BE2" s="1">
        <v>107.42100000000001</v>
      </c>
      <c r="BF2" s="1">
        <v>110.938</v>
      </c>
      <c r="BG2" s="1">
        <v>112.983</v>
      </c>
      <c r="BH2" s="1">
        <v>163.108</v>
      </c>
      <c r="BI2" s="1">
        <v>119.254</v>
      </c>
      <c r="BJ2" s="1">
        <v>116.01</v>
      </c>
      <c r="BK2" s="1">
        <v>116.357</v>
      </c>
      <c r="BL2" s="1">
        <v>112.589</v>
      </c>
      <c r="BM2" s="1">
        <v>114.03700000000001</v>
      </c>
      <c r="BN2" s="1">
        <v>113.301</v>
      </c>
      <c r="BO2" s="1">
        <v>107.56100000000001</v>
      </c>
      <c r="BP2" s="1">
        <v>145.53800000000001</v>
      </c>
      <c r="BQ2" s="1">
        <v>110.666</v>
      </c>
      <c r="BR2" s="1">
        <v>107.348</v>
      </c>
      <c r="BS2" s="1">
        <v>105.279</v>
      </c>
      <c r="BT2" s="1">
        <v>113.34399999999999</v>
      </c>
      <c r="BU2" s="1">
        <v>110.51</v>
      </c>
      <c r="BV2" s="1">
        <v>113.3</v>
      </c>
      <c r="BW2" s="1">
        <v>62.697800000000001</v>
      </c>
      <c r="BX2" s="1">
        <v>113.301</v>
      </c>
      <c r="BY2" s="1">
        <v>118.297</v>
      </c>
      <c r="BZ2" s="1">
        <v>96.941400000000002</v>
      </c>
      <c r="CA2" s="1">
        <v>114.536</v>
      </c>
      <c r="CB2" s="1">
        <v>87.360100000000003</v>
      </c>
      <c r="CC2" s="1">
        <v>115.205</v>
      </c>
      <c r="CD2" s="1">
        <v>117.34699999999999</v>
      </c>
      <c r="CE2" s="1">
        <v>109.741</v>
      </c>
      <c r="CF2" s="1">
        <v>75.443899999999999</v>
      </c>
      <c r="CG2" s="1">
        <v>111.96</v>
      </c>
      <c r="CH2" s="1">
        <v>134.995</v>
      </c>
      <c r="CI2" s="1">
        <v>116.053</v>
      </c>
      <c r="CJ2" s="1">
        <v>114.79300000000001</v>
      </c>
      <c r="CK2" s="1">
        <v>124.33499999999999</v>
      </c>
      <c r="CL2" s="1">
        <v>123.045</v>
      </c>
      <c r="CM2" s="1">
        <v>113.30200000000001</v>
      </c>
      <c r="CN2" s="1">
        <v>136.79499999999999</v>
      </c>
      <c r="CO2" s="1">
        <v>123.19799999999999</v>
      </c>
      <c r="CP2" s="1">
        <v>98.857299999999995</v>
      </c>
      <c r="CQ2" s="1">
        <v>113.301</v>
      </c>
      <c r="CR2" s="1">
        <v>92.069800000000001</v>
      </c>
      <c r="CS2" s="1">
        <v>104.181</v>
      </c>
      <c r="CT2" s="1">
        <v>108.786</v>
      </c>
      <c r="CU2" s="1">
        <v>108.498</v>
      </c>
      <c r="CV2" s="1">
        <v>3.2704300000000002</v>
      </c>
      <c r="CW2" s="1">
        <v>105.13500000000001</v>
      </c>
      <c r="CX2" s="1">
        <v>100.371</v>
      </c>
      <c r="CY2" s="1">
        <v>159.89500000000001</v>
      </c>
      <c r="CZ2" s="1">
        <v>115.33799999999999</v>
      </c>
      <c r="DA2" s="1">
        <v>108.851</v>
      </c>
      <c r="DB2" s="1">
        <v>122.61199999999999</v>
      </c>
      <c r="DC2" s="1">
        <v>102.22499999999999</v>
      </c>
      <c r="DD2" s="1" t="s">
        <v>38</v>
      </c>
      <c r="DE2" s="1" t="s">
        <v>7</v>
      </c>
      <c r="DF2" s="1">
        <v>41</v>
      </c>
      <c r="DG2" s="1">
        <v>0.729209</v>
      </c>
    </row>
    <row r="3" spans="1:111" x14ac:dyDescent="0.6">
      <c r="A3" s="1">
        <v>1</v>
      </c>
      <c r="B3" s="1">
        <v>5</v>
      </c>
      <c r="C3" s="1">
        <v>0.8</v>
      </c>
      <c r="D3" s="1">
        <v>0.2</v>
      </c>
      <c r="E3" s="1">
        <v>135.06899999999999</v>
      </c>
      <c r="F3" s="1">
        <v>138.881</v>
      </c>
      <c r="G3" s="1">
        <v>145.684</v>
      </c>
      <c r="H3" s="1">
        <v>138.33000000000001</v>
      </c>
      <c r="I3" s="1">
        <v>140.715</v>
      </c>
      <c r="J3" s="1">
        <v>135.857</v>
      </c>
      <c r="K3" s="1">
        <v>129.57900000000001</v>
      </c>
      <c r="L3" s="1">
        <v>142.167</v>
      </c>
      <c r="M3" s="1" t="s">
        <v>144</v>
      </c>
      <c r="N3" s="1">
        <v>145.19300000000001</v>
      </c>
      <c r="O3" s="1">
        <v>135.61000000000001</v>
      </c>
      <c r="P3" s="1">
        <v>134.40100000000001</v>
      </c>
      <c r="Q3" s="1">
        <v>135.54</v>
      </c>
      <c r="R3" s="1">
        <v>133.84100000000001</v>
      </c>
      <c r="S3" s="1">
        <v>135.364</v>
      </c>
      <c r="T3" s="1">
        <v>148.34299999999999</v>
      </c>
      <c r="U3" s="1">
        <v>135.54</v>
      </c>
      <c r="V3" s="1">
        <v>41.716700000000003</v>
      </c>
      <c r="W3" s="1">
        <v>104.214</v>
      </c>
      <c r="X3" s="1">
        <v>135.61199999999999</v>
      </c>
      <c r="Y3" s="1">
        <v>135.874</v>
      </c>
      <c r="Z3" s="1">
        <v>136.191</v>
      </c>
      <c r="AA3" s="1">
        <v>148.76599999999999</v>
      </c>
      <c r="AB3" s="1">
        <v>114.86</v>
      </c>
      <c r="AC3" s="1">
        <v>135.53399999999999</v>
      </c>
      <c r="AD3" s="1">
        <v>143.36600000000001</v>
      </c>
      <c r="AE3" s="1">
        <v>142.45400000000001</v>
      </c>
      <c r="AF3" s="1">
        <v>137.989</v>
      </c>
      <c r="AG3" s="1">
        <v>88.034800000000004</v>
      </c>
      <c r="AH3" s="1">
        <v>146.28700000000001</v>
      </c>
      <c r="AI3" s="1">
        <v>138.953</v>
      </c>
      <c r="AJ3" s="1">
        <v>139.63499999999999</v>
      </c>
      <c r="AK3" s="1">
        <v>136.31800000000001</v>
      </c>
      <c r="AL3" s="1">
        <v>100</v>
      </c>
      <c r="AM3" s="1">
        <v>144.66399999999999</v>
      </c>
      <c r="AN3" s="1">
        <v>117.735</v>
      </c>
      <c r="AO3" s="1">
        <v>137.28</v>
      </c>
      <c r="AP3" s="1">
        <v>134.852</v>
      </c>
      <c r="AQ3" s="1">
        <v>131.44300000000001</v>
      </c>
      <c r="AR3" s="1">
        <v>226.80600000000001</v>
      </c>
      <c r="AS3" s="1">
        <v>197.13200000000001</v>
      </c>
      <c r="AT3" s="1">
        <v>130.56700000000001</v>
      </c>
      <c r="AU3" s="1">
        <v>134.22300000000001</v>
      </c>
      <c r="AV3" s="1">
        <v>131.316</v>
      </c>
      <c r="AW3" s="1">
        <v>134.928</v>
      </c>
      <c r="AX3" s="1">
        <v>135.29599999999999</v>
      </c>
      <c r="AY3" s="1">
        <v>136.96299999999999</v>
      </c>
      <c r="AZ3" s="1">
        <v>141.88900000000001</v>
      </c>
      <c r="BA3" s="1">
        <v>136.72200000000001</v>
      </c>
      <c r="BB3" s="1">
        <v>159.178</v>
      </c>
      <c r="BC3" s="1">
        <v>133.95500000000001</v>
      </c>
      <c r="BD3" s="1">
        <v>143.19999999999999</v>
      </c>
      <c r="BE3" s="1">
        <v>137.79900000000001</v>
      </c>
      <c r="BF3" s="1">
        <v>129.04400000000001</v>
      </c>
      <c r="BG3" s="1">
        <v>134.446</v>
      </c>
      <c r="BH3" s="1">
        <v>678.947</v>
      </c>
      <c r="BI3" s="1">
        <v>146.429</v>
      </c>
      <c r="BJ3" s="1">
        <v>142.06200000000001</v>
      </c>
      <c r="BK3" s="1">
        <v>136.18199999999999</v>
      </c>
      <c r="BL3" s="1">
        <v>132.947</v>
      </c>
      <c r="BM3" s="1">
        <v>142.91900000000001</v>
      </c>
      <c r="BN3" s="1">
        <v>135.54</v>
      </c>
      <c r="BO3" s="1">
        <v>135.41800000000001</v>
      </c>
      <c r="BP3" s="1">
        <v>240.80699999999999</v>
      </c>
      <c r="BQ3" s="1">
        <v>135.136</v>
      </c>
      <c r="BR3" s="1">
        <v>136.44300000000001</v>
      </c>
      <c r="BS3" s="1">
        <v>129.59200000000001</v>
      </c>
      <c r="BT3" s="1">
        <v>135.654</v>
      </c>
      <c r="BU3" s="1">
        <v>135.71</v>
      </c>
      <c r="BV3" s="1">
        <v>135.54300000000001</v>
      </c>
      <c r="BW3" s="1">
        <v>353.13299999999998</v>
      </c>
      <c r="BX3" s="1">
        <v>135.54</v>
      </c>
      <c r="BY3" s="1">
        <v>137.071</v>
      </c>
      <c r="BZ3" s="1">
        <v>148.34299999999999</v>
      </c>
      <c r="CA3" s="1">
        <v>135.85</v>
      </c>
      <c r="CB3" s="1">
        <v>122.88800000000001</v>
      </c>
      <c r="CC3" s="1">
        <v>136.196</v>
      </c>
      <c r="CD3" s="1">
        <v>136.63200000000001</v>
      </c>
      <c r="CE3" s="1">
        <v>134.999</v>
      </c>
      <c r="CF3" s="1">
        <v>92.534199999999998</v>
      </c>
      <c r="CG3" s="1">
        <v>135.34899999999999</v>
      </c>
      <c r="CH3" s="1">
        <v>141.33500000000001</v>
      </c>
      <c r="CI3" s="1">
        <v>135.899</v>
      </c>
      <c r="CJ3" s="1">
        <v>140.30500000000001</v>
      </c>
      <c r="CK3" s="1">
        <v>142.142</v>
      </c>
      <c r="CL3" s="1">
        <v>141.84700000000001</v>
      </c>
      <c r="CM3" s="1">
        <v>135.542</v>
      </c>
      <c r="CN3" s="1">
        <v>156.798</v>
      </c>
      <c r="CO3" s="1">
        <v>142.09</v>
      </c>
      <c r="CP3" s="1">
        <v>128.99100000000001</v>
      </c>
      <c r="CQ3" s="1">
        <v>135.54</v>
      </c>
      <c r="CR3" s="1">
        <v>123.018</v>
      </c>
      <c r="CS3" s="1">
        <v>132.72300000000001</v>
      </c>
      <c r="CT3" s="1">
        <v>136.93799999999999</v>
      </c>
      <c r="CU3" s="1">
        <v>136</v>
      </c>
      <c r="CV3" s="1">
        <v>4.4239699999999997</v>
      </c>
      <c r="CW3" s="1">
        <v>131.55099999999999</v>
      </c>
      <c r="CX3" s="1">
        <v>122.336</v>
      </c>
      <c r="CY3" s="1">
        <v>159.99799999999999</v>
      </c>
      <c r="CZ3" s="1">
        <v>135.964</v>
      </c>
      <c r="DA3" s="1">
        <v>136.494</v>
      </c>
      <c r="DB3" s="1">
        <v>147.001</v>
      </c>
      <c r="DC3" s="1">
        <v>132.39099999999999</v>
      </c>
      <c r="DD3" s="1" t="s">
        <v>38</v>
      </c>
      <c r="DE3" s="1" t="s">
        <v>7</v>
      </c>
      <c r="DF3" s="1">
        <v>41</v>
      </c>
      <c r="DG3" s="1">
        <v>0.67232000000000003</v>
      </c>
    </row>
    <row r="4" spans="1:111" x14ac:dyDescent="0.6">
      <c r="A4" s="1">
        <v>2</v>
      </c>
      <c r="B4" s="1">
        <v>10</v>
      </c>
      <c r="C4" s="1">
        <v>0.9</v>
      </c>
      <c r="D4" s="1">
        <v>0.1</v>
      </c>
      <c r="E4" s="1">
        <v>151.779</v>
      </c>
      <c r="F4" s="1">
        <v>152.80099999999999</v>
      </c>
      <c r="G4" s="1">
        <v>152.41999999999999</v>
      </c>
      <c r="H4" s="1">
        <v>147.82900000000001</v>
      </c>
      <c r="I4" s="1">
        <v>150.77000000000001</v>
      </c>
      <c r="J4" s="1">
        <v>154.33199999999999</v>
      </c>
      <c r="K4" s="1">
        <v>144.309</v>
      </c>
      <c r="L4" s="1">
        <v>149.79900000000001</v>
      </c>
      <c r="M4" s="1" t="s">
        <v>144</v>
      </c>
      <c r="N4" s="1">
        <v>189.827</v>
      </c>
      <c r="O4" s="1">
        <v>151.52500000000001</v>
      </c>
      <c r="P4" s="1">
        <v>148.035</v>
      </c>
      <c r="Q4" s="1">
        <v>150.292</v>
      </c>
      <c r="R4" s="1">
        <v>145.38800000000001</v>
      </c>
      <c r="S4" s="1">
        <v>150.79300000000001</v>
      </c>
      <c r="T4" s="1">
        <v>195.00299999999999</v>
      </c>
      <c r="U4" s="1">
        <v>150.292</v>
      </c>
      <c r="V4" s="1">
        <v>52.665999999999997</v>
      </c>
      <c r="W4" s="1">
        <v>319.39499999999998</v>
      </c>
      <c r="X4" s="1">
        <v>150.49100000000001</v>
      </c>
      <c r="Y4" s="1">
        <v>151.232</v>
      </c>
      <c r="Z4" s="1">
        <v>152.607</v>
      </c>
      <c r="AA4" s="1">
        <v>223.83699999999999</v>
      </c>
      <c r="AB4" s="1">
        <v>115.074</v>
      </c>
      <c r="AC4" s="1">
        <v>150.94900000000001</v>
      </c>
      <c r="AD4" s="1">
        <v>152.501</v>
      </c>
      <c r="AE4" s="1">
        <v>186.578</v>
      </c>
      <c r="AF4" s="1">
        <v>147.20400000000001</v>
      </c>
      <c r="AG4" s="1">
        <v>240.56399999999999</v>
      </c>
      <c r="AH4" s="1">
        <v>153.62799999999999</v>
      </c>
      <c r="AI4" s="1">
        <v>147.61699999999999</v>
      </c>
      <c r="AJ4" s="1">
        <v>165.39699999999999</v>
      </c>
      <c r="AK4" s="1">
        <v>152.41800000000001</v>
      </c>
      <c r="AL4" s="1">
        <v>100</v>
      </c>
      <c r="AM4" s="1">
        <v>154.429</v>
      </c>
      <c r="AN4" s="1">
        <v>137.62799999999999</v>
      </c>
      <c r="AO4" s="1">
        <v>147.54900000000001</v>
      </c>
      <c r="AP4" s="1">
        <v>144.21600000000001</v>
      </c>
      <c r="AQ4" s="1">
        <v>151.06299999999999</v>
      </c>
      <c r="AR4" s="1">
        <v>423.226</v>
      </c>
      <c r="AS4" s="1">
        <v>352.58499999999998</v>
      </c>
      <c r="AT4" s="1">
        <v>151.989</v>
      </c>
      <c r="AU4" s="1">
        <v>154.43299999999999</v>
      </c>
      <c r="AV4" s="1">
        <v>146.65600000000001</v>
      </c>
      <c r="AW4" s="1">
        <v>152.078</v>
      </c>
      <c r="AX4" s="1">
        <v>155.386</v>
      </c>
      <c r="AY4" s="1">
        <v>160.608</v>
      </c>
      <c r="AZ4" s="1">
        <v>150.74</v>
      </c>
      <c r="BA4" s="1">
        <v>147.60300000000001</v>
      </c>
      <c r="BB4" s="1">
        <v>174.07599999999999</v>
      </c>
      <c r="BC4" s="1">
        <v>146.94999999999999</v>
      </c>
      <c r="BD4" s="1">
        <v>157.6</v>
      </c>
      <c r="BE4" s="1">
        <v>160.92699999999999</v>
      </c>
      <c r="BF4" s="1">
        <v>145.47999999999999</v>
      </c>
      <c r="BG4" s="1">
        <v>153.93</v>
      </c>
      <c r="BH4" s="1">
        <v>2654.45</v>
      </c>
      <c r="BI4" s="1">
        <v>152.99</v>
      </c>
      <c r="BJ4" s="1">
        <v>159.34399999999999</v>
      </c>
      <c r="BK4" s="1">
        <v>148.077</v>
      </c>
      <c r="BL4" s="1">
        <v>147.94</v>
      </c>
      <c r="BM4" s="1">
        <v>175.40600000000001</v>
      </c>
      <c r="BN4" s="1">
        <v>150.292</v>
      </c>
      <c r="BO4" s="1">
        <v>147.67699999999999</v>
      </c>
      <c r="BP4" s="1">
        <v>327.29000000000002</v>
      </c>
      <c r="BQ4" s="1">
        <v>152.357</v>
      </c>
      <c r="BR4" s="1">
        <v>160.34899999999999</v>
      </c>
      <c r="BS4" s="1">
        <v>150.761</v>
      </c>
      <c r="BT4" s="1">
        <v>150.47200000000001</v>
      </c>
      <c r="BU4" s="1">
        <v>154.053</v>
      </c>
      <c r="BV4" s="1">
        <v>150.29900000000001</v>
      </c>
      <c r="BW4" s="1">
        <v>560.17399999999998</v>
      </c>
      <c r="BX4" s="1">
        <v>150.292</v>
      </c>
      <c r="BY4" s="1">
        <v>147.547</v>
      </c>
      <c r="BZ4" s="1">
        <v>195.00299999999999</v>
      </c>
      <c r="CA4" s="1">
        <v>149.376</v>
      </c>
      <c r="CB4" s="1">
        <v>140.76499999999999</v>
      </c>
      <c r="CC4" s="1">
        <v>149.40899999999999</v>
      </c>
      <c r="CD4" s="1">
        <v>147.934</v>
      </c>
      <c r="CE4" s="1">
        <v>153.00800000000001</v>
      </c>
      <c r="CF4" s="1">
        <v>94.675700000000006</v>
      </c>
      <c r="CG4" s="1">
        <v>151.51300000000001</v>
      </c>
      <c r="CH4" s="1">
        <v>148.38800000000001</v>
      </c>
      <c r="CI4" s="1">
        <v>149.375</v>
      </c>
      <c r="CJ4" s="1">
        <v>153.39599999999999</v>
      </c>
      <c r="CK4" s="1">
        <v>148.727</v>
      </c>
      <c r="CL4" s="1">
        <v>149.55000000000001</v>
      </c>
      <c r="CM4" s="1">
        <v>150.29599999999999</v>
      </c>
      <c r="CN4" s="1">
        <v>164.61</v>
      </c>
      <c r="CO4" s="1">
        <v>149.47</v>
      </c>
      <c r="CP4" s="1">
        <v>143.84800000000001</v>
      </c>
      <c r="CQ4" s="1">
        <v>150.292</v>
      </c>
      <c r="CR4" s="1">
        <v>139.92699999999999</v>
      </c>
      <c r="CS4" s="1">
        <v>146.012</v>
      </c>
      <c r="CT4" s="1">
        <v>148.857</v>
      </c>
      <c r="CU4" s="1">
        <v>148</v>
      </c>
      <c r="CV4" s="1">
        <v>5.1534599999999999</v>
      </c>
      <c r="CW4" s="1">
        <v>145.185</v>
      </c>
      <c r="CX4" s="1">
        <v>145.64699999999999</v>
      </c>
      <c r="CY4" s="1">
        <v>160</v>
      </c>
      <c r="CZ4" s="1">
        <v>148.64699999999999</v>
      </c>
      <c r="DA4" s="1">
        <v>148.55600000000001</v>
      </c>
      <c r="DB4" s="1">
        <v>166.86600000000001</v>
      </c>
      <c r="DC4" s="1">
        <v>163.42699999999999</v>
      </c>
      <c r="DD4" s="1" t="s">
        <v>38</v>
      </c>
      <c r="DE4" s="1" t="s">
        <v>7</v>
      </c>
      <c r="DF4" s="1">
        <v>41</v>
      </c>
      <c r="DG4" s="1">
        <v>0.65132199999999996</v>
      </c>
    </row>
    <row r="5" spans="1:111" x14ac:dyDescent="0.6">
      <c r="A5" s="1">
        <v>3</v>
      </c>
      <c r="B5" s="1">
        <v>25</v>
      </c>
      <c r="C5" s="1">
        <v>0.96</v>
      </c>
      <c r="D5" s="1">
        <v>0.04</v>
      </c>
      <c r="E5" s="1">
        <v>170.554</v>
      </c>
      <c r="F5" s="1">
        <v>164.61099999999999</v>
      </c>
      <c r="G5" s="1">
        <v>154.36699999999999</v>
      </c>
      <c r="H5" s="1">
        <v>154.57400000000001</v>
      </c>
      <c r="I5" s="1">
        <v>156.495</v>
      </c>
      <c r="J5" s="1">
        <v>175.51300000000001</v>
      </c>
      <c r="K5" s="1">
        <v>153.60400000000001</v>
      </c>
      <c r="L5" s="1">
        <v>154.846</v>
      </c>
      <c r="M5" s="1" t="s">
        <v>144</v>
      </c>
      <c r="N5" s="1">
        <v>316.75400000000002</v>
      </c>
      <c r="O5" s="1">
        <v>168.90700000000001</v>
      </c>
      <c r="P5" s="1">
        <v>160.744</v>
      </c>
      <c r="Q5" s="1">
        <v>166.024</v>
      </c>
      <c r="R5" s="1">
        <v>158.767</v>
      </c>
      <c r="S5" s="1">
        <v>167.512</v>
      </c>
      <c r="T5" s="1">
        <v>256.685</v>
      </c>
      <c r="U5" s="1">
        <v>166.024</v>
      </c>
      <c r="V5" s="1">
        <v>109.09699999999999</v>
      </c>
      <c r="W5" s="1">
        <v>1244.43</v>
      </c>
      <c r="X5" s="1">
        <v>166.386</v>
      </c>
      <c r="Y5" s="1">
        <v>167.84399999999999</v>
      </c>
      <c r="Z5" s="1">
        <v>172.46199999999999</v>
      </c>
      <c r="AA5" s="1">
        <v>467.084</v>
      </c>
      <c r="AB5" s="1">
        <v>115.315</v>
      </c>
      <c r="AC5" s="1">
        <v>167.64</v>
      </c>
      <c r="AD5" s="1">
        <v>157.37700000000001</v>
      </c>
      <c r="AE5" s="1">
        <v>244.90700000000001</v>
      </c>
      <c r="AF5" s="1">
        <v>154.227</v>
      </c>
      <c r="AG5" s="1">
        <v>824.57600000000002</v>
      </c>
      <c r="AH5" s="1">
        <v>157.589</v>
      </c>
      <c r="AI5" s="1">
        <v>154.44399999999999</v>
      </c>
      <c r="AJ5" s="1">
        <v>196.73099999999999</v>
      </c>
      <c r="AK5" s="1">
        <v>171.82</v>
      </c>
      <c r="AL5" s="1">
        <v>100</v>
      </c>
      <c r="AM5" s="1">
        <v>158.53899999999999</v>
      </c>
      <c r="AN5" s="1">
        <v>171.08600000000001</v>
      </c>
      <c r="AO5" s="1">
        <v>157.154</v>
      </c>
      <c r="AP5" s="1">
        <v>152.97499999999999</v>
      </c>
      <c r="AQ5" s="1">
        <v>175.85400000000001</v>
      </c>
      <c r="AR5" s="1">
        <v>1004.75</v>
      </c>
      <c r="AS5" s="1">
        <v>656.95500000000004</v>
      </c>
      <c r="AT5" s="1">
        <v>179.15100000000001</v>
      </c>
      <c r="AU5" s="1">
        <v>177.18</v>
      </c>
      <c r="AV5" s="1">
        <v>166.36600000000001</v>
      </c>
      <c r="AW5" s="1">
        <v>171.41499999999999</v>
      </c>
      <c r="AX5" s="1">
        <v>179.114</v>
      </c>
      <c r="AY5" s="1">
        <v>190.48400000000001</v>
      </c>
      <c r="AZ5" s="1">
        <v>156.07900000000001</v>
      </c>
      <c r="BA5" s="1">
        <v>157.85300000000001</v>
      </c>
      <c r="BB5" s="1">
        <v>183.01400000000001</v>
      </c>
      <c r="BC5" s="1">
        <v>154.82599999999999</v>
      </c>
      <c r="BD5" s="1">
        <v>166.24</v>
      </c>
      <c r="BE5" s="1">
        <v>187.673</v>
      </c>
      <c r="BF5" s="1">
        <v>167.20699999999999</v>
      </c>
      <c r="BG5" s="1">
        <v>179.68700000000001</v>
      </c>
      <c r="BH5" s="1">
        <v>16482.5</v>
      </c>
      <c r="BI5" s="1">
        <v>156.62299999999999</v>
      </c>
      <c r="BJ5" s="1">
        <v>177.773</v>
      </c>
      <c r="BK5" s="1">
        <v>159.809</v>
      </c>
      <c r="BL5" s="1">
        <v>166.07300000000001</v>
      </c>
      <c r="BM5" s="1">
        <v>229.92400000000001</v>
      </c>
      <c r="BN5" s="1">
        <v>166.02500000000001</v>
      </c>
      <c r="BO5" s="1">
        <v>155.06299999999999</v>
      </c>
      <c r="BP5" s="1">
        <v>441.61399999999998</v>
      </c>
      <c r="BQ5" s="1">
        <v>171.41</v>
      </c>
      <c r="BR5" s="1">
        <v>190.82300000000001</v>
      </c>
      <c r="BS5" s="1">
        <v>178.49199999999999</v>
      </c>
      <c r="BT5" s="1">
        <v>166.28800000000001</v>
      </c>
      <c r="BU5" s="1">
        <v>175.07</v>
      </c>
      <c r="BV5" s="1">
        <v>166.035</v>
      </c>
      <c r="BW5" s="1">
        <v>793.58500000000004</v>
      </c>
      <c r="BX5" s="1">
        <v>166.024</v>
      </c>
      <c r="BY5" s="1">
        <v>157.24</v>
      </c>
      <c r="BZ5" s="1">
        <v>256.685</v>
      </c>
      <c r="CA5" s="1">
        <v>163.27099999999999</v>
      </c>
      <c r="CB5" s="1">
        <v>152.14599999999999</v>
      </c>
      <c r="CC5" s="1">
        <v>162.97</v>
      </c>
      <c r="CD5" s="1">
        <v>158.922</v>
      </c>
      <c r="CE5" s="1">
        <v>173.03800000000001</v>
      </c>
      <c r="CF5" s="1">
        <v>94.978700000000003</v>
      </c>
      <c r="CG5" s="1">
        <v>169.33699999999999</v>
      </c>
      <c r="CH5" s="1">
        <v>162.74799999999999</v>
      </c>
      <c r="CI5" s="1">
        <v>163.916</v>
      </c>
      <c r="CJ5" s="1">
        <v>163.16900000000001</v>
      </c>
      <c r="CK5" s="1">
        <v>153.477</v>
      </c>
      <c r="CL5" s="1">
        <v>154.71700000000001</v>
      </c>
      <c r="CM5" s="1">
        <v>166.029</v>
      </c>
      <c r="CN5" s="1">
        <v>169.09100000000001</v>
      </c>
      <c r="CO5" s="1">
        <v>154.53100000000001</v>
      </c>
      <c r="CP5" s="1">
        <v>153.37</v>
      </c>
      <c r="CQ5" s="1">
        <v>166.024</v>
      </c>
      <c r="CR5" s="1">
        <v>151.51599999999999</v>
      </c>
      <c r="CS5" s="1">
        <v>154.31100000000001</v>
      </c>
      <c r="CT5" s="1">
        <v>155.739</v>
      </c>
      <c r="CU5" s="1">
        <v>155.19999999999999</v>
      </c>
      <c r="CV5" s="1">
        <v>5.7056800000000001</v>
      </c>
      <c r="CW5" s="1">
        <v>153.99199999999999</v>
      </c>
      <c r="CX5" s="1">
        <v>180.70599999999999</v>
      </c>
      <c r="CY5" s="1">
        <v>160</v>
      </c>
      <c r="CZ5" s="1">
        <v>161.35900000000001</v>
      </c>
      <c r="DA5" s="1">
        <v>155.79300000000001</v>
      </c>
      <c r="DB5" s="1">
        <v>191.965</v>
      </c>
      <c r="DC5" s="1">
        <v>213.25200000000001</v>
      </c>
      <c r="DD5" s="1" t="s">
        <v>38</v>
      </c>
      <c r="DE5" s="1" t="s">
        <v>7</v>
      </c>
      <c r="DF5" s="1">
        <v>41</v>
      </c>
      <c r="DG5" s="1">
        <v>0.63960300000000003</v>
      </c>
    </row>
    <row r="6" spans="1:111" x14ac:dyDescent="0.6">
      <c r="A6" s="1">
        <v>4</v>
      </c>
      <c r="B6" s="1">
        <v>50</v>
      </c>
      <c r="C6" s="1">
        <v>0.98</v>
      </c>
      <c r="D6" s="1">
        <v>0.02</v>
      </c>
      <c r="E6" s="1">
        <v>183.245</v>
      </c>
      <c r="F6" s="1">
        <v>170.44399999999999</v>
      </c>
      <c r="G6" s="1">
        <v>154.64699999999999</v>
      </c>
      <c r="H6" s="1">
        <v>157.386</v>
      </c>
      <c r="I6" s="1">
        <v>158.31200000000001</v>
      </c>
      <c r="J6" s="1">
        <v>190.035</v>
      </c>
      <c r="K6" s="1">
        <v>156.78200000000001</v>
      </c>
      <c r="L6" s="1">
        <v>157.32400000000001</v>
      </c>
      <c r="M6" s="1" t="s">
        <v>144</v>
      </c>
      <c r="N6" s="1">
        <v>526.07399999999996</v>
      </c>
      <c r="O6" s="1">
        <v>180.363</v>
      </c>
      <c r="P6" s="1">
        <v>167.75700000000001</v>
      </c>
      <c r="Q6" s="1">
        <v>176.18700000000001</v>
      </c>
      <c r="R6" s="1">
        <v>168.15199999999999</v>
      </c>
      <c r="S6" s="1">
        <v>178.459</v>
      </c>
      <c r="T6" s="1">
        <v>303.346</v>
      </c>
      <c r="U6" s="1">
        <v>176.18700000000001</v>
      </c>
      <c r="V6" s="1">
        <v>212.358</v>
      </c>
      <c r="W6" s="1">
        <v>2971.99</v>
      </c>
      <c r="X6" s="1">
        <v>176.67099999999999</v>
      </c>
      <c r="Y6" s="1">
        <v>178.70400000000001</v>
      </c>
      <c r="Z6" s="1">
        <v>186.911</v>
      </c>
      <c r="AA6" s="1">
        <v>883.75400000000002</v>
      </c>
      <c r="AB6" s="1">
        <v>115.47499999999999</v>
      </c>
      <c r="AC6" s="1">
        <v>178.56100000000001</v>
      </c>
      <c r="AD6" s="1">
        <v>158.81399999999999</v>
      </c>
      <c r="AE6" s="1">
        <v>289.03100000000001</v>
      </c>
      <c r="AF6" s="1">
        <v>157.37899999999999</v>
      </c>
      <c r="AG6" s="1">
        <v>1796.76</v>
      </c>
      <c r="AH6" s="1">
        <v>158.828</v>
      </c>
      <c r="AI6" s="1">
        <v>157.727</v>
      </c>
      <c r="AJ6" s="1">
        <v>219.161</v>
      </c>
      <c r="AK6" s="1">
        <v>185.917</v>
      </c>
      <c r="AL6" s="1">
        <v>100</v>
      </c>
      <c r="AM6" s="1">
        <v>159.46899999999999</v>
      </c>
      <c r="AN6" s="1">
        <v>202.71700000000001</v>
      </c>
      <c r="AO6" s="1">
        <v>162.74600000000001</v>
      </c>
      <c r="AP6" s="1">
        <v>158.07400000000001</v>
      </c>
      <c r="AQ6" s="1">
        <v>194.24600000000001</v>
      </c>
      <c r="AR6" s="1">
        <v>1971.41</v>
      </c>
      <c r="AS6" s="1">
        <v>972.26900000000001</v>
      </c>
      <c r="AT6" s="1">
        <v>199.31399999999999</v>
      </c>
      <c r="AU6" s="1">
        <v>192.34399999999999</v>
      </c>
      <c r="AV6" s="1">
        <v>181.184</v>
      </c>
      <c r="AW6" s="1">
        <v>184.517</v>
      </c>
      <c r="AX6" s="1">
        <v>195.78100000000001</v>
      </c>
      <c r="AY6" s="1">
        <v>212.648</v>
      </c>
      <c r="AZ6" s="1">
        <v>158.08099999999999</v>
      </c>
      <c r="BA6" s="1">
        <v>163.81299999999999</v>
      </c>
      <c r="BB6" s="1">
        <v>185.994</v>
      </c>
      <c r="BC6" s="1">
        <v>157.46600000000001</v>
      </c>
      <c r="BD6" s="1">
        <v>169.12</v>
      </c>
      <c r="BE6" s="1">
        <v>205.86600000000001</v>
      </c>
      <c r="BF6" s="1">
        <v>183.643</v>
      </c>
      <c r="BG6" s="1">
        <v>199.17099999999999</v>
      </c>
      <c r="BH6" s="1">
        <v>65868.5</v>
      </c>
      <c r="BI6" s="1">
        <v>158.05799999999999</v>
      </c>
      <c r="BJ6" s="1">
        <v>189.679</v>
      </c>
      <c r="BK6" s="1">
        <v>166.91900000000001</v>
      </c>
      <c r="BL6" s="1">
        <v>179.26900000000001</v>
      </c>
      <c r="BM6" s="1">
        <v>282.14100000000002</v>
      </c>
      <c r="BN6" s="1">
        <v>176.18799999999999</v>
      </c>
      <c r="BO6" s="1">
        <v>157.53</v>
      </c>
      <c r="BP6" s="1">
        <v>528.09699999999998</v>
      </c>
      <c r="BQ6" s="1">
        <v>184.035</v>
      </c>
      <c r="BR6" s="1">
        <v>213.62700000000001</v>
      </c>
      <c r="BS6" s="1">
        <v>199.428</v>
      </c>
      <c r="BT6" s="1">
        <v>176.51499999999999</v>
      </c>
      <c r="BU6" s="1">
        <v>189.458</v>
      </c>
      <c r="BV6" s="1">
        <v>176.20099999999999</v>
      </c>
      <c r="BW6" s="1">
        <v>951.298</v>
      </c>
      <c r="BX6" s="1">
        <v>176.18700000000001</v>
      </c>
      <c r="BY6" s="1">
        <v>162.792</v>
      </c>
      <c r="BZ6" s="1">
        <v>303.346</v>
      </c>
      <c r="CA6" s="1">
        <v>171.96</v>
      </c>
      <c r="CB6" s="1">
        <v>156.047</v>
      </c>
      <c r="CC6" s="1">
        <v>171.48099999999999</v>
      </c>
      <c r="CD6" s="1">
        <v>165.52099999999999</v>
      </c>
      <c r="CE6" s="1">
        <v>186.34</v>
      </c>
      <c r="CF6" s="1">
        <v>94.997600000000006</v>
      </c>
      <c r="CG6" s="1">
        <v>181.179</v>
      </c>
      <c r="CH6" s="1">
        <v>179.28100000000001</v>
      </c>
      <c r="CI6" s="1">
        <v>173.37700000000001</v>
      </c>
      <c r="CJ6" s="1">
        <v>167.36500000000001</v>
      </c>
      <c r="CK6" s="1">
        <v>158.51900000000001</v>
      </c>
      <c r="CL6" s="1">
        <v>157.19800000000001</v>
      </c>
      <c r="CM6" s="1">
        <v>176.19200000000001</v>
      </c>
      <c r="CN6" s="1">
        <v>170.553</v>
      </c>
      <c r="CO6" s="1">
        <v>157.07599999999999</v>
      </c>
      <c r="CP6" s="1">
        <v>156.655</v>
      </c>
      <c r="CQ6" s="1">
        <v>176.18700000000001</v>
      </c>
      <c r="CR6" s="1">
        <v>155.67400000000001</v>
      </c>
      <c r="CS6" s="1">
        <v>157.13900000000001</v>
      </c>
      <c r="CT6" s="1">
        <v>157.93799999999999</v>
      </c>
      <c r="CU6" s="1">
        <v>157.6</v>
      </c>
      <c r="CV6" s="1">
        <v>5.9053800000000001</v>
      </c>
      <c r="CW6" s="1">
        <v>156.99</v>
      </c>
      <c r="CX6" s="1">
        <v>209.87899999999999</v>
      </c>
      <c r="CY6" s="1">
        <v>160</v>
      </c>
      <c r="CZ6" s="1">
        <v>169.161</v>
      </c>
      <c r="DA6" s="1">
        <v>158.20500000000001</v>
      </c>
      <c r="DB6" s="1">
        <v>210.584</v>
      </c>
      <c r="DC6" s="1">
        <v>259.79399999999998</v>
      </c>
      <c r="DD6" s="1" t="s">
        <v>38</v>
      </c>
      <c r="DE6" s="1" t="s">
        <v>7</v>
      </c>
      <c r="DF6" s="1">
        <v>41</v>
      </c>
      <c r="DG6" s="1">
        <v>0.63583000000000001</v>
      </c>
    </row>
    <row r="7" spans="1:111" x14ac:dyDescent="0.6">
      <c r="A7" s="1">
        <v>5</v>
      </c>
      <c r="B7" s="1">
        <v>100</v>
      </c>
      <c r="C7" s="1">
        <v>0.99</v>
      </c>
      <c r="D7" s="1">
        <v>0.01</v>
      </c>
      <c r="E7" s="1">
        <v>195.06</v>
      </c>
      <c r="F7" s="1">
        <v>174.53800000000001</v>
      </c>
      <c r="G7" s="1">
        <v>154.71700000000001</v>
      </c>
      <c r="H7" s="1">
        <v>159.114</v>
      </c>
      <c r="I7" s="1">
        <v>159.18700000000001</v>
      </c>
      <c r="J7" s="1">
        <v>203.67599999999999</v>
      </c>
      <c r="K7" s="1">
        <v>158.386</v>
      </c>
      <c r="L7" s="1">
        <v>159.386</v>
      </c>
      <c r="M7" s="1" t="s">
        <v>144</v>
      </c>
      <c r="N7" s="1">
        <v>943.88900000000001</v>
      </c>
      <c r="O7" s="1">
        <v>190.821</v>
      </c>
      <c r="P7" s="1">
        <v>173.20599999999999</v>
      </c>
      <c r="Q7" s="1">
        <v>185.328</v>
      </c>
      <c r="R7" s="1">
        <v>177.143</v>
      </c>
      <c r="S7" s="1">
        <v>188.404</v>
      </c>
      <c r="T7" s="1">
        <v>350.00700000000001</v>
      </c>
      <c r="U7" s="1">
        <v>185.328</v>
      </c>
      <c r="V7" s="1">
        <v>395.87400000000002</v>
      </c>
      <c r="W7" s="1">
        <v>6345.72</v>
      </c>
      <c r="X7" s="1">
        <v>185.934</v>
      </c>
      <c r="Y7" s="1">
        <v>188.56100000000001</v>
      </c>
      <c r="Z7" s="1">
        <v>201.148</v>
      </c>
      <c r="AA7" s="1">
        <v>1722.19</v>
      </c>
      <c r="AB7" s="1">
        <v>115.622</v>
      </c>
      <c r="AC7" s="1">
        <v>188.47800000000001</v>
      </c>
      <c r="AD7" s="1">
        <v>159.464</v>
      </c>
      <c r="AE7" s="1">
        <v>333.15600000000001</v>
      </c>
      <c r="AF7" s="1">
        <v>159.43199999999999</v>
      </c>
      <c r="AG7" s="1">
        <v>3510.79</v>
      </c>
      <c r="AH7" s="1">
        <v>159.42699999999999</v>
      </c>
      <c r="AI7" s="1">
        <v>160.041</v>
      </c>
      <c r="AJ7" s="1">
        <v>240.839</v>
      </c>
      <c r="AK7" s="1">
        <v>199.798</v>
      </c>
      <c r="AL7" s="1">
        <v>100</v>
      </c>
      <c r="AM7" s="1">
        <v>159.80699999999999</v>
      </c>
      <c r="AN7" s="1">
        <v>240.62899999999999</v>
      </c>
      <c r="AO7" s="1">
        <v>167.423</v>
      </c>
      <c r="AP7" s="1">
        <v>162.339</v>
      </c>
      <c r="AQ7" s="1">
        <v>212.501</v>
      </c>
      <c r="AR7" s="1">
        <v>3903.78</v>
      </c>
      <c r="AS7" s="1">
        <v>1369.78</v>
      </c>
      <c r="AT7" s="1">
        <v>219.33199999999999</v>
      </c>
      <c r="AU7" s="1">
        <v>206.22200000000001</v>
      </c>
      <c r="AV7" s="1">
        <v>195.98699999999999</v>
      </c>
      <c r="AW7" s="1">
        <v>196.73400000000001</v>
      </c>
      <c r="AX7" s="1">
        <v>211.71</v>
      </c>
      <c r="AY7" s="1">
        <v>234.648</v>
      </c>
      <c r="AZ7" s="1">
        <v>159.268</v>
      </c>
      <c r="BA7" s="1">
        <v>168.773</v>
      </c>
      <c r="BB7" s="1">
        <v>187.5</v>
      </c>
      <c r="BC7" s="1">
        <v>158.79</v>
      </c>
      <c r="BD7" s="1">
        <v>170.56</v>
      </c>
      <c r="BE7" s="1">
        <v>222.733</v>
      </c>
      <c r="BF7" s="1">
        <v>200.07900000000001</v>
      </c>
      <c r="BG7" s="1">
        <v>218.655</v>
      </c>
      <c r="BH7" s="1">
        <v>263412</v>
      </c>
      <c r="BI7" s="1">
        <v>158.99199999999999</v>
      </c>
      <c r="BJ7" s="1">
        <v>200.38800000000001</v>
      </c>
      <c r="BK7" s="1">
        <v>173.02799999999999</v>
      </c>
      <c r="BL7" s="1">
        <v>192.27199999999999</v>
      </c>
      <c r="BM7" s="1">
        <v>346.2</v>
      </c>
      <c r="BN7" s="1">
        <v>185.32900000000001</v>
      </c>
      <c r="BO7" s="1">
        <v>158.76499999999999</v>
      </c>
      <c r="BP7" s="1">
        <v>614.58000000000004</v>
      </c>
      <c r="BQ7" s="1">
        <v>195.57499999999999</v>
      </c>
      <c r="BR7" s="1">
        <v>236.429</v>
      </c>
      <c r="BS7" s="1">
        <v>220.357</v>
      </c>
      <c r="BT7" s="1">
        <v>185.71899999999999</v>
      </c>
      <c r="BU7" s="1">
        <v>202.95099999999999</v>
      </c>
      <c r="BV7" s="1">
        <v>185.346</v>
      </c>
      <c r="BW7" s="1">
        <v>1097.8</v>
      </c>
      <c r="BX7" s="1">
        <v>185.328</v>
      </c>
      <c r="BY7" s="1">
        <v>167.363</v>
      </c>
      <c r="BZ7" s="1">
        <v>350.00700000000001</v>
      </c>
      <c r="CA7" s="1">
        <v>179.58600000000001</v>
      </c>
      <c r="CB7" s="1">
        <v>158.017</v>
      </c>
      <c r="CC7" s="1">
        <v>178.99100000000001</v>
      </c>
      <c r="CD7" s="1">
        <v>171.16399999999999</v>
      </c>
      <c r="CE7" s="1">
        <v>198.50700000000001</v>
      </c>
      <c r="CF7" s="1">
        <v>95.000100000000003</v>
      </c>
      <c r="CG7" s="1">
        <v>192.05500000000001</v>
      </c>
      <c r="CH7" s="1">
        <v>202.33500000000001</v>
      </c>
      <c r="CI7" s="1">
        <v>181.923</v>
      </c>
      <c r="CJ7" s="1">
        <v>169.98</v>
      </c>
      <c r="CK7" s="1">
        <v>167.89699999999999</v>
      </c>
      <c r="CL7" s="1">
        <v>159.12700000000001</v>
      </c>
      <c r="CM7" s="1">
        <v>185.334</v>
      </c>
      <c r="CN7" s="1">
        <v>171.27799999999999</v>
      </c>
      <c r="CO7" s="1">
        <v>158.875</v>
      </c>
      <c r="CP7" s="1">
        <v>158.32</v>
      </c>
      <c r="CQ7" s="1">
        <v>185.328</v>
      </c>
      <c r="CR7" s="1">
        <v>157.815</v>
      </c>
      <c r="CS7" s="1">
        <v>158.565</v>
      </c>
      <c r="CT7" s="1">
        <v>159</v>
      </c>
      <c r="CU7" s="1">
        <v>158.80000000000001</v>
      </c>
      <c r="CV7" s="1">
        <v>6.00678</v>
      </c>
      <c r="CW7" s="1">
        <v>158.494</v>
      </c>
      <c r="CX7" s="1">
        <v>240.91900000000001</v>
      </c>
      <c r="CY7" s="1">
        <v>160</v>
      </c>
      <c r="CZ7" s="1">
        <v>175.923</v>
      </c>
      <c r="DA7" s="1">
        <v>159.411</v>
      </c>
      <c r="DB7" s="1">
        <v>229.06700000000001</v>
      </c>
      <c r="DC7" s="1">
        <v>316.03300000000002</v>
      </c>
      <c r="DD7" s="1" t="s">
        <v>38</v>
      </c>
      <c r="DE7" s="1" t="s">
        <v>7</v>
      </c>
      <c r="DF7" s="1">
        <v>41</v>
      </c>
      <c r="DG7" s="1">
        <v>0.63396799999999998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F8E49-787B-42A5-8853-3A8AB20BD89C}">
  <dimension ref="A1:Q12"/>
  <sheetViews>
    <sheetView showGridLines="0" zoomScale="145" zoomScaleNormal="145" workbookViewId="0">
      <selection activeCell="E3" sqref="E3"/>
    </sheetView>
  </sheetViews>
  <sheetFormatPr defaultRowHeight="16.5" x14ac:dyDescent="0.6"/>
  <cols>
    <col min="1" max="1" width="3.33203125" style="1" customWidth="1"/>
    <col min="2" max="2" width="18.1328125" style="1" bestFit="1" customWidth="1"/>
    <col min="3" max="3" width="18.3984375" style="1" customWidth="1"/>
    <col min="4" max="4" width="10.33203125" style="1" bestFit="1" customWidth="1"/>
    <col min="5" max="5" width="11.33203125" style="1" customWidth="1"/>
    <col min="6" max="6" width="8.73046875" style="1" bestFit="1" customWidth="1"/>
    <col min="7" max="7" width="6.53125" style="1" bestFit="1" customWidth="1"/>
    <col min="8" max="8" width="2.265625" style="1" bestFit="1" customWidth="1"/>
    <col min="9" max="9" width="2.73046875" style="1" bestFit="1" customWidth="1"/>
    <col min="10" max="11" width="7.73046875" style="1" bestFit="1" customWidth="1"/>
    <col min="12" max="12" width="5.53125" style="1" bestFit="1" customWidth="1"/>
    <col min="13" max="13" width="6.19921875" style="1" bestFit="1" customWidth="1"/>
    <col min="14" max="15" width="6.53125" style="1" bestFit="1" customWidth="1"/>
    <col min="16" max="16" width="6.46484375" style="1" bestFit="1" customWidth="1"/>
    <col min="17" max="17" width="10.33203125" style="1" bestFit="1" customWidth="1"/>
    <col min="18" max="16384" width="9.06640625" style="1"/>
  </cols>
  <sheetData>
    <row r="1" spans="1:17" x14ac:dyDescent="0.6">
      <c r="A1" s="1" t="s">
        <v>1</v>
      </c>
      <c r="B1" s="1" t="s">
        <v>5</v>
      </c>
      <c r="C1" s="1" t="s">
        <v>4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6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</row>
    <row r="2" spans="1:17" x14ac:dyDescent="0.6">
      <c r="A2" s="1">
        <v>0</v>
      </c>
      <c r="B2" s="1" t="s">
        <v>7</v>
      </c>
      <c r="C2" s="1" t="s">
        <v>29</v>
      </c>
      <c r="D2" s="1" t="s">
        <v>2</v>
      </c>
      <c r="E2" s="1">
        <v>9.7888199999999995E-2</v>
      </c>
      <c r="F2" s="1">
        <v>0.212396</v>
      </c>
      <c r="G2" s="1" t="s">
        <v>28</v>
      </c>
      <c r="H2" s="1">
        <v>1</v>
      </c>
      <c r="I2" s="1">
        <v>41</v>
      </c>
      <c r="J2" s="1">
        <v>39.726500000000001</v>
      </c>
      <c r="K2" s="1">
        <v>120.274</v>
      </c>
      <c r="L2" s="1">
        <v>1.1595899999999999</v>
      </c>
      <c r="M2" s="1">
        <v>0.95024799999999998</v>
      </c>
      <c r="P2" s="1">
        <v>1</v>
      </c>
      <c r="Q2" s="1">
        <v>1</v>
      </c>
    </row>
    <row r="3" spans="1:17" x14ac:dyDescent="0.6">
      <c r="A3" s="1">
        <v>0</v>
      </c>
      <c r="B3" s="1" t="s">
        <v>7</v>
      </c>
      <c r="C3" s="1" t="s">
        <v>30</v>
      </c>
      <c r="D3" s="1" t="s">
        <v>3</v>
      </c>
      <c r="E3" s="1">
        <v>8.9522900000000002E-2</v>
      </c>
      <c r="F3" s="1">
        <v>0.212396</v>
      </c>
      <c r="G3" s="1" t="s">
        <v>28</v>
      </c>
      <c r="H3" s="1">
        <v>1</v>
      </c>
      <c r="I3" s="1">
        <v>41</v>
      </c>
      <c r="J3" s="1">
        <v>107.31699999999999</v>
      </c>
      <c r="K3" s="1">
        <v>67.067400000000006</v>
      </c>
      <c r="P3" s="1">
        <v>1</v>
      </c>
      <c r="Q3" s="1">
        <v>1</v>
      </c>
    </row>
    <row r="4" spans="1:17" x14ac:dyDescent="0.6">
      <c r="A4" s="1">
        <v>0</v>
      </c>
      <c r="B4" s="1" t="s">
        <v>7</v>
      </c>
      <c r="C4" s="1" t="s">
        <v>31</v>
      </c>
      <c r="D4" s="1" t="s">
        <v>3</v>
      </c>
      <c r="E4" s="1">
        <v>9.1103900000000002E-2</v>
      </c>
      <c r="F4" s="1">
        <v>0.212396</v>
      </c>
      <c r="G4" s="1" t="s">
        <v>28</v>
      </c>
      <c r="H4" s="1">
        <v>1</v>
      </c>
      <c r="I4" s="1">
        <v>41</v>
      </c>
      <c r="J4" s="1">
        <v>107.31699999999999</v>
      </c>
      <c r="K4" s="1">
        <v>67.067400000000006</v>
      </c>
      <c r="P4" s="1">
        <v>1</v>
      </c>
      <c r="Q4" s="1">
        <v>1</v>
      </c>
    </row>
    <row r="5" spans="1:17" x14ac:dyDescent="0.6">
      <c r="A5" s="1">
        <v>0</v>
      </c>
      <c r="B5" s="1" t="s">
        <v>7</v>
      </c>
      <c r="C5" s="1" t="s">
        <v>32</v>
      </c>
      <c r="D5" s="1" t="s">
        <v>3</v>
      </c>
      <c r="E5" s="1">
        <v>9.0033699999999994E-2</v>
      </c>
      <c r="F5" s="1">
        <v>0.212396</v>
      </c>
      <c r="G5" s="1" t="s">
        <v>28</v>
      </c>
      <c r="H5" s="1">
        <v>1</v>
      </c>
      <c r="I5" s="1">
        <v>41</v>
      </c>
      <c r="J5" s="1">
        <v>107.31699999999999</v>
      </c>
      <c r="K5" s="1">
        <v>67.067400000000006</v>
      </c>
      <c r="P5" s="1">
        <v>1</v>
      </c>
      <c r="Q5" s="1">
        <v>1</v>
      </c>
    </row>
    <row r="6" spans="1:17" x14ac:dyDescent="0.6">
      <c r="A6" s="1">
        <v>0</v>
      </c>
      <c r="B6" s="1" t="s">
        <v>7</v>
      </c>
      <c r="C6" s="1" t="s">
        <v>33</v>
      </c>
      <c r="D6" s="1" t="s">
        <v>3</v>
      </c>
      <c r="E6" s="1">
        <v>9.0068700000000002E-2</v>
      </c>
      <c r="F6" s="1">
        <v>0.212396</v>
      </c>
      <c r="G6" s="1" t="s">
        <v>28</v>
      </c>
      <c r="H6" s="1">
        <v>1</v>
      </c>
      <c r="I6" s="1">
        <v>41</v>
      </c>
      <c r="J6" s="1">
        <v>107.31699999999999</v>
      </c>
      <c r="K6" s="1">
        <v>67.067400000000006</v>
      </c>
      <c r="P6" s="1">
        <v>1</v>
      </c>
      <c r="Q6" s="1">
        <v>1</v>
      </c>
    </row>
    <row r="7" spans="1:17" x14ac:dyDescent="0.6">
      <c r="A7" s="1">
        <v>0</v>
      </c>
      <c r="B7" s="1" t="s">
        <v>7</v>
      </c>
      <c r="C7" s="1" t="s">
        <v>27</v>
      </c>
      <c r="D7" s="1" t="s">
        <v>3</v>
      </c>
      <c r="E7" s="1">
        <v>8.9805200000000002E-2</v>
      </c>
      <c r="F7" s="1">
        <v>0.212396</v>
      </c>
      <c r="G7" s="1" t="s">
        <v>28</v>
      </c>
      <c r="H7" s="1">
        <v>1</v>
      </c>
      <c r="I7" s="1">
        <v>41</v>
      </c>
      <c r="J7" s="1">
        <v>107.31699999999999</v>
      </c>
      <c r="K7" s="1">
        <v>67.067400000000006</v>
      </c>
      <c r="P7" s="1">
        <v>1</v>
      </c>
      <c r="Q7" s="1">
        <v>1</v>
      </c>
    </row>
    <row r="8" spans="1:17" x14ac:dyDescent="0.6">
      <c r="A8" s="1">
        <v>0</v>
      </c>
      <c r="B8" s="1" t="s">
        <v>7</v>
      </c>
      <c r="C8" s="1" t="s">
        <v>34</v>
      </c>
      <c r="D8" s="1" t="s">
        <v>3</v>
      </c>
      <c r="E8" s="1">
        <v>8.9951900000000001E-2</v>
      </c>
      <c r="F8" s="1">
        <v>0.212396</v>
      </c>
      <c r="G8" s="1" t="s">
        <v>28</v>
      </c>
      <c r="H8" s="1">
        <v>1</v>
      </c>
      <c r="I8" s="1">
        <v>41</v>
      </c>
      <c r="J8" s="1">
        <v>107.31699999999999</v>
      </c>
      <c r="K8" s="1">
        <v>67.067400000000006</v>
      </c>
      <c r="P8" s="1">
        <v>1</v>
      </c>
      <c r="Q8" s="1">
        <v>1</v>
      </c>
    </row>
    <row r="9" spans="1:17" x14ac:dyDescent="0.6">
      <c r="A9" s="1">
        <v>0</v>
      </c>
      <c r="B9" s="1" t="s">
        <v>7</v>
      </c>
      <c r="C9" s="1" t="s">
        <v>35</v>
      </c>
      <c r="D9" s="1" t="s">
        <v>3</v>
      </c>
      <c r="E9" s="1">
        <v>8.9575299999999997E-2</v>
      </c>
      <c r="F9" s="1">
        <v>0.212396</v>
      </c>
      <c r="G9" s="1" t="s">
        <v>28</v>
      </c>
      <c r="H9" s="1">
        <v>1</v>
      </c>
      <c r="I9" s="1">
        <v>41</v>
      </c>
      <c r="J9" s="1">
        <v>107.31699999999999</v>
      </c>
      <c r="K9" s="1">
        <v>67.067400000000006</v>
      </c>
      <c r="P9" s="1">
        <v>1</v>
      </c>
      <c r="Q9" s="1">
        <v>1</v>
      </c>
    </row>
    <row r="10" spans="1:17" x14ac:dyDescent="0.6">
      <c r="A10" s="1">
        <v>0</v>
      </c>
      <c r="B10" s="1" t="s">
        <v>7</v>
      </c>
      <c r="C10" s="1" t="s">
        <v>36</v>
      </c>
      <c r="D10" s="1" t="s">
        <v>3</v>
      </c>
      <c r="E10" s="1">
        <v>9.0033699999999994E-2</v>
      </c>
      <c r="F10" s="1">
        <v>0.212396</v>
      </c>
      <c r="G10" s="1" t="s">
        <v>28</v>
      </c>
      <c r="H10" s="1">
        <v>1</v>
      </c>
      <c r="I10" s="1">
        <v>41</v>
      </c>
      <c r="J10" s="1">
        <v>107.31699999999999</v>
      </c>
      <c r="K10" s="1">
        <v>67.067400000000006</v>
      </c>
      <c r="P10" s="1">
        <v>1</v>
      </c>
      <c r="Q10" s="1">
        <v>1</v>
      </c>
    </row>
    <row r="11" spans="1:17" x14ac:dyDescent="0.6">
      <c r="A11" s="1">
        <v>0</v>
      </c>
      <c r="B11" s="1" t="s">
        <v>7</v>
      </c>
      <c r="C11" s="1" t="s">
        <v>37</v>
      </c>
      <c r="D11" s="1" t="s">
        <v>3</v>
      </c>
      <c r="E11" s="1">
        <v>8.9717000000000005E-2</v>
      </c>
      <c r="F11" s="1">
        <v>0.212396</v>
      </c>
      <c r="G11" s="1" t="s">
        <v>28</v>
      </c>
      <c r="H11" s="1">
        <v>1</v>
      </c>
      <c r="I11" s="1">
        <v>41</v>
      </c>
      <c r="J11" s="1">
        <v>107.31699999999999</v>
      </c>
      <c r="K11" s="1">
        <v>67.067400000000006</v>
      </c>
      <c r="P11" s="1">
        <v>1</v>
      </c>
      <c r="Q11" s="1">
        <v>1</v>
      </c>
    </row>
    <row r="12" spans="1:17" x14ac:dyDescent="0.6">
      <c r="A12" s="1">
        <v>0</v>
      </c>
      <c r="B12" s="1" t="s">
        <v>7</v>
      </c>
      <c r="C12" s="1" t="s">
        <v>38</v>
      </c>
      <c r="D12" s="1" t="s">
        <v>3</v>
      </c>
      <c r="E12" s="1">
        <v>9.0243299999999999E-2</v>
      </c>
      <c r="F12" s="1">
        <v>0.212396</v>
      </c>
      <c r="G12" s="1" t="s">
        <v>28</v>
      </c>
      <c r="H12" s="1">
        <v>1</v>
      </c>
      <c r="I12" s="1">
        <v>41</v>
      </c>
      <c r="J12" s="1">
        <v>107.31699999999999</v>
      </c>
      <c r="K12" s="1">
        <v>67.067400000000006</v>
      </c>
      <c r="P12" s="1">
        <v>1</v>
      </c>
      <c r="Q12" s="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Rain</vt:lpstr>
      <vt:lpstr>PMP</vt:lpstr>
      <vt:lpstr>25020230</vt:lpstr>
      <vt:lpstr>BestFil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2025-12-17T16:33:04Z</dcterms:modified>
</cp:coreProperties>
</file>