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21658CCC-64E8-48E7-B82B-CCF6E58DCDF6}" xr6:coauthVersionLast="47" xr6:coauthVersionMax="47" xr10:uidLastSave="{00000000-0000-0000-0000-000000000000}"/>
  <bookViews>
    <workbookView xWindow="-98" yWindow="-98" windowWidth="28996" windowHeight="15675" xr2:uid="{47787139-5384-4680-882A-D7262C6BD61D}"/>
  </bookViews>
  <sheets>
    <sheet name="Rain" sheetId="1" r:id="rId1"/>
    <sheet name="PMP" sheetId="2" r:id="rId2"/>
    <sheet name="25020230PMP" sheetId="5" r:id="rId3"/>
    <sheet name="25020230" sheetId="3" r:id="rId4"/>
    <sheet name="25020230BestFit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  <c r="E3" i="5"/>
  <c r="D3" i="5"/>
  <c r="C3" i="5"/>
  <c r="B3" i="5"/>
</calcChain>
</file>

<file path=xl/sharedStrings.xml><?xml version="1.0" encoding="utf-8"?>
<sst xmlns="http://schemas.openxmlformats.org/spreadsheetml/2006/main" count="148" uniqueCount="92">
  <si>
    <t>Year / Station</t>
  </si>
  <si>
    <t>id</t>
  </si>
  <si>
    <t>empirical_dist</t>
  </si>
  <si>
    <t>station</t>
  </si>
  <si>
    <t>n</t>
  </si>
  <si>
    <t>25020230_1969_2009</t>
  </si>
  <si>
    <t>Tr</t>
  </si>
  <si>
    <t>Excel-Gumbel</t>
  </si>
  <si>
    <t>R.HydroTools-Gumbel</t>
  </si>
  <si>
    <t>p_dist</t>
  </si>
  <si>
    <t>delta</t>
  </si>
  <si>
    <t>deltao</t>
  </si>
  <si>
    <t>eval</t>
  </si>
  <si>
    <t>fit</t>
  </si>
  <si>
    <t>loc</t>
  </si>
  <si>
    <t>scale</t>
  </si>
  <si>
    <t>shape</t>
  </si>
  <si>
    <t>shape1</t>
  </si>
  <si>
    <t>shape2</t>
  </si>
  <si>
    <t>shape3</t>
  </si>
  <si>
    <t>best_fit</t>
  </si>
  <si>
    <t>best_fit_sort</t>
  </si>
  <si>
    <t>emp_blom</t>
  </si>
  <si>
    <t>Δo &gt; Δ</t>
  </si>
  <si>
    <t>emp_california</t>
  </si>
  <si>
    <t>emp_hazen</t>
  </si>
  <si>
    <t>emp_weibull</t>
  </si>
  <si>
    <t>emp_beard</t>
  </si>
  <si>
    <t>emp_chegodayev</t>
  </si>
  <si>
    <t>emp_tukey</t>
  </si>
  <si>
    <t>emp_gringorten</t>
  </si>
  <si>
    <t>emp_jenkinson</t>
  </si>
  <si>
    <t>emp_cunnane</t>
  </si>
  <si>
    <t>emp_adamowski</t>
  </si>
  <si>
    <t>tr</t>
  </si>
  <si>
    <t>alpha</t>
  </si>
  <si>
    <t>betaprime</t>
  </si>
  <si>
    <t>chi2</t>
  </si>
  <si>
    <t>crystalball</t>
  </si>
  <si>
    <t>dgamma</t>
  </si>
  <si>
    <t>erlang</t>
  </si>
  <si>
    <t>expon</t>
  </si>
  <si>
    <t>exponnorm</t>
  </si>
  <si>
    <t>f</t>
  </si>
  <si>
    <t>fatiguelife</t>
  </si>
  <si>
    <t>fisk</t>
  </si>
  <si>
    <t>gamma</t>
  </si>
  <si>
    <t>genexpon</t>
  </si>
  <si>
    <t>geninvgauss</t>
  </si>
  <si>
    <t>genlogistic</t>
  </si>
  <si>
    <t>gibrat</t>
  </si>
  <si>
    <t>gompertz</t>
  </si>
  <si>
    <t>gumbel_l</t>
  </si>
  <si>
    <t>gumbel_r</t>
  </si>
  <si>
    <t>halflogistic</t>
  </si>
  <si>
    <t>halfnorm</t>
  </si>
  <si>
    <t>hypsecant</t>
  </si>
  <si>
    <t>invgamma</t>
  </si>
  <si>
    <t>invgauss</t>
  </si>
  <si>
    <t>invweibull</t>
  </si>
  <si>
    <t>johnsonsu</t>
  </si>
  <si>
    <t>kappa3</t>
  </si>
  <si>
    <t>kstwobign</t>
  </si>
  <si>
    <t>laplace</t>
  </si>
  <si>
    <t>laplace_asymmetric</t>
  </si>
  <si>
    <t>levy_stable</t>
  </si>
  <si>
    <t>loggamma</t>
  </si>
  <si>
    <t>logistic</t>
  </si>
  <si>
    <t>lognorm</t>
  </si>
  <si>
    <t>maxwell</t>
  </si>
  <si>
    <t>mielke</t>
  </si>
  <si>
    <t>moyal</t>
  </si>
  <si>
    <t>nakagami</t>
  </si>
  <si>
    <t>ncf</t>
  </si>
  <si>
    <t>nct</t>
  </si>
  <si>
    <t>norm</t>
  </si>
  <si>
    <t>pareto</t>
  </si>
  <si>
    <t>pearson3</t>
  </si>
  <si>
    <t>powerlognorm</t>
  </si>
  <si>
    <t>powernorm</t>
  </si>
  <si>
    <t>rayleigh</t>
  </si>
  <si>
    <t>recipinvgauss</t>
  </si>
  <si>
    <t>rice</t>
  </si>
  <si>
    <t>t</t>
  </si>
  <si>
    <t>truncnorm</t>
  </si>
  <si>
    <t>wald</t>
  </si>
  <si>
    <t>weibull_min</t>
  </si>
  <si>
    <t>zzgumbel</t>
  </si>
  <si>
    <t>zzloggumbel</t>
  </si>
  <si>
    <t>risk_rate</t>
  </si>
  <si>
    <t>R.HydroTools-Betaprime</t>
  </si>
  <si>
    <t>R.HydroTools-Levy_stable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</si>
</sst>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1" fontId="1" fillId="0" borderId="0" xfId="0" applyNumberFormat="1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PMP!$B$1</c:f>
          <c:strCache>
            <c:ptCount val="1"/>
            <c:pt idx="0">
              <c:v>2502023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'25020230PMP'!$B$3</c:f>
              <c:strCache>
                <c:ptCount val="1"/>
                <c:pt idx="0">
                  <c:v>2502023-Excel-Gumbel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'25020230PMP'!$B$4:$B$9</c:f>
              <c:numCache>
                <c:formatCode>General</c:formatCode>
                <c:ptCount val="6"/>
                <c:pt idx="0">
                  <c:v>103</c:v>
                </c:pt>
                <c:pt idx="1">
                  <c:v>132</c:v>
                </c:pt>
                <c:pt idx="2">
                  <c:v>155</c:v>
                </c:pt>
                <c:pt idx="3">
                  <c:v>184</c:v>
                </c:pt>
                <c:pt idx="4">
                  <c:v>205</c:v>
                </c:pt>
                <c:pt idx="5">
                  <c:v>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D6-442B-80B9-4FFF745A2AD8}"/>
            </c:ext>
          </c:extLst>
        </c:ser>
        <c:ser>
          <c:idx val="1"/>
          <c:order val="1"/>
          <c:tx>
            <c:strRef>
              <c:f>'25020230PMP'!$C$3</c:f>
              <c:strCache>
                <c:ptCount val="1"/>
                <c:pt idx="0">
                  <c:v>25020230-R.HydroTools-Gumbel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'25020230PMP'!$C$4:$C$9</c:f>
              <c:numCache>
                <c:formatCode>General</c:formatCode>
                <c:ptCount val="6"/>
                <c:pt idx="0">
                  <c:v>122.61199999999999</c:v>
                </c:pt>
                <c:pt idx="1">
                  <c:v>147.001</c:v>
                </c:pt>
                <c:pt idx="2">
                  <c:v>166.86600000000001</c:v>
                </c:pt>
                <c:pt idx="3">
                  <c:v>191.965</c:v>
                </c:pt>
                <c:pt idx="4">
                  <c:v>210.584</c:v>
                </c:pt>
                <c:pt idx="5">
                  <c:v>229.06700000000001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D6-442B-80B9-4FFF745A2AD8}"/>
            </c:ext>
          </c:extLst>
        </c:ser>
        <c:ser>
          <c:idx val="2"/>
          <c:order val="2"/>
          <c:tx>
            <c:strRef>
              <c:f>PMP!#REF!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PMP!#REF!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D6-442B-80B9-4FFF745A2AD8}"/>
            </c:ext>
          </c:extLst>
        </c:ser>
        <c:ser>
          <c:idx val="3"/>
          <c:order val="3"/>
          <c:tx>
            <c:strRef>
              <c:f>PMP!#REF!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PMP!#REF!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D6-442B-80B9-4FFF745A2AD8}"/>
            </c:ext>
          </c:extLst>
        </c:ser>
        <c:ser>
          <c:idx val="4"/>
          <c:order val="4"/>
          <c:tx>
            <c:strRef>
              <c:f>PMP!#REF!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PMP!#REF!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D6-442B-80B9-4FFF745A2AD8}"/>
            </c:ext>
          </c:extLst>
        </c:ser>
        <c:ser>
          <c:idx val="5"/>
          <c:order val="5"/>
          <c:tx>
            <c:strRef>
              <c:f>'25020230PMP'!$E$3</c:f>
              <c:strCache>
                <c:ptCount val="1"/>
                <c:pt idx="0">
                  <c:v>25020230-R.HydroTools-Levy_stable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'25020230PMP'!$E$4:$E$9</c:f>
              <c:numCache>
                <c:formatCode>General</c:formatCode>
                <c:ptCount val="6"/>
                <c:pt idx="0">
                  <c:v>116.01</c:v>
                </c:pt>
                <c:pt idx="1">
                  <c:v>142.06200000000001</c:v>
                </c:pt>
                <c:pt idx="2">
                  <c:v>159.34399999999999</c:v>
                </c:pt>
                <c:pt idx="3">
                  <c:v>177.773</c:v>
                </c:pt>
                <c:pt idx="4">
                  <c:v>189.679</c:v>
                </c:pt>
                <c:pt idx="5">
                  <c:v>200.38800000000001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D6-442B-80B9-4FFF745A2AD8}"/>
            </c:ext>
          </c:extLst>
        </c:ser>
        <c:ser>
          <c:idx val="6"/>
          <c:order val="6"/>
          <c:tx>
            <c:strRef>
              <c:f>'25020230PMP'!$D$3</c:f>
              <c:strCache>
                <c:ptCount val="1"/>
                <c:pt idx="0">
                  <c:v>25020230-R.HydroTools-Betaprime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'25020230PMP'!$A$4:$A$9</c:f>
              <c:numCache>
                <c:formatCode>General</c:formatCode>
                <c:ptCount val="6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'25020230PMP'!$D$4:$D$9</c:f>
              <c:numCache>
                <c:formatCode>General</c:formatCode>
                <c:ptCount val="6"/>
                <c:pt idx="0">
                  <c:v>110.43300000000001</c:v>
                </c:pt>
                <c:pt idx="1">
                  <c:v>135.857</c:v>
                </c:pt>
                <c:pt idx="2">
                  <c:v>154.33199999999999</c:v>
                </c:pt>
                <c:pt idx="3">
                  <c:v>175.51300000000001</c:v>
                </c:pt>
                <c:pt idx="4">
                  <c:v>190.035</c:v>
                </c:pt>
                <c:pt idx="5">
                  <c:v>203.67599999999999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D6-442B-80B9-4FFF745A2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679200"/>
        <c:axId val="489674880"/>
      </c:scatterChart>
      <c:valAx>
        <c:axId val="489679200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489674880"/>
        <c:crosses val="autoZero"/>
        <c:crossBetween val="midCat"/>
      </c:valAx>
      <c:valAx>
        <c:axId val="489674880"/>
        <c:scaling>
          <c:orientation val="minMax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48967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s-CO"/>
              <a:t>25020230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'25020230'!$C$1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'25020230'!$C$2:$C$11</c:f>
              <c:numCache>
                <c:formatCode>General</c:formatCode>
                <c:ptCount val="10"/>
                <c:pt idx="0">
                  <c:v>111.379</c:v>
                </c:pt>
                <c:pt idx="1">
                  <c:v>135.06899999999999</c:v>
                </c:pt>
                <c:pt idx="2">
                  <c:v>151.779</c:v>
                </c:pt>
                <c:pt idx="3">
                  <c:v>170.554</c:v>
                </c:pt>
                <c:pt idx="4">
                  <c:v>183.245</c:v>
                </c:pt>
                <c:pt idx="5">
                  <c:v>195.06</c:v>
                </c:pt>
                <c:pt idx="6">
                  <c:v>209.70500000000001</c:v>
                </c:pt>
                <c:pt idx="7">
                  <c:v>220.22499999999999</c:v>
                </c:pt>
                <c:pt idx="8">
                  <c:v>226.19900000000001</c:v>
                </c:pt>
                <c:pt idx="9">
                  <c:v>230.36799999999999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AC-42BA-9E28-ECEC036797D8}"/>
            </c:ext>
          </c:extLst>
        </c:ser>
        <c:ser>
          <c:idx val="1"/>
          <c:order val="1"/>
          <c:tx>
            <c:strRef>
              <c:f>'25020230'!$D$1</c:f>
              <c:strCache>
                <c:ptCount val="1"/>
                <c:pt idx="0">
                  <c:v>betaprime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'25020230'!$D$2:$D$11</c:f>
              <c:numCache>
                <c:formatCode>General</c:formatCode>
                <c:ptCount val="10"/>
                <c:pt idx="0">
                  <c:v>110.43300000000001</c:v>
                </c:pt>
                <c:pt idx="1">
                  <c:v>135.857</c:v>
                </c:pt>
                <c:pt idx="2">
                  <c:v>154.33199999999999</c:v>
                </c:pt>
                <c:pt idx="3">
                  <c:v>175.51300000000001</c:v>
                </c:pt>
                <c:pt idx="4">
                  <c:v>190.035</c:v>
                </c:pt>
                <c:pt idx="5">
                  <c:v>203.67599999999999</c:v>
                </c:pt>
                <c:pt idx="6">
                  <c:v>220.71199999999999</c:v>
                </c:pt>
                <c:pt idx="7">
                  <c:v>233.02</c:v>
                </c:pt>
                <c:pt idx="8">
                  <c:v>240.03</c:v>
                </c:pt>
                <c:pt idx="9">
                  <c:v>244.93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AC-42BA-9E28-ECEC036797D8}"/>
            </c:ext>
          </c:extLst>
        </c:ser>
        <c:ser>
          <c:idx val="2"/>
          <c:order val="2"/>
          <c:tx>
            <c:strRef>
              <c:f>'25020230'!$E$1</c:f>
              <c:strCache>
                <c:ptCount val="1"/>
                <c:pt idx="0">
                  <c:v>chi2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'25020230'!$E$2:$E$11</c:f>
              <c:numCache>
                <c:formatCode>General</c:formatCode>
                <c:ptCount val="10"/>
                <c:pt idx="0">
                  <c:v>112.31699999999999</c:v>
                </c:pt>
                <c:pt idx="1">
                  <c:v>135.61000000000001</c:v>
                </c:pt>
                <c:pt idx="2">
                  <c:v>151.52500000000001</c:v>
                </c:pt>
                <c:pt idx="3">
                  <c:v>168.90700000000001</c:v>
                </c:pt>
                <c:pt idx="4">
                  <c:v>180.363</c:v>
                </c:pt>
                <c:pt idx="5">
                  <c:v>190.821</c:v>
                </c:pt>
                <c:pt idx="6">
                  <c:v>203.50899999999999</c:v>
                </c:pt>
                <c:pt idx="7">
                  <c:v>212.43899999999999</c:v>
                </c:pt>
                <c:pt idx="8">
                  <c:v>217.44399999999999</c:v>
                </c:pt>
                <c:pt idx="9">
                  <c:v>220.90700000000001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AC-42BA-9E28-ECEC036797D8}"/>
            </c:ext>
          </c:extLst>
        </c:ser>
        <c:ser>
          <c:idx val="3"/>
          <c:order val="3"/>
          <c:tx>
            <c:strRef>
              <c:f>'25020230'!$F$1</c:f>
              <c:strCache>
                <c:ptCount val="1"/>
                <c:pt idx="0">
                  <c:v>crystalball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'25020230'!$F$2:$F$11</c:f>
              <c:numCache>
                <c:formatCode>General</c:formatCode>
                <c:ptCount val="10"/>
                <c:pt idx="0">
                  <c:v>113.301</c:v>
                </c:pt>
                <c:pt idx="1">
                  <c:v>135.54</c:v>
                </c:pt>
                <c:pt idx="2">
                  <c:v>150.292</c:v>
                </c:pt>
                <c:pt idx="3">
                  <c:v>166.024</c:v>
                </c:pt>
                <c:pt idx="4">
                  <c:v>176.18700000000001</c:v>
                </c:pt>
                <c:pt idx="5">
                  <c:v>185.328</c:v>
                </c:pt>
                <c:pt idx="6">
                  <c:v>196.251</c:v>
                </c:pt>
                <c:pt idx="7">
                  <c:v>203.83199999999999</c:v>
                </c:pt>
                <c:pt idx="8">
                  <c:v>208.04400000000001</c:v>
                </c:pt>
                <c:pt idx="9">
                  <c:v>210.94399999999999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AC-42BA-9E28-ECEC036797D8}"/>
            </c:ext>
          </c:extLst>
        </c:ser>
        <c:ser>
          <c:idx val="4"/>
          <c:order val="4"/>
          <c:tx>
            <c:strRef>
              <c:f>'25020230'!$G$1</c:f>
              <c:strCache>
                <c:ptCount val="1"/>
                <c:pt idx="0">
                  <c:v>dgamma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'25020230'!$G$2:$G$11</c:f>
              <c:numCache>
                <c:formatCode>General</c:formatCode>
                <c:ptCount val="10"/>
                <c:pt idx="0">
                  <c:v>115.94199999999999</c:v>
                </c:pt>
                <c:pt idx="1">
                  <c:v>133.84100000000001</c:v>
                </c:pt>
                <c:pt idx="2">
                  <c:v>145.38800000000001</c:v>
                </c:pt>
                <c:pt idx="3">
                  <c:v>158.767</c:v>
                </c:pt>
                <c:pt idx="4">
                  <c:v>168.15199999999999</c:v>
                </c:pt>
                <c:pt idx="5">
                  <c:v>177.143</c:v>
                </c:pt>
                <c:pt idx="6">
                  <c:v>188.607</c:v>
                </c:pt>
                <c:pt idx="7">
                  <c:v>197.042</c:v>
                </c:pt>
                <c:pt idx="8">
                  <c:v>201.90100000000001</c:v>
                </c:pt>
                <c:pt idx="9">
                  <c:v>205.32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AC-42BA-9E28-ECEC036797D8}"/>
            </c:ext>
          </c:extLst>
        </c:ser>
        <c:ser>
          <c:idx val="5"/>
          <c:order val="5"/>
          <c:tx>
            <c:strRef>
              <c:f>'25020230'!$H$1</c:f>
              <c:strCache>
                <c:ptCount val="1"/>
                <c:pt idx="0">
                  <c:v>erlang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'25020230'!$H$2:$H$11</c:f>
              <c:numCache>
                <c:formatCode>General</c:formatCode>
                <c:ptCount val="10"/>
                <c:pt idx="0">
                  <c:v>112.557</c:v>
                </c:pt>
                <c:pt idx="1">
                  <c:v>135.364</c:v>
                </c:pt>
                <c:pt idx="2">
                  <c:v>150.79300000000001</c:v>
                </c:pt>
                <c:pt idx="3">
                  <c:v>167.512</c:v>
                </c:pt>
                <c:pt idx="4">
                  <c:v>178.459</c:v>
                </c:pt>
                <c:pt idx="5">
                  <c:v>188.404</c:v>
                </c:pt>
                <c:pt idx="6">
                  <c:v>200.41</c:v>
                </c:pt>
                <c:pt idx="7">
                  <c:v>208.82300000000001</c:v>
                </c:pt>
                <c:pt idx="8">
                  <c:v>213.524</c:v>
                </c:pt>
                <c:pt idx="9">
                  <c:v>216.773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AC-42BA-9E28-ECEC036797D8}"/>
            </c:ext>
          </c:extLst>
        </c:ser>
        <c:ser>
          <c:idx val="6"/>
          <c:order val="6"/>
          <c:tx>
            <c:strRef>
              <c:f>'25020230'!$I$1</c:f>
              <c:strCache>
                <c:ptCount val="1"/>
                <c:pt idx="0">
                  <c:v>expon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'25020230'!$I$2:$I$11</c:f>
              <c:numCache>
                <c:formatCode>General</c:formatCode>
                <c:ptCount val="10"/>
                <c:pt idx="0">
                  <c:v>96.941400000000002</c:v>
                </c:pt>
                <c:pt idx="1">
                  <c:v>148.34299999999999</c:v>
                </c:pt>
                <c:pt idx="2">
                  <c:v>195.00299999999999</c:v>
                </c:pt>
                <c:pt idx="3">
                  <c:v>256.685</c:v>
                </c:pt>
                <c:pt idx="4">
                  <c:v>303.346</c:v>
                </c:pt>
                <c:pt idx="5">
                  <c:v>350.00700000000001</c:v>
                </c:pt>
                <c:pt idx="6">
                  <c:v>411.68900000000002</c:v>
                </c:pt>
                <c:pt idx="7">
                  <c:v>458.34899999999999</c:v>
                </c:pt>
                <c:pt idx="8">
                  <c:v>485.64400000000001</c:v>
                </c:pt>
                <c:pt idx="9">
                  <c:v>505.01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AC-42BA-9E28-ECEC036797D8}"/>
            </c:ext>
          </c:extLst>
        </c:ser>
        <c:ser>
          <c:idx val="7"/>
          <c:order val="7"/>
          <c:tx>
            <c:strRef>
              <c:f>'25020230'!$J$1</c:f>
              <c:strCache>
                <c:ptCount val="1"/>
                <c:pt idx="0">
                  <c:v>exponnorm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'25020230'!$J$2:$J$11</c:f>
              <c:numCache>
                <c:formatCode>General</c:formatCode>
                <c:ptCount val="10"/>
                <c:pt idx="0">
                  <c:v>113.301</c:v>
                </c:pt>
                <c:pt idx="1">
                  <c:v>135.54</c:v>
                </c:pt>
                <c:pt idx="2">
                  <c:v>150.292</c:v>
                </c:pt>
                <c:pt idx="3">
                  <c:v>166.024</c:v>
                </c:pt>
                <c:pt idx="4">
                  <c:v>176.18700000000001</c:v>
                </c:pt>
                <c:pt idx="5">
                  <c:v>185.328</c:v>
                </c:pt>
                <c:pt idx="6">
                  <c:v>196.25</c:v>
                </c:pt>
                <c:pt idx="7">
                  <c:v>203.83199999999999</c:v>
                </c:pt>
                <c:pt idx="8">
                  <c:v>208.04400000000001</c:v>
                </c:pt>
                <c:pt idx="9">
                  <c:v>210.94300000000001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AC-42BA-9E28-ECEC036797D8}"/>
            </c:ext>
          </c:extLst>
        </c:ser>
        <c:ser>
          <c:idx val="8"/>
          <c:order val="8"/>
          <c:tx>
            <c:strRef>
              <c:f>'25020230'!$K$1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'25020230'!$K$2:$K$11</c:f>
              <c:numCache>
                <c:formatCode>General</c:formatCode>
                <c:ptCount val="10"/>
                <c:pt idx="0">
                  <c:v>113.23399999999999</c:v>
                </c:pt>
                <c:pt idx="1">
                  <c:v>135.61199999999999</c:v>
                </c:pt>
                <c:pt idx="2">
                  <c:v>150.49100000000001</c:v>
                </c:pt>
                <c:pt idx="3">
                  <c:v>166.386</c:v>
                </c:pt>
                <c:pt idx="4">
                  <c:v>176.67099999999999</c:v>
                </c:pt>
                <c:pt idx="5">
                  <c:v>185.934</c:v>
                </c:pt>
                <c:pt idx="6">
                  <c:v>197.01400000000001</c:v>
                </c:pt>
                <c:pt idx="7">
                  <c:v>204.714</c:v>
                </c:pt>
                <c:pt idx="8">
                  <c:v>208.995</c:v>
                </c:pt>
                <c:pt idx="9">
                  <c:v>211.94300000000001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AC-42BA-9E28-ECEC036797D8}"/>
            </c:ext>
          </c:extLst>
        </c:ser>
        <c:ser>
          <c:idx val="9"/>
          <c:order val="9"/>
          <c:tx>
            <c:strRef>
              <c:f>'25020230'!$L$1</c:f>
              <c:strCache>
                <c:ptCount val="1"/>
                <c:pt idx="0">
                  <c:v>fatiguelife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'25020230'!$L$2:$L$11</c:f>
              <c:numCache>
                <c:formatCode>General</c:formatCode>
                <c:ptCount val="10"/>
                <c:pt idx="0">
                  <c:v>113.119</c:v>
                </c:pt>
                <c:pt idx="1">
                  <c:v>135.874</c:v>
                </c:pt>
                <c:pt idx="2">
                  <c:v>151.232</c:v>
                </c:pt>
                <c:pt idx="3">
                  <c:v>167.84399999999999</c:v>
                </c:pt>
                <c:pt idx="4">
                  <c:v>178.70400000000001</c:v>
                </c:pt>
                <c:pt idx="5">
                  <c:v>188.56100000000001</c:v>
                </c:pt>
                <c:pt idx="6">
                  <c:v>200.44800000000001</c:v>
                </c:pt>
                <c:pt idx="7">
                  <c:v>208.77</c:v>
                </c:pt>
                <c:pt idx="8">
                  <c:v>213.417</c:v>
                </c:pt>
                <c:pt idx="9">
                  <c:v>216.62799999999999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AC-42BA-9E28-ECEC036797D8}"/>
            </c:ext>
          </c:extLst>
        </c:ser>
        <c:ser>
          <c:idx val="10"/>
          <c:order val="10"/>
          <c:tx>
            <c:strRef>
              <c:f>'25020230'!$M$1</c:f>
              <c:strCache>
                <c:ptCount val="1"/>
                <c:pt idx="0">
                  <c:v>fisk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'25020230'!$M$2:$M$11</c:f>
              <c:numCache>
                <c:formatCode>General</c:formatCode>
                <c:ptCount val="10"/>
                <c:pt idx="0">
                  <c:v>113.9</c:v>
                </c:pt>
                <c:pt idx="1">
                  <c:v>136.191</c:v>
                </c:pt>
                <c:pt idx="2">
                  <c:v>152.607</c:v>
                </c:pt>
                <c:pt idx="3">
                  <c:v>172.46199999999999</c:v>
                </c:pt>
                <c:pt idx="4">
                  <c:v>186.911</c:v>
                </c:pt>
                <c:pt idx="5">
                  <c:v>201.148</c:v>
                </c:pt>
                <c:pt idx="6">
                  <c:v>219.81899999999999</c:v>
                </c:pt>
                <c:pt idx="7">
                  <c:v>233.892</c:v>
                </c:pt>
                <c:pt idx="8">
                  <c:v>242.113</c:v>
                </c:pt>
                <c:pt idx="9">
                  <c:v>247.94399999999999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7AC-42BA-9E28-ECEC036797D8}"/>
            </c:ext>
          </c:extLst>
        </c:ser>
        <c:ser>
          <c:idx val="11"/>
          <c:order val="11"/>
          <c:tx>
            <c:strRef>
              <c:f>'25020230'!$N$1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'25020230'!$N$2:$N$11</c:f>
              <c:numCache>
                <c:formatCode>General</c:formatCode>
                <c:ptCount val="10"/>
                <c:pt idx="0">
                  <c:v>112.726</c:v>
                </c:pt>
                <c:pt idx="1">
                  <c:v>135.53399999999999</c:v>
                </c:pt>
                <c:pt idx="2">
                  <c:v>150.94900000000001</c:v>
                </c:pt>
                <c:pt idx="3">
                  <c:v>167.64</c:v>
                </c:pt>
                <c:pt idx="4">
                  <c:v>178.56100000000001</c:v>
                </c:pt>
                <c:pt idx="5">
                  <c:v>188.47800000000001</c:v>
                </c:pt>
                <c:pt idx="6">
                  <c:v>200.44499999999999</c:v>
                </c:pt>
                <c:pt idx="7">
                  <c:v>208.82599999999999</c:v>
                </c:pt>
                <c:pt idx="8">
                  <c:v>213.50800000000001</c:v>
                </c:pt>
                <c:pt idx="9">
                  <c:v>216.74299999999999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7AC-42BA-9E28-ECEC036797D8}"/>
            </c:ext>
          </c:extLst>
        </c:ser>
        <c:ser>
          <c:idx val="12"/>
          <c:order val="12"/>
          <c:tx>
            <c:strRef>
              <c:f>'25020230'!$O$1</c:f>
              <c:strCache>
                <c:ptCount val="1"/>
                <c:pt idx="0">
                  <c:v>genexpon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'25020230'!$O$2:$O$11</c:f>
              <c:numCache>
                <c:formatCode>General</c:formatCode>
                <c:ptCount val="10"/>
                <c:pt idx="0">
                  <c:v>93.846199999999996</c:v>
                </c:pt>
                <c:pt idx="1">
                  <c:v>142.45400000000001</c:v>
                </c:pt>
                <c:pt idx="2">
                  <c:v>186.578</c:v>
                </c:pt>
                <c:pt idx="3">
                  <c:v>244.90700000000001</c:v>
                </c:pt>
                <c:pt idx="4">
                  <c:v>289.03100000000001</c:v>
                </c:pt>
                <c:pt idx="5">
                  <c:v>333.15600000000001</c:v>
                </c:pt>
                <c:pt idx="6">
                  <c:v>391.48500000000001</c:v>
                </c:pt>
                <c:pt idx="7">
                  <c:v>435.60899999999998</c:v>
                </c:pt>
                <c:pt idx="8">
                  <c:v>461.42</c:v>
                </c:pt>
                <c:pt idx="9">
                  <c:v>479.73399999999998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7AC-42BA-9E28-ECEC036797D8}"/>
            </c:ext>
          </c:extLst>
        </c:ser>
        <c:ser>
          <c:idx val="13"/>
          <c:order val="13"/>
          <c:tx>
            <c:strRef>
              <c:f>'25020230'!$P$1</c:f>
              <c:strCache>
                <c:ptCount val="1"/>
                <c:pt idx="0">
                  <c:v>geninvgauss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'25020230'!$P$2:$P$11</c:f>
              <c:numCache>
                <c:formatCode>General</c:formatCode>
                <c:ptCount val="10"/>
                <c:pt idx="0">
                  <c:v>107.1</c:v>
                </c:pt>
                <c:pt idx="1">
                  <c:v>139.63499999999999</c:v>
                </c:pt>
                <c:pt idx="2">
                  <c:v>165.39699999999999</c:v>
                </c:pt>
                <c:pt idx="3">
                  <c:v>196.73099999999999</c:v>
                </c:pt>
                <c:pt idx="4">
                  <c:v>219.161</c:v>
                </c:pt>
                <c:pt idx="5">
                  <c:v>240.839</c:v>
                </c:pt>
                <c:pt idx="6">
                  <c:v>268.63900000000001</c:v>
                </c:pt>
                <c:pt idx="7">
                  <c:v>289.17</c:v>
                </c:pt>
                <c:pt idx="8">
                  <c:v>301.017</c:v>
                </c:pt>
                <c:pt idx="9">
                  <c:v>309.358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7AC-42BA-9E28-ECEC036797D8}"/>
            </c:ext>
          </c:extLst>
        </c:ser>
        <c:ser>
          <c:idx val="14"/>
          <c:order val="14"/>
          <c:tx>
            <c:strRef>
              <c:f>'25020230'!$Q$1</c:f>
              <c:strCache>
                <c:ptCount val="1"/>
                <c:pt idx="0">
                  <c:v>genlogistic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'25020230'!$Q$2:$Q$11</c:f>
              <c:numCache>
                <c:formatCode>General</c:formatCode>
                <c:ptCount val="10"/>
                <c:pt idx="0">
                  <c:v>114.27800000000001</c:v>
                </c:pt>
                <c:pt idx="1">
                  <c:v>136.31800000000001</c:v>
                </c:pt>
                <c:pt idx="2">
                  <c:v>152.41800000000001</c:v>
                </c:pt>
                <c:pt idx="3">
                  <c:v>171.82</c:v>
                </c:pt>
                <c:pt idx="4">
                  <c:v>185.917</c:v>
                </c:pt>
                <c:pt idx="5">
                  <c:v>199.798</c:v>
                </c:pt>
                <c:pt idx="6">
                  <c:v>217.99600000000001</c:v>
                </c:pt>
                <c:pt idx="7">
                  <c:v>231.709</c:v>
                </c:pt>
                <c:pt idx="8">
                  <c:v>239.721</c:v>
                </c:pt>
                <c:pt idx="9">
                  <c:v>245.40199999999999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7AC-42BA-9E28-ECEC036797D8}"/>
            </c:ext>
          </c:extLst>
        </c:ser>
        <c:ser>
          <c:idx val="15"/>
          <c:order val="15"/>
          <c:tx>
            <c:strRef>
              <c:f>'25020230'!$R$1</c:f>
              <c:strCache>
                <c:ptCount val="1"/>
                <c:pt idx="0">
                  <c:v>gibrat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'25020230'!$R$2:$R$11</c:f>
              <c:numCache>
                <c:formatCode>General</c:formatCode>
                <c:ptCount val="10"/>
                <c:pt idx="0">
                  <c:v>100.283</c:v>
                </c:pt>
                <c:pt idx="1">
                  <c:v>117.735</c:v>
                </c:pt>
                <c:pt idx="2">
                  <c:v>137.62799999999999</c:v>
                </c:pt>
                <c:pt idx="3">
                  <c:v>171.08600000000001</c:v>
                </c:pt>
                <c:pt idx="4">
                  <c:v>202.71700000000001</c:v>
                </c:pt>
                <c:pt idx="5">
                  <c:v>240.62899999999999</c:v>
                </c:pt>
                <c:pt idx="6">
                  <c:v>301.80799999999999</c:v>
                </c:pt>
                <c:pt idx="7">
                  <c:v>357.63799999999998</c:v>
                </c:pt>
                <c:pt idx="8">
                  <c:v>394.56099999999998</c:v>
                </c:pt>
                <c:pt idx="9">
                  <c:v>422.81599999999997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7AC-42BA-9E28-ECEC036797D8}"/>
            </c:ext>
          </c:extLst>
        </c:ser>
        <c:ser>
          <c:idx val="16"/>
          <c:order val="16"/>
          <c:tx>
            <c:strRef>
              <c:f>'25020230'!$S$1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'25020230'!$S$2:$S$11</c:f>
              <c:numCache>
                <c:formatCode>General</c:formatCode>
                <c:ptCount val="10"/>
                <c:pt idx="0">
                  <c:v>118.83499999999999</c:v>
                </c:pt>
                <c:pt idx="1">
                  <c:v>137.28</c:v>
                </c:pt>
                <c:pt idx="2">
                  <c:v>147.54900000000001</c:v>
                </c:pt>
                <c:pt idx="3">
                  <c:v>157.154</c:v>
                </c:pt>
                <c:pt idx="4">
                  <c:v>162.74600000000001</c:v>
                </c:pt>
                <c:pt idx="5">
                  <c:v>167.423</c:v>
                </c:pt>
                <c:pt idx="6">
                  <c:v>172.62700000000001</c:v>
                </c:pt>
                <c:pt idx="7">
                  <c:v>176.017</c:v>
                </c:pt>
                <c:pt idx="8">
                  <c:v>177.83</c:v>
                </c:pt>
                <c:pt idx="9">
                  <c:v>179.04900000000001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7AC-42BA-9E28-ECEC036797D8}"/>
            </c:ext>
          </c:extLst>
        </c:ser>
        <c:ser>
          <c:idx val="17"/>
          <c:order val="17"/>
          <c:tx>
            <c:strRef>
              <c:f>'25020230'!$T$1</c:f>
              <c:strCache>
                <c:ptCount val="1"/>
                <c:pt idx="0">
                  <c:v>gumbel_l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'25020230'!$T$2:$T$11</c:f>
              <c:numCache>
                <c:formatCode>General</c:formatCode>
                <c:ptCount val="10"/>
                <c:pt idx="0">
                  <c:v>118.032</c:v>
                </c:pt>
                <c:pt idx="1">
                  <c:v>134.852</c:v>
                </c:pt>
                <c:pt idx="2">
                  <c:v>144.21600000000001</c:v>
                </c:pt>
                <c:pt idx="3">
                  <c:v>152.97499999999999</c:v>
                </c:pt>
                <c:pt idx="4">
                  <c:v>158.07400000000001</c:v>
                </c:pt>
                <c:pt idx="5">
                  <c:v>162.339</c:v>
                </c:pt>
                <c:pt idx="6">
                  <c:v>167.083</c:v>
                </c:pt>
                <c:pt idx="7">
                  <c:v>170.17500000000001</c:v>
                </c:pt>
                <c:pt idx="8">
                  <c:v>171.828</c:v>
                </c:pt>
                <c:pt idx="9">
                  <c:v>172.94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7AC-42BA-9E28-ECEC036797D8}"/>
            </c:ext>
          </c:extLst>
        </c:ser>
        <c:ser>
          <c:idx val="18"/>
          <c:order val="18"/>
          <c:tx>
            <c:strRef>
              <c:f>'25020230'!$U$1</c:f>
              <c:strCache>
                <c:ptCount val="1"/>
                <c:pt idx="0">
                  <c:v>gumbel_r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'25020230'!$U$2:$U$11</c:f>
              <c:numCache>
                <c:formatCode>General</c:formatCode>
                <c:ptCount val="10"/>
                <c:pt idx="0">
                  <c:v>107.35299999999999</c:v>
                </c:pt>
                <c:pt idx="1">
                  <c:v>131.44300000000001</c:v>
                </c:pt>
                <c:pt idx="2">
                  <c:v>151.06299999999999</c:v>
                </c:pt>
                <c:pt idx="3">
                  <c:v>175.85400000000001</c:v>
                </c:pt>
                <c:pt idx="4">
                  <c:v>194.24600000000001</c:v>
                </c:pt>
                <c:pt idx="5">
                  <c:v>212.501</c:v>
                </c:pt>
                <c:pt idx="6">
                  <c:v>236.53800000000001</c:v>
                </c:pt>
                <c:pt idx="7">
                  <c:v>254.68700000000001</c:v>
                </c:pt>
                <c:pt idx="8">
                  <c:v>265.29700000000003</c:v>
                </c:pt>
                <c:pt idx="9">
                  <c:v>272.82299999999998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7AC-42BA-9E28-ECEC036797D8}"/>
            </c:ext>
          </c:extLst>
        </c:ser>
        <c:ser>
          <c:idx val="19"/>
          <c:order val="19"/>
          <c:tx>
            <c:strRef>
              <c:f>'25020230'!$V$1</c:f>
              <c:strCache>
                <c:ptCount val="1"/>
                <c:pt idx="0">
                  <c:v>halflogistic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'25020230'!$V$2:$V$11</c:f>
              <c:numCache>
                <c:formatCode>General</c:formatCode>
                <c:ptCount val="10"/>
                <c:pt idx="0">
                  <c:v>104.77</c:v>
                </c:pt>
                <c:pt idx="1">
                  <c:v>130.56700000000001</c:v>
                </c:pt>
                <c:pt idx="2">
                  <c:v>151.989</c:v>
                </c:pt>
                <c:pt idx="3">
                  <c:v>179.15100000000001</c:v>
                </c:pt>
                <c:pt idx="4">
                  <c:v>199.31399999999999</c:v>
                </c:pt>
                <c:pt idx="5">
                  <c:v>219.33199999999999</c:v>
                </c:pt>
                <c:pt idx="6">
                  <c:v>245.68799999999999</c:v>
                </c:pt>
                <c:pt idx="7">
                  <c:v>265.589</c:v>
                </c:pt>
                <c:pt idx="8">
                  <c:v>277.22399999999999</c:v>
                </c:pt>
                <c:pt idx="9">
                  <c:v>285.476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7AC-42BA-9E28-ECEC036797D8}"/>
            </c:ext>
          </c:extLst>
        </c:ser>
        <c:ser>
          <c:idx val="20"/>
          <c:order val="20"/>
          <c:tx>
            <c:strRef>
              <c:f>'25020230'!$W$1</c:f>
              <c:strCache>
                <c:ptCount val="1"/>
                <c:pt idx="0">
                  <c:v>halfnorm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'25020230'!$W$2:$W$11</c:f>
              <c:numCache>
                <c:formatCode>General</c:formatCode>
                <c:ptCount val="10"/>
                <c:pt idx="0">
                  <c:v>106.911</c:v>
                </c:pt>
                <c:pt idx="1">
                  <c:v>134.22300000000001</c:v>
                </c:pt>
                <c:pt idx="2">
                  <c:v>154.43299999999999</c:v>
                </c:pt>
                <c:pt idx="3">
                  <c:v>177.18</c:v>
                </c:pt>
                <c:pt idx="4">
                  <c:v>192.34399999999999</c:v>
                </c:pt>
                <c:pt idx="5">
                  <c:v>206.22200000000001</c:v>
                </c:pt>
                <c:pt idx="6">
                  <c:v>223.041</c:v>
                </c:pt>
                <c:pt idx="7">
                  <c:v>234.83799999999999</c:v>
                </c:pt>
                <c:pt idx="8">
                  <c:v>241.429</c:v>
                </c:pt>
                <c:pt idx="9">
                  <c:v>245.98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7AC-42BA-9E28-ECEC036797D8}"/>
            </c:ext>
          </c:extLst>
        </c:ser>
        <c:ser>
          <c:idx val="21"/>
          <c:order val="21"/>
          <c:tx>
            <c:strRef>
              <c:f>'25020230'!$X$1</c:f>
              <c:strCache>
                <c:ptCount val="1"/>
                <c:pt idx="0">
                  <c:v>hypsecant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'25020230'!$X$2:$X$11</c:f>
              <c:numCache>
                <c:formatCode>General</c:formatCode>
                <c:ptCount val="10"/>
                <c:pt idx="0">
                  <c:v>112.10599999999999</c:v>
                </c:pt>
                <c:pt idx="1">
                  <c:v>131.316</c:v>
                </c:pt>
                <c:pt idx="2">
                  <c:v>146.65600000000001</c:v>
                </c:pt>
                <c:pt idx="3">
                  <c:v>166.36600000000001</c:v>
                </c:pt>
                <c:pt idx="4">
                  <c:v>181.184</c:v>
                </c:pt>
                <c:pt idx="5">
                  <c:v>195.98699999999999</c:v>
                </c:pt>
                <c:pt idx="6">
                  <c:v>215.55</c:v>
                </c:pt>
                <c:pt idx="7">
                  <c:v>230.34700000000001</c:v>
                </c:pt>
                <c:pt idx="8">
                  <c:v>239.00299999999999</c:v>
                </c:pt>
                <c:pt idx="9">
                  <c:v>245.14500000000001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7AC-42BA-9E28-ECEC036797D8}"/>
            </c:ext>
          </c:extLst>
        </c:ser>
        <c:ser>
          <c:idx val="22"/>
          <c:order val="22"/>
          <c:tx>
            <c:strRef>
              <c:f>'25020230'!$Y$1</c:f>
              <c:strCache>
                <c:ptCount val="1"/>
                <c:pt idx="0">
                  <c:v>invgamma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'25020230'!$Y$2:$Y$11</c:f>
              <c:numCache>
                <c:formatCode>General</c:formatCode>
                <c:ptCount val="10"/>
                <c:pt idx="0">
                  <c:v>110.739</c:v>
                </c:pt>
                <c:pt idx="1">
                  <c:v>134.928</c:v>
                </c:pt>
                <c:pt idx="2">
                  <c:v>152.078</c:v>
                </c:pt>
                <c:pt idx="3">
                  <c:v>171.41499999999999</c:v>
                </c:pt>
                <c:pt idx="4">
                  <c:v>184.517</c:v>
                </c:pt>
                <c:pt idx="5">
                  <c:v>196.73400000000001</c:v>
                </c:pt>
                <c:pt idx="6">
                  <c:v>211.893</c:v>
                </c:pt>
                <c:pt idx="7">
                  <c:v>222.78899999999999</c:v>
                </c:pt>
                <c:pt idx="8">
                  <c:v>228.98</c:v>
                </c:pt>
                <c:pt idx="9">
                  <c:v>233.3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7AC-42BA-9E28-ECEC036797D8}"/>
            </c:ext>
          </c:extLst>
        </c:ser>
        <c:ser>
          <c:idx val="23"/>
          <c:order val="23"/>
          <c:tx>
            <c:strRef>
              <c:f>'25020230'!$Z$1</c:f>
              <c:strCache>
                <c:ptCount val="1"/>
                <c:pt idx="0">
                  <c:v>invgauss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'25020230'!$Z$2:$Z$11</c:f>
              <c:numCache>
                <c:formatCode>General</c:formatCode>
                <c:ptCount val="10"/>
                <c:pt idx="0">
                  <c:v>108.654</c:v>
                </c:pt>
                <c:pt idx="1">
                  <c:v>135.29599999999999</c:v>
                </c:pt>
                <c:pt idx="2">
                  <c:v>155.386</c:v>
                </c:pt>
                <c:pt idx="3">
                  <c:v>179.114</c:v>
                </c:pt>
                <c:pt idx="4">
                  <c:v>195.78100000000001</c:v>
                </c:pt>
                <c:pt idx="5">
                  <c:v>211.71</c:v>
                </c:pt>
                <c:pt idx="6">
                  <c:v>231.95</c:v>
                </c:pt>
                <c:pt idx="7">
                  <c:v>246.79599999999999</c:v>
                </c:pt>
                <c:pt idx="8">
                  <c:v>255.33099999999999</c:v>
                </c:pt>
                <c:pt idx="9">
                  <c:v>261.33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7AC-42BA-9E28-ECEC036797D8}"/>
            </c:ext>
          </c:extLst>
        </c:ser>
        <c:ser>
          <c:idx val="24"/>
          <c:order val="24"/>
          <c:tx>
            <c:strRef>
              <c:f>'25020230'!$AA$1</c:f>
              <c:strCache>
                <c:ptCount val="1"/>
                <c:pt idx="0">
                  <c:v>invweibull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'25020230'!$AA$2:$AA$11</c:f>
              <c:numCache>
                <c:formatCode>General</c:formatCode>
                <c:ptCount val="10"/>
                <c:pt idx="0">
                  <c:v>107.932</c:v>
                </c:pt>
                <c:pt idx="1">
                  <c:v>136.96299999999999</c:v>
                </c:pt>
                <c:pt idx="2">
                  <c:v>160.608</c:v>
                </c:pt>
                <c:pt idx="3">
                  <c:v>190.48400000000001</c:v>
                </c:pt>
                <c:pt idx="4">
                  <c:v>212.648</c:v>
                </c:pt>
                <c:pt idx="5">
                  <c:v>234.648</c:v>
                </c:pt>
                <c:pt idx="6">
                  <c:v>263.61500000000001</c:v>
                </c:pt>
                <c:pt idx="7">
                  <c:v>285.48700000000002</c:v>
                </c:pt>
                <c:pt idx="8">
                  <c:v>298.274</c:v>
                </c:pt>
                <c:pt idx="9">
                  <c:v>307.34399999999999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7AC-42BA-9E28-ECEC036797D8}"/>
            </c:ext>
          </c:extLst>
        </c:ser>
        <c:ser>
          <c:idx val="25"/>
          <c:order val="25"/>
          <c:tx>
            <c:strRef>
              <c:f>'25020230'!$AB$1</c:f>
              <c:strCache>
                <c:ptCount val="1"/>
                <c:pt idx="0">
                  <c:v>johnsonsu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'25020230'!$AB$2:$AB$11</c:f>
              <c:numCache>
                <c:formatCode>General</c:formatCode>
                <c:ptCount val="10"/>
                <c:pt idx="0">
                  <c:v>117.621</c:v>
                </c:pt>
                <c:pt idx="1">
                  <c:v>136.72200000000001</c:v>
                </c:pt>
                <c:pt idx="2">
                  <c:v>147.60300000000001</c:v>
                </c:pt>
                <c:pt idx="3">
                  <c:v>157.85300000000001</c:v>
                </c:pt>
                <c:pt idx="4">
                  <c:v>163.81299999999999</c:v>
                </c:pt>
                <c:pt idx="5">
                  <c:v>168.773</c:v>
                </c:pt>
                <c:pt idx="6">
                  <c:v>174.244</c:v>
                </c:pt>
                <c:pt idx="7">
                  <c:v>177.77199999999999</c:v>
                </c:pt>
                <c:pt idx="8">
                  <c:v>179.642</c:v>
                </c:pt>
                <c:pt idx="9">
                  <c:v>180.89500000000001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7AC-42BA-9E28-ECEC036797D8}"/>
            </c:ext>
          </c:extLst>
        </c:ser>
        <c:ser>
          <c:idx val="26"/>
          <c:order val="26"/>
          <c:tx>
            <c:strRef>
              <c:f>'25020230'!$AC$1</c:f>
              <c:strCache>
                <c:ptCount val="1"/>
                <c:pt idx="0">
                  <c:v>kappa3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'25020230'!$AC$2:$AC$11</c:f>
              <c:numCache>
                <c:formatCode>General</c:formatCode>
                <c:ptCount val="10"/>
                <c:pt idx="0">
                  <c:v>125.036</c:v>
                </c:pt>
                <c:pt idx="1">
                  <c:v>159.178</c:v>
                </c:pt>
                <c:pt idx="2">
                  <c:v>174.07599999999999</c:v>
                </c:pt>
                <c:pt idx="3">
                  <c:v>183.01400000000001</c:v>
                </c:pt>
                <c:pt idx="4">
                  <c:v>185.994</c:v>
                </c:pt>
                <c:pt idx="5">
                  <c:v>187.5</c:v>
                </c:pt>
                <c:pt idx="6">
                  <c:v>188.52099999999999</c:v>
                </c:pt>
                <c:pt idx="7">
                  <c:v>189.01</c:v>
                </c:pt>
                <c:pt idx="8">
                  <c:v>189.25</c:v>
                </c:pt>
                <c:pt idx="9">
                  <c:v>189.40799999999999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7AC-42BA-9E28-ECEC036797D8}"/>
            </c:ext>
          </c:extLst>
        </c:ser>
        <c:ser>
          <c:idx val="27"/>
          <c:order val="27"/>
          <c:tx>
            <c:strRef>
              <c:f>'25020230'!$AD$1</c:f>
              <c:strCache>
                <c:ptCount val="1"/>
                <c:pt idx="0">
                  <c:v>kstwobign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'25020230'!$AD$2:$AD$11</c:f>
              <c:numCache>
                <c:formatCode>General</c:formatCode>
                <c:ptCount val="10"/>
                <c:pt idx="0">
                  <c:v>107.42100000000001</c:v>
                </c:pt>
                <c:pt idx="1">
                  <c:v>137.79900000000001</c:v>
                </c:pt>
                <c:pt idx="2">
                  <c:v>160.92699999999999</c:v>
                </c:pt>
                <c:pt idx="3">
                  <c:v>187.673</c:v>
                </c:pt>
                <c:pt idx="4">
                  <c:v>205.86600000000001</c:v>
                </c:pt>
                <c:pt idx="5">
                  <c:v>222.733</c:v>
                </c:pt>
                <c:pt idx="6">
                  <c:v>243.41800000000001</c:v>
                </c:pt>
                <c:pt idx="7">
                  <c:v>258.06799999999998</c:v>
                </c:pt>
                <c:pt idx="8">
                  <c:v>266.298</c:v>
                </c:pt>
                <c:pt idx="9">
                  <c:v>271.99900000000002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E7AC-42BA-9E28-ECEC036797D8}"/>
            </c:ext>
          </c:extLst>
        </c:ser>
        <c:ser>
          <c:idx val="28"/>
          <c:order val="28"/>
          <c:tx>
            <c:strRef>
              <c:f>'25020230'!$AE$1</c:f>
              <c:strCache>
                <c:ptCount val="1"/>
                <c:pt idx="0">
                  <c:v>laplace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'25020230'!$AE$2:$AE$11</c:f>
              <c:numCache>
                <c:formatCode>General</c:formatCode>
                <c:ptCount val="10"/>
                <c:pt idx="0">
                  <c:v>110.938</c:v>
                </c:pt>
                <c:pt idx="1">
                  <c:v>129.04400000000001</c:v>
                </c:pt>
                <c:pt idx="2">
                  <c:v>145.47999999999999</c:v>
                </c:pt>
                <c:pt idx="3">
                  <c:v>167.20699999999999</c:v>
                </c:pt>
                <c:pt idx="4">
                  <c:v>183.643</c:v>
                </c:pt>
                <c:pt idx="5">
                  <c:v>200.07900000000001</c:v>
                </c:pt>
                <c:pt idx="6">
                  <c:v>221.80600000000001</c:v>
                </c:pt>
                <c:pt idx="7">
                  <c:v>238.24100000000001</c:v>
                </c:pt>
                <c:pt idx="8">
                  <c:v>247.85599999999999</c:v>
                </c:pt>
                <c:pt idx="9">
                  <c:v>254.67699999999999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E7AC-42BA-9E28-ECEC036797D8}"/>
            </c:ext>
          </c:extLst>
        </c:ser>
        <c:ser>
          <c:idx val="29"/>
          <c:order val="29"/>
          <c:tx>
            <c:strRef>
              <c:f>'25020230'!$AF$1</c:f>
              <c:strCache>
                <c:ptCount val="1"/>
                <c:pt idx="0">
                  <c:v>laplace_asymmetric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'25020230'!$AF$2:$AF$11</c:f>
              <c:numCache>
                <c:formatCode>General</c:formatCode>
                <c:ptCount val="10"/>
                <c:pt idx="0">
                  <c:v>112.983</c:v>
                </c:pt>
                <c:pt idx="1">
                  <c:v>134.446</c:v>
                </c:pt>
                <c:pt idx="2">
                  <c:v>153.93</c:v>
                </c:pt>
                <c:pt idx="3">
                  <c:v>179.68700000000001</c:v>
                </c:pt>
                <c:pt idx="4">
                  <c:v>199.17099999999999</c:v>
                </c:pt>
                <c:pt idx="5">
                  <c:v>218.655</c:v>
                </c:pt>
                <c:pt idx="6">
                  <c:v>244.41200000000001</c:v>
                </c:pt>
                <c:pt idx="7">
                  <c:v>263.89600000000002</c:v>
                </c:pt>
                <c:pt idx="8">
                  <c:v>275.29300000000001</c:v>
                </c:pt>
                <c:pt idx="9">
                  <c:v>283.38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E7AC-42BA-9E28-ECEC036797D8}"/>
            </c:ext>
          </c:extLst>
        </c:ser>
        <c:ser>
          <c:idx val="30"/>
          <c:order val="30"/>
          <c:tx>
            <c:strRef>
              <c:f>'25020230'!$AG$1</c:f>
              <c:strCache>
                <c:ptCount val="1"/>
                <c:pt idx="0">
                  <c:v>levy_stable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'25020230'!$AG$2:$AG$11</c:f>
              <c:numCache>
                <c:formatCode>General</c:formatCode>
                <c:ptCount val="10"/>
                <c:pt idx="0">
                  <c:v>116.01</c:v>
                </c:pt>
                <c:pt idx="1">
                  <c:v>142.06200000000001</c:v>
                </c:pt>
                <c:pt idx="2">
                  <c:v>159.34399999999999</c:v>
                </c:pt>
                <c:pt idx="3">
                  <c:v>177.773</c:v>
                </c:pt>
                <c:pt idx="4">
                  <c:v>189.679</c:v>
                </c:pt>
                <c:pt idx="5">
                  <c:v>200.38800000000001</c:v>
                </c:pt>
                <c:pt idx="6">
                  <c:v>213.18299999999999</c:v>
                </c:pt>
                <c:pt idx="7">
                  <c:v>222.065</c:v>
                </c:pt>
                <c:pt idx="8">
                  <c:v>226.999</c:v>
                </c:pt>
                <c:pt idx="9">
                  <c:v>230.39599999999999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E7AC-42BA-9E28-ECEC036797D8}"/>
            </c:ext>
          </c:extLst>
        </c:ser>
        <c:ser>
          <c:idx val="31"/>
          <c:order val="31"/>
          <c:tx>
            <c:strRef>
              <c:f>'25020230'!$AH$1</c:f>
              <c:strCache>
                <c:ptCount val="1"/>
                <c:pt idx="0">
                  <c:v>loggamma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'25020230'!$AH$2:$AH$11</c:f>
              <c:numCache>
                <c:formatCode>General</c:formatCode>
                <c:ptCount val="10"/>
                <c:pt idx="0">
                  <c:v>116.357</c:v>
                </c:pt>
                <c:pt idx="1">
                  <c:v>136.18199999999999</c:v>
                </c:pt>
                <c:pt idx="2">
                  <c:v>148.077</c:v>
                </c:pt>
                <c:pt idx="3">
                  <c:v>159.809</c:v>
                </c:pt>
                <c:pt idx="4">
                  <c:v>166.91900000000001</c:v>
                </c:pt>
                <c:pt idx="5">
                  <c:v>173.02799999999999</c:v>
                </c:pt>
                <c:pt idx="6">
                  <c:v>179.99799999999999</c:v>
                </c:pt>
                <c:pt idx="7">
                  <c:v>184.64</c:v>
                </c:pt>
                <c:pt idx="8">
                  <c:v>187.15199999999999</c:v>
                </c:pt>
                <c:pt idx="9">
                  <c:v>188.85599999999999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E7AC-42BA-9E28-ECEC036797D8}"/>
            </c:ext>
          </c:extLst>
        </c:ser>
        <c:ser>
          <c:idx val="32"/>
          <c:order val="32"/>
          <c:tx>
            <c:strRef>
              <c:f>'25020230'!$AI$1</c:f>
              <c:strCache>
                <c:ptCount val="1"/>
                <c:pt idx="0">
                  <c:v>logistic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'25020230'!$AI$2:$AI$11</c:f>
              <c:numCache>
                <c:formatCode>General</c:formatCode>
                <c:ptCount val="10"/>
                <c:pt idx="0">
                  <c:v>112.589</c:v>
                </c:pt>
                <c:pt idx="1">
                  <c:v>132.947</c:v>
                </c:pt>
                <c:pt idx="2">
                  <c:v>147.94</c:v>
                </c:pt>
                <c:pt idx="3">
                  <c:v>166.07300000000001</c:v>
                </c:pt>
                <c:pt idx="4">
                  <c:v>179.26900000000001</c:v>
                </c:pt>
                <c:pt idx="5">
                  <c:v>192.27199999999999</c:v>
                </c:pt>
                <c:pt idx="6">
                  <c:v>209.32400000000001</c:v>
                </c:pt>
                <c:pt idx="7">
                  <c:v>222.17599999999999</c:v>
                </c:pt>
                <c:pt idx="8">
                  <c:v>229.685</c:v>
                </c:pt>
                <c:pt idx="9">
                  <c:v>235.01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E7AC-42BA-9E28-ECEC036797D8}"/>
            </c:ext>
          </c:extLst>
        </c:ser>
        <c:ser>
          <c:idx val="33"/>
          <c:order val="33"/>
          <c:tx>
            <c:strRef>
              <c:f>'25020230'!$AJ$1</c:f>
              <c:strCache>
                <c:ptCount val="1"/>
                <c:pt idx="0">
                  <c:v>lognorm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'25020230'!$AJ$2:$AJ$11</c:f>
              <c:numCache>
                <c:formatCode>General</c:formatCode>
                <c:ptCount val="10"/>
                <c:pt idx="0">
                  <c:v>113.301</c:v>
                </c:pt>
                <c:pt idx="1">
                  <c:v>135.54</c:v>
                </c:pt>
                <c:pt idx="2">
                  <c:v>150.292</c:v>
                </c:pt>
                <c:pt idx="3">
                  <c:v>166.02500000000001</c:v>
                </c:pt>
                <c:pt idx="4">
                  <c:v>176.18799999999999</c:v>
                </c:pt>
                <c:pt idx="5">
                  <c:v>185.32900000000001</c:v>
                </c:pt>
                <c:pt idx="6">
                  <c:v>196.25299999999999</c:v>
                </c:pt>
                <c:pt idx="7">
                  <c:v>203.83500000000001</c:v>
                </c:pt>
                <c:pt idx="8">
                  <c:v>208.047</c:v>
                </c:pt>
                <c:pt idx="9">
                  <c:v>210.946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E7AC-42BA-9E28-ECEC036797D8}"/>
            </c:ext>
          </c:extLst>
        </c:ser>
        <c:ser>
          <c:idx val="34"/>
          <c:order val="34"/>
          <c:tx>
            <c:strRef>
              <c:f>'25020230'!$AK$1</c:f>
              <c:strCache>
                <c:ptCount val="1"/>
                <c:pt idx="0">
                  <c:v>maxwell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'25020230'!$AK$2:$AK$11</c:f>
              <c:numCache>
                <c:formatCode>General</c:formatCode>
                <c:ptCount val="10"/>
                <c:pt idx="0">
                  <c:v>110.666</c:v>
                </c:pt>
                <c:pt idx="1">
                  <c:v>135.136</c:v>
                </c:pt>
                <c:pt idx="2">
                  <c:v>152.357</c:v>
                </c:pt>
                <c:pt idx="3">
                  <c:v>171.41</c:v>
                </c:pt>
                <c:pt idx="4">
                  <c:v>184.035</c:v>
                </c:pt>
                <c:pt idx="5">
                  <c:v>195.57499999999999</c:v>
                </c:pt>
                <c:pt idx="6">
                  <c:v>209.565</c:v>
                </c:pt>
                <c:pt idx="7">
                  <c:v>219.39099999999999</c:v>
                </c:pt>
                <c:pt idx="8">
                  <c:v>224.887</c:v>
                </c:pt>
                <c:pt idx="9">
                  <c:v>228.685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E7AC-42BA-9E28-ECEC036797D8}"/>
            </c:ext>
          </c:extLst>
        </c:ser>
        <c:ser>
          <c:idx val="35"/>
          <c:order val="35"/>
          <c:tx>
            <c:strRef>
              <c:f>'25020230'!$AL$1</c:f>
              <c:strCache>
                <c:ptCount val="1"/>
                <c:pt idx="0">
                  <c:v>mielke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'25020230'!$AL$2:$AL$11</c:f>
              <c:numCache>
                <c:formatCode>General</c:formatCode>
                <c:ptCount val="10"/>
                <c:pt idx="0">
                  <c:v>107.348</c:v>
                </c:pt>
                <c:pt idx="1">
                  <c:v>136.44300000000001</c:v>
                </c:pt>
                <c:pt idx="2">
                  <c:v>160.34899999999999</c:v>
                </c:pt>
                <c:pt idx="3">
                  <c:v>190.82300000000001</c:v>
                </c:pt>
                <c:pt idx="4">
                  <c:v>213.62700000000001</c:v>
                </c:pt>
                <c:pt idx="5">
                  <c:v>236.429</c:v>
                </c:pt>
                <c:pt idx="6">
                  <c:v>266.70699999999999</c:v>
                </c:pt>
                <c:pt idx="7">
                  <c:v>289.76400000000001</c:v>
                </c:pt>
                <c:pt idx="8">
                  <c:v>303.32</c:v>
                </c:pt>
                <c:pt idx="9">
                  <c:v>312.971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E7AC-42BA-9E28-ECEC036797D8}"/>
            </c:ext>
          </c:extLst>
        </c:ser>
        <c:ser>
          <c:idx val="36"/>
          <c:order val="36"/>
          <c:tx>
            <c:strRef>
              <c:f>'25020230'!$AM$1</c:f>
              <c:strCache>
                <c:ptCount val="1"/>
                <c:pt idx="0">
                  <c:v>moyal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'25020230'!$AM$2:$AM$11</c:f>
              <c:numCache>
                <c:formatCode>General</c:formatCode>
                <c:ptCount val="10"/>
                <c:pt idx="0">
                  <c:v>105.279</c:v>
                </c:pt>
                <c:pt idx="1">
                  <c:v>129.59200000000001</c:v>
                </c:pt>
                <c:pt idx="2">
                  <c:v>150.761</c:v>
                </c:pt>
                <c:pt idx="3">
                  <c:v>178.49199999999999</c:v>
                </c:pt>
                <c:pt idx="4">
                  <c:v>199.428</c:v>
                </c:pt>
                <c:pt idx="5">
                  <c:v>220.357</c:v>
                </c:pt>
                <c:pt idx="6">
                  <c:v>248.02099999999999</c:v>
                </c:pt>
                <c:pt idx="7">
                  <c:v>268.94799999999998</c:v>
                </c:pt>
                <c:pt idx="8">
                  <c:v>281.19</c:v>
                </c:pt>
                <c:pt idx="9">
                  <c:v>289.875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E7AC-42BA-9E28-ECEC036797D8}"/>
            </c:ext>
          </c:extLst>
        </c:ser>
        <c:ser>
          <c:idx val="37"/>
          <c:order val="37"/>
          <c:tx>
            <c:strRef>
              <c:f>'25020230'!$AN$1</c:f>
              <c:strCache>
                <c:ptCount val="1"/>
                <c:pt idx="0">
                  <c:v>nakagami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'25020230'!$AN$2:$AN$11</c:f>
              <c:numCache>
                <c:formatCode>General</c:formatCode>
                <c:ptCount val="10"/>
                <c:pt idx="0">
                  <c:v>113.34399999999999</c:v>
                </c:pt>
                <c:pt idx="1">
                  <c:v>135.654</c:v>
                </c:pt>
                <c:pt idx="2">
                  <c:v>150.47200000000001</c:v>
                </c:pt>
                <c:pt idx="3">
                  <c:v>166.28800000000001</c:v>
                </c:pt>
                <c:pt idx="4">
                  <c:v>176.51499999999999</c:v>
                </c:pt>
                <c:pt idx="5">
                  <c:v>185.71899999999999</c:v>
                </c:pt>
                <c:pt idx="6">
                  <c:v>196.72300000000001</c:v>
                </c:pt>
                <c:pt idx="7">
                  <c:v>204.36600000000001</c:v>
                </c:pt>
                <c:pt idx="8">
                  <c:v>208.614</c:v>
                </c:pt>
                <c:pt idx="9">
                  <c:v>211.53899999999999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E7AC-42BA-9E28-ECEC036797D8}"/>
            </c:ext>
          </c:extLst>
        </c:ser>
        <c:ser>
          <c:idx val="38"/>
          <c:order val="38"/>
          <c:tx>
            <c:strRef>
              <c:f>'25020230'!$AO$1</c:f>
              <c:strCache>
                <c:ptCount val="1"/>
                <c:pt idx="0">
                  <c:v>ncf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'25020230'!$AO$2:$AO$11</c:f>
              <c:numCache>
                <c:formatCode>General</c:formatCode>
                <c:ptCount val="10"/>
                <c:pt idx="0">
                  <c:v>110.51</c:v>
                </c:pt>
                <c:pt idx="1">
                  <c:v>135.71</c:v>
                </c:pt>
                <c:pt idx="2">
                  <c:v>154.053</c:v>
                </c:pt>
                <c:pt idx="3">
                  <c:v>175.07</c:v>
                </c:pt>
                <c:pt idx="4">
                  <c:v>189.458</c:v>
                </c:pt>
                <c:pt idx="5">
                  <c:v>202.95099999999999</c:v>
                </c:pt>
                <c:pt idx="6">
                  <c:v>219.767</c:v>
                </c:pt>
                <c:pt idx="7">
                  <c:v>231.886</c:v>
                </c:pt>
                <c:pt idx="8">
                  <c:v>238.779</c:v>
                </c:pt>
                <c:pt idx="9">
                  <c:v>243.59100000000001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E7AC-42BA-9E28-ECEC036797D8}"/>
            </c:ext>
          </c:extLst>
        </c:ser>
        <c:ser>
          <c:idx val="39"/>
          <c:order val="39"/>
          <c:tx>
            <c:strRef>
              <c:f>'25020230'!$AP$1</c:f>
              <c:strCache>
                <c:ptCount val="1"/>
                <c:pt idx="0">
                  <c:v>nct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'25020230'!$AP$2:$AP$11</c:f>
              <c:numCache>
                <c:formatCode>General</c:formatCode>
                <c:ptCount val="10"/>
                <c:pt idx="0">
                  <c:v>113.3</c:v>
                </c:pt>
                <c:pt idx="1">
                  <c:v>135.54300000000001</c:v>
                </c:pt>
                <c:pt idx="2">
                  <c:v>150.29900000000001</c:v>
                </c:pt>
                <c:pt idx="3">
                  <c:v>166.035</c:v>
                </c:pt>
                <c:pt idx="4">
                  <c:v>176.20099999999999</c:v>
                </c:pt>
                <c:pt idx="5">
                  <c:v>185.346</c:v>
                </c:pt>
                <c:pt idx="6">
                  <c:v>196.27199999999999</c:v>
                </c:pt>
                <c:pt idx="7">
                  <c:v>203.857</c:v>
                </c:pt>
                <c:pt idx="8">
                  <c:v>208.071</c:v>
                </c:pt>
                <c:pt idx="9">
                  <c:v>210.97200000000001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E7AC-42BA-9E28-ECEC036797D8}"/>
            </c:ext>
          </c:extLst>
        </c:ser>
        <c:ser>
          <c:idx val="40"/>
          <c:order val="40"/>
          <c:tx>
            <c:strRef>
              <c:f>'25020230'!$AQ$1</c:f>
              <c:strCache>
                <c:ptCount val="1"/>
                <c:pt idx="0">
                  <c:v>norm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'25020230'!$AQ$2:$AQ$11</c:f>
              <c:numCache>
                <c:formatCode>General</c:formatCode>
                <c:ptCount val="10"/>
                <c:pt idx="0">
                  <c:v>113.301</c:v>
                </c:pt>
                <c:pt idx="1">
                  <c:v>135.54</c:v>
                </c:pt>
                <c:pt idx="2">
                  <c:v>150.292</c:v>
                </c:pt>
                <c:pt idx="3">
                  <c:v>166.024</c:v>
                </c:pt>
                <c:pt idx="4">
                  <c:v>176.18700000000001</c:v>
                </c:pt>
                <c:pt idx="5">
                  <c:v>185.328</c:v>
                </c:pt>
                <c:pt idx="6">
                  <c:v>196.251</c:v>
                </c:pt>
                <c:pt idx="7">
                  <c:v>203.83199999999999</c:v>
                </c:pt>
                <c:pt idx="8">
                  <c:v>208.04400000000001</c:v>
                </c:pt>
                <c:pt idx="9">
                  <c:v>210.94399999999999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E7AC-42BA-9E28-ECEC036797D8}"/>
            </c:ext>
          </c:extLst>
        </c:ser>
        <c:ser>
          <c:idx val="41"/>
          <c:order val="41"/>
          <c:tx>
            <c:strRef>
              <c:f>'25020230'!$AR$1</c:f>
              <c:strCache>
                <c:ptCount val="1"/>
                <c:pt idx="0">
                  <c:v>pareto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'25020230'!$AR$2:$AR$11</c:f>
              <c:numCache>
                <c:formatCode>General</c:formatCode>
                <c:ptCount val="10"/>
                <c:pt idx="0">
                  <c:v>96.941400000000002</c:v>
                </c:pt>
                <c:pt idx="1">
                  <c:v>148.34299999999999</c:v>
                </c:pt>
                <c:pt idx="2">
                  <c:v>195.00299999999999</c:v>
                </c:pt>
                <c:pt idx="3">
                  <c:v>256.685</c:v>
                </c:pt>
                <c:pt idx="4">
                  <c:v>303.346</c:v>
                </c:pt>
                <c:pt idx="5">
                  <c:v>350.00700000000001</c:v>
                </c:pt>
                <c:pt idx="6">
                  <c:v>411.68900000000002</c:v>
                </c:pt>
                <c:pt idx="7">
                  <c:v>458.34899999999999</c:v>
                </c:pt>
                <c:pt idx="8">
                  <c:v>485.64400000000001</c:v>
                </c:pt>
                <c:pt idx="9">
                  <c:v>505.01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E7AC-42BA-9E28-ECEC036797D8}"/>
            </c:ext>
          </c:extLst>
        </c:ser>
        <c:ser>
          <c:idx val="42"/>
          <c:order val="42"/>
          <c:tx>
            <c:strRef>
              <c:f>'25020230'!$AS$1</c:f>
              <c:strCache>
                <c:ptCount val="1"/>
                <c:pt idx="0">
                  <c:v>pearson3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'25020230'!$AS$2:$AS$11</c:f>
              <c:numCache>
                <c:formatCode>General</c:formatCode>
                <c:ptCount val="10"/>
                <c:pt idx="0">
                  <c:v>114.536</c:v>
                </c:pt>
                <c:pt idx="1">
                  <c:v>135.85</c:v>
                </c:pt>
                <c:pt idx="2">
                  <c:v>149.376</c:v>
                </c:pt>
                <c:pt idx="3">
                  <c:v>163.27099999999999</c:v>
                </c:pt>
                <c:pt idx="4">
                  <c:v>171.96</c:v>
                </c:pt>
                <c:pt idx="5">
                  <c:v>179.58600000000001</c:v>
                </c:pt>
                <c:pt idx="6">
                  <c:v>188.464</c:v>
                </c:pt>
                <c:pt idx="7">
                  <c:v>194.47900000000001</c:v>
                </c:pt>
                <c:pt idx="8">
                  <c:v>197.76900000000001</c:v>
                </c:pt>
                <c:pt idx="9">
                  <c:v>200.012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E7AC-42BA-9E28-ECEC036797D8}"/>
            </c:ext>
          </c:extLst>
        </c:ser>
        <c:ser>
          <c:idx val="43"/>
          <c:order val="43"/>
          <c:tx>
            <c:strRef>
              <c:f>'25020230'!$AT$1</c:f>
              <c:strCache>
                <c:ptCount val="1"/>
                <c:pt idx="0">
                  <c:v>powerlognorm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'25020230'!$AT$2:$AT$11</c:f>
              <c:numCache>
                <c:formatCode>General</c:formatCode>
                <c:ptCount val="10"/>
                <c:pt idx="0">
                  <c:v>115.205</c:v>
                </c:pt>
                <c:pt idx="1">
                  <c:v>136.196</c:v>
                </c:pt>
                <c:pt idx="2">
                  <c:v>149.40899999999999</c:v>
                </c:pt>
                <c:pt idx="3">
                  <c:v>162.97</c:v>
                </c:pt>
                <c:pt idx="4">
                  <c:v>171.48099999999999</c:v>
                </c:pt>
                <c:pt idx="5">
                  <c:v>178.99100000000001</c:v>
                </c:pt>
                <c:pt idx="6">
                  <c:v>187.80199999999999</c:v>
                </c:pt>
                <c:pt idx="7">
                  <c:v>193.82599999999999</c:v>
                </c:pt>
                <c:pt idx="8">
                  <c:v>197.143</c:v>
                </c:pt>
                <c:pt idx="9">
                  <c:v>199.41499999999999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E7AC-42BA-9E28-ECEC036797D8}"/>
            </c:ext>
          </c:extLst>
        </c:ser>
        <c:ser>
          <c:idx val="44"/>
          <c:order val="44"/>
          <c:tx>
            <c:strRef>
              <c:f>'25020230'!$AU$1</c:f>
              <c:strCache>
                <c:ptCount val="1"/>
                <c:pt idx="0">
                  <c:v>powernorm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'25020230'!$AU$2:$AU$11</c:f>
              <c:numCache>
                <c:formatCode>General</c:formatCode>
                <c:ptCount val="10"/>
                <c:pt idx="0">
                  <c:v>117.34699999999999</c:v>
                </c:pt>
                <c:pt idx="1">
                  <c:v>136.63200000000001</c:v>
                </c:pt>
                <c:pt idx="2">
                  <c:v>147.934</c:v>
                </c:pt>
                <c:pt idx="3">
                  <c:v>158.922</c:v>
                </c:pt>
                <c:pt idx="4">
                  <c:v>165.52099999999999</c:v>
                </c:pt>
                <c:pt idx="5">
                  <c:v>171.16399999999999</c:v>
                </c:pt>
                <c:pt idx="6">
                  <c:v>177.58099999999999</c:v>
                </c:pt>
                <c:pt idx="7">
                  <c:v>181.846</c:v>
                </c:pt>
                <c:pt idx="8">
                  <c:v>184.154</c:v>
                </c:pt>
                <c:pt idx="9">
                  <c:v>185.71799999999999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E7AC-42BA-9E28-ECEC036797D8}"/>
            </c:ext>
          </c:extLst>
        </c:ser>
        <c:ser>
          <c:idx val="45"/>
          <c:order val="45"/>
          <c:tx>
            <c:strRef>
              <c:f>'25020230'!$AV$1</c:f>
              <c:strCache>
                <c:ptCount val="1"/>
                <c:pt idx="0">
                  <c:v>rayleigh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'25020230'!$AV$2:$AV$11</c:f>
              <c:numCache>
                <c:formatCode>General</c:formatCode>
                <c:ptCount val="10"/>
                <c:pt idx="0">
                  <c:v>109.741</c:v>
                </c:pt>
                <c:pt idx="1">
                  <c:v>134.999</c:v>
                </c:pt>
                <c:pt idx="2">
                  <c:v>153.00800000000001</c:v>
                </c:pt>
                <c:pt idx="3">
                  <c:v>173.03800000000001</c:v>
                </c:pt>
                <c:pt idx="4">
                  <c:v>186.34</c:v>
                </c:pt>
                <c:pt idx="5">
                  <c:v>198.50700000000001</c:v>
                </c:pt>
                <c:pt idx="6">
                  <c:v>213.26</c:v>
                </c:pt>
                <c:pt idx="7">
                  <c:v>223.62100000000001</c:v>
                </c:pt>
                <c:pt idx="8">
                  <c:v>229.41499999999999</c:v>
                </c:pt>
                <c:pt idx="9">
                  <c:v>233.41900000000001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E7AC-42BA-9E28-ECEC036797D8}"/>
            </c:ext>
          </c:extLst>
        </c:ser>
        <c:ser>
          <c:idx val="46"/>
          <c:order val="46"/>
          <c:tx>
            <c:strRef>
              <c:f>'25020230'!$AW$1</c:f>
              <c:strCache>
                <c:ptCount val="1"/>
                <c:pt idx="0">
                  <c:v>recipinvgauss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'25020230'!$AW$2:$AW$11</c:f>
              <c:numCache>
                <c:formatCode>General</c:formatCode>
                <c:ptCount val="10"/>
                <c:pt idx="0">
                  <c:v>111.96</c:v>
                </c:pt>
                <c:pt idx="1">
                  <c:v>135.34899999999999</c:v>
                </c:pt>
                <c:pt idx="2">
                  <c:v>151.51300000000001</c:v>
                </c:pt>
                <c:pt idx="3">
                  <c:v>169.33699999999999</c:v>
                </c:pt>
                <c:pt idx="4">
                  <c:v>181.179</c:v>
                </c:pt>
                <c:pt idx="5">
                  <c:v>192.05500000000001</c:v>
                </c:pt>
                <c:pt idx="6">
                  <c:v>205.334</c:v>
                </c:pt>
                <c:pt idx="7">
                  <c:v>214.733</c:v>
                </c:pt>
                <c:pt idx="8">
                  <c:v>220.02099999999999</c:v>
                </c:pt>
                <c:pt idx="9">
                  <c:v>223.68799999999999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E7AC-42BA-9E28-ECEC036797D8}"/>
            </c:ext>
          </c:extLst>
        </c:ser>
        <c:ser>
          <c:idx val="47"/>
          <c:order val="47"/>
          <c:tx>
            <c:strRef>
              <c:f>'25020230'!$AX$1</c:f>
              <c:strCache>
                <c:ptCount val="1"/>
                <c:pt idx="0">
                  <c:v>rice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'25020230'!$AX$2:$AX$11</c:f>
              <c:numCache>
                <c:formatCode>General</c:formatCode>
                <c:ptCount val="10"/>
                <c:pt idx="0">
                  <c:v>116.053</c:v>
                </c:pt>
                <c:pt idx="1">
                  <c:v>135.899</c:v>
                </c:pt>
                <c:pt idx="2">
                  <c:v>149.375</c:v>
                </c:pt>
                <c:pt idx="3">
                  <c:v>163.916</c:v>
                </c:pt>
                <c:pt idx="4">
                  <c:v>173.37700000000001</c:v>
                </c:pt>
                <c:pt idx="5">
                  <c:v>181.923</c:v>
                </c:pt>
                <c:pt idx="6">
                  <c:v>192.17099999999999</c:v>
                </c:pt>
                <c:pt idx="7">
                  <c:v>199.30500000000001</c:v>
                </c:pt>
                <c:pt idx="8">
                  <c:v>203.274</c:v>
                </c:pt>
                <c:pt idx="9">
                  <c:v>206.00899999999999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E7AC-42BA-9E28-ECEC036797D8}"/>
            </c:ext>
          </c:extLst>
        </c:ser>
        <c:ser>
          <c:idx val="48"/>
          <c:order val="48"/>
          <c:tx>
            <c:strRef>
              <c:f>'25020230'!$AY$1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'25020230'!$AY$2:$AY$11</c:f>
              <c:numCache>
                <c:formatCode>General</c:formatCode>
                <c:ptCount val="10"/>
                <c:pt idx="0">
                  <c:v>113.30200000000001</c:v>
                </c:pt>
                <c:pt idx="1">
                  <c:v>135.542</c:v>
                </c:pt>
                <c:pt idx="2">
                  <c:v>150.29599999999999</c:v>
                </c:pt>
                <c:pt idx="3">
                  <c:v>166.029</c:v>
                </c:pt>
                <c:pt idx="4">
                  <c:v>176.19200000000001</c:v>
                </c:pt>
                <c:pt idx="5">
                  <c:v>185.334</c:v>
                </c:pt>
                <c:pt idx="6">
                  <c:v>196.25800000000001</c:v>
                </c:pt>
                <c:pt idx="7">
                  <c:v>203.84</c:v>
                </c:pt>
                <c:pt idx="8">
                  <c:v>208.05199999999999</c:v>
                </c:pt>
                <c:pt idx="9">
                  <c:v>210.952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E7AC-42BA-9E28-ECEC036797D8}"/>
            </c:ext>
          </c:extLst>
        </c:ser>
        <c:ser>
          <c:idx val="49"/>
          <c:order val="49"/>
          <c:tx>
            <c:strRef>
              <c:f>'25020230'!$AZ$1</c:f>
              <c:strCache>
                <c:ptCount val="1"/>
                <c:pt idx="0">
                  <c:v>truncnorm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'25020230'!$AZ$2:$AZ$11</c:f>
              <c:numCache>
                <c:formatCode>General</c:formatCode>
                <c:ptCount val="10"/>
                <c:pt idx="0">
                  <c:v>113.301</c:v>
                </c:pt>
                <c:pt idx="1">
                  <c:v>135.54</c:v>
                </c:pt>
                <c:pt idx="2">
                  <c:v>150.292</c:v>
                </c:pt>
                <c:pt idx="3">
                  <c:v>166.024</c:v>
                </c:pt>
                <c:pt idx="4">
                  <c:v>176.18700000000001</c:v>
                </c:pt>
                <c:pt idx="5">
                  <c:v>185.328</c:v>
                </c:pt>
                <c:pt idx="6">
                  <c:v>196.251</c:v>
                </c:pt>
                <c:pt idx="7">
                  <c:v>203.83199999999999</c:v>
                </c:pt>
                <c:pt idx="8">
                  <c:v>208.04400000000001</c:v>
                </c:pt>
                <c:pt idx="9">
                  <c:v>210.94399999999999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E7AC-42BA-9E28-ECEC036797D8}"/>
            </c:ext>
          </c:extLst>
        </c:ser>
        <c:ser>
          <c:idx val="50"/>
          <c:order val="50"/>
          <c:tx>
            <c:strRef>
              <c:f>'25020230'!$BA$1</c:f>
              <c:strCache>
                <c:ptCount val="1"/>
                <c:pt idx="0">
                  <c:v>wald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'25020230'!$BA$2:$BA$11</c:f>
              <c:numCache>
                <c:formatCode>General</c:formatCode>
                <c:ptCount val="10"/>
                <c:pt idx="0">
                  <c:v>100.371</c:v>
                </c:pt>
                <c:pt idx="1">
                  <c:v>122.336</c:v>
                </c:pt>
                <c:pt idx="2">
                  <c:v>145.64699999999999</c:v>
                </c:pt>
                <c:pt idx="3">
                  <c:v>180.70599999999999</c:v>
                </c:pt>
                <c:pt idx="4">
                  <c:v>209.87899999999999</c:v>
                </c:pt>
                <c:pt idx="5">
                  <c:v>240.91900000000001</c:v>
                </c:pt>
                <c:pt idx="6">
                  <c:v>284.30599999999998</c:v>
                </c:pt>
                <c:pt idx="7">
                  <c:v>318.60000000000002</c:v>
                </c:pt>
                <c:pt idx="8">
                  <c:v>339.16199999999998</c:v>
                </c:pt>
                <c:pt idx="9">
                  <c:v>353.95299999999997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E7AC-42BA-9E28-ECEC036797D8}"/>
            </c:ext>
          </c:extLst>
        </c:ser>
        <c:ser>
          <c:idx val="51"/>
          <c:order val="51"/>
          <c:tx>
            <c:strRef>
              <c:f>'25020230'!$BB$1</c:f>
              <c:strCache>
                <c:ptCount val="1"/>
                <c:pt idx="0">
                  <c:v>weibull_min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'25020230'!$BB$2:$BB$11</c:f>
              <c:numCache>
                <c:formatCode>General</c:formatCode>
                <c:ptCount val="10"/>
                <c:pt idx="0">
                  <c:v>115.33799999999999</c:v>
                </c:pt>
                <c:pt idx="1">
                  <c:v>135.964</c:v>
                </c:pt>
                <c:pt idx="2">
                  <c:v>148.64699999999999</c:v>
                </c:pt>
                <c:pt idx="3">
                  <c:v>161.35900000000001</c:v>
                </c:pt>
                <c:pt idx="4">
                  <c:v>169.161</c:v>
                </c:pt>
                <c:pt idx="5">
                  <c:v>175.923</c:v>
                </c:pt>
                <c:pt idx="6">
                  <c:v>183.709</c:v>
                </c:pt>
                <c:pt idx="7">
                  <c:v>188.93600000000001</c:v>
                </c:pt>
                <c:pt idx="8">
                  <c:v>191.78100000000001</c:v>
                </c:pt>
                <c:pt idx="9">
                  <c:v>193.71600000000001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E7AC-42BA-9E28-ECEC036797D8}"/>
            </c:ext>
          </c:extLst>
        </c:ser>
        <c:ser>
          <c:idx val="52"/>
          <c:order val="52"/>
          <c:tx>
            <c:strRef>
              <c:f>'25020230'!$BC$1</c:f>
              <c:strCache>
                <c:ptCount val="1"/>
                <c:pt idx="0">
                  <c:v>zzgumbel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'25020230'!$BC$2:$BC$11</c:f>
              <c:numCache>
                <c:formatCode>General</c:formatCode>
                <c:ptCount val="10"/>
                <c:pt idx="0">
                  <c:v>122.61199999999999</c:v>
                </c:pt>
                <c:pt idx="1">
                  <c:v>147.001</c:v>
                </c:pt>
                <c:pt idx="2">
                  <c:v>166.86600000000001</c:v>
                </c:pt>
                <c:pt idx="3">
                  <c:v>191.965</c:v>
                </c:pt>
                <c:pt idx="4">
                  <c:v>210.584</c:v>
                </c:pt>
                <c:pt idx="5">
                  <c:v>229.06700000000001</c:v>
                </c:pt>
                <c:pt idx="6">
                  <c:v>253.40199999999999</c:v>
                </c:pt>
                <c:pt idx="7">
                  <c:v>271.77600000000001</c:v>
                </c:pt>
                <c:pt idx="8">
                  <c:v>282.51799999999997</c:v>
                </c:pt>
                <c:pt idx="9">
                  <c:v>290.13799999999998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E7AC-42BA-9E28-ECEC036797D8}"/>
            </c:ext>
          </c:extLst>
        </c:ser>
        <c:ser>
          <c:idx val="53"/>
          <c:order val="53"/>
          <c:tx>
            <c:strRef>
              <c:f>'25020230'!$BD$1</c:f>
              <c:strCache>
                <c:ptCount val="1"/>
                <c:pt idx="0">
                  <c:v>zzloggumbel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'25020230'!$B$2:$B$11</c:f>
              <c:numCache>
                <c:formatCode>General</c:formatCode>
                <c:ptCount val="10"/>
                <c:pt idx="0">
                  <c:v>2.33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</c:numCache>
            </c:numRef>
          </c:xVal>
          <c:yVal>
            <c:numRef>
              <c:f>'25020230'!$BD$2:$BD$11</c:f>
              <c:numCache>
                <c:formatCode>General</c:formatCode>
                <c:ptCount val="10"/>
                <c:pt idx="0">
                  <c:v>102.22499999999999</c:v>
                </c:pt>
                <c:pt idx="1">
                  <c:v>132.39099999999999</c:v>
                </c:pt>
                <c:pt idx="2">
                  <c:v>163.42699999999999</c:v>
                </c:pt>
                <c:pt idx="3">
                  <c:v>213.25200000000001</c:v>
                </c:pt>
                <c:pt idx="4">
                  <c:v>259.79399999999998</c:v>
                </c:pt>
                <c:pt idx="5">
                  <c:v>316.03300000000002</c:v>
                </c:pt>
                <c:pt idx="6">
                  <c:v>409.05700000000002</c:v>
                </c:pt>
                <c:pt idx="7">
                  <c:v>497.04</c:v>
                </c:pt>
                <c:pt idx="8">
                  <c:v>556.99699999999996</c:v>
                </c:pt>
                <c:pt idx="9">
                  <c:v>603.86300000000006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E7AC-42BA-9E28-ECEC03679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069535"/>
        <c:axId val="1388317359"/>
      </c:scatterChart>
      <c:valAx>
        <c:axId val="1353069535"/>
        <c:scaling>
          <c:orientation val="minMax"/>
          <c:max val="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1388317359"/>
        <c:crosses val="autoZero"/>
        <c:crossBetween val="midCat"/>
      </c:valAx>
      <c:valAx>
        <c:axId val="138831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1353069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117311</xdr:colOff>
      <xdr:row>9</xdr:row>
      <xdr:rowOff>207065</xdr:rowOff>
    </xdr:from>
    <xdr:to>
      <xdr:col>2</xdr:col>
      <xdr:colOff>2041663</xdr:colOff>
      <xdr:row>21</xdr:row>
      <xdr:rowOff>157369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C1A01-D53A-4FA7-9C72-A342CB64B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231077</xdr:colOff>
      <xdr:row>11</xdr:row>
      <xdr:rowOff>162484</xdr:rowOff>
    </xdr:from>
    <xdr:to>
      <xdr:col>20</xdr:col>
      <xdr:colOff>180135</xdr:colOff>
      <xdr:row>44</xdr:row>
      <xdr:rowOff>64714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670A4-4292-1C7B-5B59-252FEA9E6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9383-2241-4A46-BD2D-60D7F9738A4F}">
  <dimension ref="A1:Q52"/>
  <sheetViews>
    <sheetView showGridLines="0" tabSelected="1" zoomScale="115" zoomScaleNormal="115" workbookViewId="0">
      <pane ySplit="1" topLeftCell="A25" activePane="bottomLeft" state="frozen"/>
      <selection pane="bottomLeft" activeCell="Q12" sqref="Q12:Q52"/>
    </sheetView>
  </sheetViews>
  <sheetFormatPr defaultRowHeight="16.5" x14ac:dyDescent="0.6"/>
  <cols>
    <col min="1" max="1" width="16.59765625" style="1" customWidth="1"/>
    <col min="2" max="2" width="11.46484375" style="1" customWidth="1"/>
    <col min="3" max="16384" width="9.06640625" style="1"/>
  </cols>
  <sheetData>
    <row r="1" spans="1:17" x14ac:dyDescent="0.6">
      <c r="A1" s="1" t="s">
        <v>0</v>
      </c>
      <c r="B1" s="1">
        <v>2502023</v>
      </c>
      <c r="C1" s="1">
        <v>2502026</v>
      </c>
      <c r="D1" s="1">
        <v>2502028</v>
      </c>
      <c r="E1" s="1">
        <v>2502069</v>
      </c>
      <c r="F1" s="1">
        <v>2802008</v>
      </c>
      <c r="G1" s="1">
        <v>2802023</v>
      </c>
      <c r="H1" s="1">
        <v>2802026</v>
      </c>
      <c r="I1" s="1">
        <v>2802044</v>
      </c>
      <c r="J1" s="1">
        <v>2802060</v>
      </c>
      <c r="K1" s="1">
        <v>2802508</v>
      </c>
      <c r="L1" s="1">
        <v>2802509</v>
      </c>
      <c r="M1" s="1">
        <v>2803504</v>
      </c>
      <c r="N1" s="1">
        <v>2804031</v>
      </c>
      <c r="O1" s="1">
        <v>2804035</v>
      </c>
      <c r="P1" s="1">
        <v>2804504</v>
      </c>
    </row>
    <row r="2" spans="1:17" x14ac:dyDescent="0.6">
      <c r="A2" s="1">
        <v>1959</v>
      </c>
      <c r="F2" s="1">
        <v>65</v>
      </c>
      <c r="I2" s="1">
        <v>135</v>
      </c>
      <c r="Q2" s="1" t="str">
        <f>_xlfn.CONCAT(A2,",",C2)</f>
        <v>1959,</v>
      </c>
    </row>
    <row r="3" spans="1:17" x14ac:dyDescent="0.6">
      <c r="A3" s="1">
        <v>1960</v>
      </c>
      <c r="F3" s="1">
        <v>53</v>
      </c>
      <c r="I3" s="1">
        <v>100</v>
      </c>
      <c r="Q3" s="1" t="str">
        <f t="shared" ref="Q3:Q52" si="0">_xlfn.CONCAT(A3,",",C3)</f>
        <v>1960,</v>
      </c>
    </row>
    <row r="4" spans="1:17" x14ac:dyDescent="0.6">
      <c r="A4" s="1">
        <v>1961</v>
      </c>
      <c r="I4" s="1">
        <v>52</v>
      </c>
      <c r="Q4" s="1" t="str">
        <f t="shared" si="0"/>
        <v>1961,</v>
      </c>
    </row>
    <row r="5" spans="1:17" x14ac:dyDescent="0.6">
      <c r="A5" s="1">
        <v>1962</v>
      </c>
      <c r="F5" s="1">
        <v>114</v>
      </c>
      <c r="Q5" s="1" t="str">
        <f t="shared" si="0"/>
        <v>1962,</v>
      </c>
    </row>
    <row r="6" spans="1:17" x14ac:dyDescent="0.6">
      <c r="A6" s="1">
        <v>1963</v>
      </c>
      <c r="F6" s="1">
        <v>79</v>
      </c>
      <c r="I6" s="1">
        <v>85</v>
      </c>
      <c r="Q6" s="1" t="str">
        <f t="shared" si="0"/>
        <v>1963,</v>
      </c>
    </row>
    <row r="7" spans="1:17" x14ac:dyDescent="0.6">
      <c r="A7" s="1">
        <v>1964</v>
      </c>
      <c r="F7" s="1">
        <v>72</v>
      </c>
      <c r="I7" s="1">
        <v>73</v>
      </c>
      <c r="Q7" s="1" t="str">
        <f t="shared" si="0"/>
        <v>1964,</v>
      </c>
    </row>
    <row r="8" spans="1:17" x14ac:dyDescent="0.6">
      <c r="A8" s="1">
        <v>1965</v>
      </c>
      <c r="F8" s="1">
        <v>11</v>
      </c>
      <c r="I8" s="1">
        <v>117</v>
      </c>
      <c r="Q8" s="1" t="str">
        <f t="shared" si="0"/>
        <v>1965,</v>
      </c>
    </row>
    <row r="9" spans="1:17" x14ac:dyDescent="0.6">
      <c r="A9" s="1">
        <v>1966</v>
      </c>
      <c r="Q9" s="1" t="str">
        <f t="shared" si="0"/>
        <v>1966,</v>
      </c>
    </row>
    <row r="10" spans="1:17" x14ac:dyDescent="0.6">
      <c r="A10" s="1">
        <v>1967</v>
      </c>
      <c r="I10" s="1">
        <v>79</v>
      </c>
      <c r="Q10" s="1" t="str">
        <f t="shared" si="0"/>
        <v>1967,</v>
      </c>
    </row>
    <row r="11" spans="1:17" x14ac:dyDescent="0.6">
      <c r="A11" s="1">
        <v>1968</v>
      </c>
      <c r="F11" s="1">
        <v>72</v>
      </c>
      <c r="I11" s="1">
        <v>95</v>
      </c>
      <c r="Q11" s="1" t="str">
        <f t="shared" si="0"/>
        <v>1968,</v>
      </c>
    </row>
    <row r="12" spans="1:17" x14ac:dyDescent="0.6">
      <c r="A12" s="1">
        <v>1969</v>
      </c>
      <c r="B12" s="1">
        <v>82</v>
      </c>
      <c r="C12" s="1">
        <v>112</v>
      </c>
      <c r="D12" s="1">
        <v>132</v>
      </c>
      <c r="F12" s="1">
        <v>99</v>
      </c>
      <c r="G12" s="1">
        <v>90</v>
      </c>
      <c r="H12" s="1">
        <v>92</v>
      </c>
      <c r="I12" s="1">
        <v>97</v>
      </c>
      <c r="Q12" s="1" t="str">
        <f t="shared" si="0"/>
        <v>1969,112</v>
      </c>
    </row>
    <row r="13" spans="1:17" x14ac:dyDescent="0.6">
      <c r="A13" s="1">
        <v>1970</v>
      </c>
      <c r="B13" s="1">
        <v>82</v>
      </c>
      <c r="C13" s="1">
        <v>100</v>
      </c>
      <c r="D13" s="1">
        <v>115</v>
      </c>
      <c r="F13" s="1">
        <v>100</v>
      </c>
      <c r="G13" s="1">
        <v>86</v>
      </c>
      <c r="H13" s="1">
        <v>160</v>
      </c>
      <c r="I13" s="1">
        <v>133</v>
      </c>
      <c r="Q13" s="1" t="str">
        <f t="shared" si="0"/>
        <v>1970,100</v>
      </c>
    </row>
    <row r="14" spans="1:17" x14ac:dyDescent="0.6">
      <c r="A14" s="1">
        <v>1971</v>
      </c>
      <c r="B14" s="1">
        <v>125</v>
      </c>
      <c r="C14" s="1">
        <v>85</v>
      </c>
      <c r="D14" s="1">
        <v>100</v>
      </c>
      <c r="F14" s="1">
        <v>80</v>
      </c>
      <c r="G14" s="1">
        <v>114</v>
      </c>
      <c r="H14" s="1">
        <v>96</v>
      </c>
      <c r="I14" s="1">
        <v>103</v>
      </c>
      <c r="Q14" s="1" t="str">
        <f t="shared" si="0"/>
        <v>1971,85</v>
      </c>
    </row>
    <row r="15" spans="1:17" x14ac:dyDescent="0.6">
      <c r="A15" s="1">
        <v>1972</v>
      </c>
      <c r="B15" s="1">
        <v>80</v>
      </c>
      <c r="C15" s="1">
        <v>72</v>
      </c>
      <c r="D15" s="1">
        <v>97</v>
      </c>
      <c r="F15" s="1">
        <v>100</v>
      </c>
      <c r="G15" s="1">
        <v>53</v>
      </c>
      <c r="I15" s="1">
        <v>136</v>
      </c>
      <c r="M15" s="1">
        <v>75</v>
      </c>
      <c r="O15" s="1">
        <v>47</v>
      </c>
      <c r="Q15" s="1" t="str">
        <f t="shared" si="0"/>
        <v>1972,72</v>
      </c>
    </row>
    <row r="16" spans="1:17" x14ac:dyDescent="0.6">
      <c r="A16" s="1">
        <v>1973</v>
      </c>
      <c r="B16" s="1">
        <v>130</v>
      </c>
      <c r="C16" s="1">
        <v>128</v>
      </c>
      <c r="D16" s="1">
        <v>116</v>
      </c>
      <c r="E16" s="1">
        <v>113</v>
      </c>
      <c r="F16" s="1">
        <v>96</v>
      </c>
      <c r="G16" s="1">
        <v>130</v>
      </c>
      <c r="I16" s="1">
        <v>134</v>
      </c>
      <c r="M16" s="1">
        <v>52</v>
      </c>
      <c r="O16" s="1">
        <v>70</v>
      </c>
      <c r="Q16" s="1" t="str">
        <f t="shared" si="0"/>
        <v>1973,128</v>
      </c>
    </row>
    <row r="17" spans="1:17" x14ac:dyDescent="0.6">
      <c r="A17" s="1">
        <v>1974</v>
      </c>
      <c r="B17" s="1">
        <v>135</v>
      </c>
      <c r="C17" s="1">
        <v>155</v>
      </c>
      <c r="D17" s="1">
        <v>92</v>
      </c>
      <c r="E17" s="1">
        <v>80</v>
      </c>
      <c r="F17" s="1">
        <v>55</v>
      </c>
      <c r="G17" s="1">
        <v>109</v>
      </c>
      <c r="I17" s="1">
        <v>76</v>
      </c>
      <c r="M17" s="1">
        <v>65</v>
      </c>
      <c r="O17" s="1">
        <v>90</v>
      </c>
      <c r="Q17" s="1" t="str">
        <f t="shared" si="0"/>
        <v>1974,155</v>
      </c>
    </row>
    <row r="18" spans="1:17" x14ac:dyDescent="0.6">
      <c r="A18" s="1">
        <v>1975</v>
      </c>
      <c r="B18" s="1">
        <v>139</v>
      </c>
      <c r="C18" s="1">
        <v>172</v>
      </c>
      <c r="D18" s="1">
        <v>104</v>
      </c>
      <c r="E18" s="1">
        <v>80</v>
      </c>
      <c r="F18" s="1">
        <v>130</v>
      </c>
      <c r="G18" s="1">
        <v>115</v>
      </c>
      <c r="I18" s="1">
        <v>100</v>
      </c>
      <c r="M18" s="1">
        <v>73</v>
      </c>
      <c r="O18" s="1">
        <v>140</v>
      </c>
      <c r="Q18" s="1" t="str">
        <f t="shared" si="0"/>
        <v>1975,172</v>
      </c>
    </row>
    <row r="19" spans="1:17" x14ac:dyDescent="0.6">
      <c r="A19" s="1">
        <v>1976</v>
      </c>
      <c r="B19" s="1">
        <v>80</v>
      </c>
      <c r="C19" s="1">
        <v>123</v>
      </c>
      <c r="D19" s="1">
        <v>82</v>
      </c>
      <c r="E19" s="1">
        <v>92</v>
      </c>
      <c r="F19" s="1">
        <v>82</v>
      </c>
      <c r="G19" s="1">
        <v>100</v>
      </c>
      <c r="I19" s="1">
        <v>84</v>
      </c>
      <c r="M19" s="1">
        <v>68</v>
      </c>
      <c r="O19" s="1">
        <v>151</v>
      </c>
      <c r="Q19" s="1" t="str">
        <f t="shared" si="0"/>
        <v>1976,123</v>
      </c>
    </row>
    <row r="20" spans="1:17" x14ac:dyDescent="0.6">
      <c r="A20" s="1">
        <v>1977</v>
      </c>
      <c r="B20" s="1">
        <v>135</v>
      </c>
      <c r="C20" s="1">
        <v>115</v>
      </c>
      <c r="D20" s="1">
        <v>90</v>
      </c>
      <c r="E20" s="1">
        <v>57</v>
      </c>
      <c r="G20" s="1">
        <v>90</v>
      </c>
      <c r="I20" s="1">
        <v>86</v>
      </c>
      <c r="K20" s="1">
        <v>98</v>
      </c>
      <c r="M20" s="1">
        <v>28</v>
      </c>
      <c r="N20" s="1">
        <v>76</v>
      </c>
      <c r="O20" s="1">
        <v>102</v>
      </c>
      <c r="Q20" s="1" t="str">
        <f t="shared" si="0"/>
        <v>1977,115</v>
      </c>
    </row>
    <row r="21" spans="1:17" x14ac:dyDescent="0.6">
      <c r="A21" s="1">
        <v>1978</v>
      </c>
      <c r="B21" s="1">
        <v>142</v>
      </c>
      <c r="C21" s="1">
        <v>170</v>
      </c>
      <c r="D21" s="1">
        <v>130</v>
      </c>
      <c r="E21" s="1">
        <v>55</v>
      </c>
      <c r="G21" s="1">
        <v>100</v>
      </c>
      <c r="I21" s="1">
        <v>93</v>
      </c>
      <c r="K21" s="1">
        <v>72</v>
      </c>
      <c r="L21" s="1">
        <v>78</v>
      </c>
      <c r="M21" s="1">
        <v>99</v>
      </c>
      <c r="O21" s="1">
        <v>97</v>
      </c>
      <c r="Q21" s="1" t="str">
        <f t="shared" si="0"/>
        <v>1978,170</v>
      </c>
    </row>
    <row r="22" spans="1:17" x14ac:dyDescent="0.6">
      <c r="A22" s="1">
        <v>1979</v>
      </c>
      <c r="B22" s="1">
        <v>151</v>
      </c>
      <c r="C22" s="1">
        <v>136</v>
      </c>
      <c r="D22" s="1">
        <v>116</v>
      </c>
      <c r="E22" s="1">
        <v>66</v>
      </c>
      <c r="F22" s="1">
        <v>66</v>
      </c>
      <c r="G22" s="1">
        <v>93</v>
      </c>
      <c r="I22" s="1">
        <v>105</v>
      </c>
      <c r="K22" s="1">
        <v>111</v>
      </c>
      <c r="L22" s="1">
        <v>78</v>
      </c>
      <c r="M22" s="1">
        <v>121</v>
      </c>
      <c r="O22" s="1">
        <v>140</v>
      </c>
      <c r="Q22" s="1" t="str">
        <f t="shared" si="0"/>
        <v>1979,136</v>
      </c>
    </row>
    <row r="23" spans="1:17" x14ac:dyDescent="0.6">
      <c r="A23" s="1">
        <v>1980</v>
      </c>
      <c r="B23" s="1">
        <v>108</v>
      </c>
      <c r="C23" s="1">
        <v>105</v>
      </c>
      <c r="D23" s="1">
        <v>130</v>
      </c>
      <c r="E23" s="1">
        <v>135</v>
      </c>
      <c r="F23" s="1">
        <v>90</v>
      </c>
      <c r="G23" s="1">
        <v>127</v>
      </c>
      <c r="I23" s="1">
        <v>126</v>
      </c>
      <c r="K23" s="1">
        <v>121</v>
      </c>
      <c r="L23" s="1">
        <v>104</v>
      </c>
      <c r="M23" s="1">
        <v>72</v>
      </c>
      <c r="O23" s="1">
        <v>80</v>
      </c>
      <c r="Q23" s="1" t="str">
        <f t="shared" si="0"/>
        <v>1980,105</v>
      </c>
    </row>
    <row r="24" spans="1:17" x14ac:dyDescent="0.6">
      <c r="A24" s="1">
        <v>1981</v>
      </c>
      <c r="B24" s="1">
        <v>150</v>
      </c>
      <c r="C24" s="1">
        <v>100</v>
      </c>
      <c r="D24" s="1">
        <v>78</v>
      </c>
      <c r="E24" s="1">
        <v>117</v>
      </c>
      <c r="F24" s="1">
        <v>90</v>
      </c>
      <c r="G24" s="1">
        <v>137</v>
      </c>
      <c r="I24" s="1">
        <v>106</v>
      </c>
      <c r="J24" s="1">
        <v>28</v>
      </c>
      <c r="K24" s="1">
        <v>112</v>
      </c>
      <c r="L24" s="1">
        <v>88</v>
      </c>
      <c r="M24" s="1">
        <v>96</v>
      </c>
      <c r="N24" s="1">
        <v>136</v>
      </c>
      <c r="O24" s="1">
        <v>99</v>
      </c>
      <c r="Q24" s="1" t="str">
        <f t="shared" si="0"/>
        <v>1981,100</v>
      </c>
    </row>
    <row r="25" spans="1:17" x14ac:dyDescent="0.6">
      <c r="A25" s="1">
        <v>1982</v>
      </c>
      <c r="B25" s="1">
        <v>148</v>
      </c>
      <c r="C25" s="1">
        <v>80</v>
      </c>
      <c r="D25" s="1">
        <v>150</v>
      </c>
      <c r="E25" s="1">
        <v>72</v>
      </c>
      <c r="F25" s="1">
        <v>60</v>
      </c>
      <c r="G25" s="1">
        <v>110</v>
      </c>
      <c r="I25" s="1">
        <v>84</v>
      </c>
      <c r="J25" s="1">
        <v>118</v>
      </c>
      <c r="K25" s="1">
        <v>105</v>
      </c>
      <c r="L25" s="1">
        <v>64</v>
      </c>
      <c r="M25" s="1">
        <v>106</v>
      </c>
      <c r="N25" s="1">
        <v>94</v>
      </c>
      <c r="O25" s="1">
        <v>112</v>
      </c>
      <c r="Q25" s="1" t="str">
        <f t="shared" si="0"/>
        <v>1982,80</v>
      </c>
    </row>
    <row r="26" spans="1:17" x14ac:dyDescent="0.6">
      <c r="A26" s="1">
        <v>1983</v>
      </c>
      <c r="B26" s="1">
        <v>120</v>
      </c>
      <c r="C26" s="1">
        <v>149</v>
      </c>
      <c r="D26" s="1">
        <v>103</v>
      </c>
      <c r="E26" s="1">
        <v>96</v>
      </c>
      <c r="F26" s="1">
        <v>106</v>
      </c>
      <c r="G26" s="1">
        <v>115</v>
      </c>
      <c r="I26" s="1">
        <v>101</v>
      </c>
      <c r="J26" s="1">
        <v>80</v>
      </c>
      <c r="K26" s="1">
        <v>90</v>
      </c>
      <c r="L26" s="1">
        <v>133</v>
      </c>
      <c r="M26" s="1">
        <v>56</v>
      </c>
      <c r="N26" s="1">
        <v>109</v>
      </c>
      <c r="O26" s="1">
        <v>120</v>
      </c>
      <c r="Q26" s="1" t="str">
        <f t="shared" si="0"/>
        <v>1983,149</v>
      </c>
    </row>
    <row r="27" spans="1:17" x14ac:dyDescent="0.6">
      <c r="A27" s="1">
        <v>1984</v>
      </c>
      <c r="B27" s="1">
        <v>155</v>
      </c>
      <c r="C27" s="1">
        <v>145</v>
      </c>
      <c r="D27" s="1">
        <v>150</v>
      </c>
      <c r="E27" s="1">
        <v>116</v>
      </c>
      <c r="F27" s="1">
        <v>230</v>
      </c>
      <c r="G27" s="1">
        <v>80</v>
      </c>
      <c r="I27" s="1">
        <v>98</v>
      </c>
      <c r="J27" s="1">
        <v>67</v>
      </c>
      <c r="K27" s="1">
        <v>119</v>
      </c>
      <c r="L27" s="1">
        <v>117</v>
      </c>
      <c r="M27" s="1">
        <v>90</v>
      </c>
      <c r="N27" s="1">
        <v>95</v>
      </c>
      <c r="O27" s="1">
        <v>84</v>
      </c>
      <c r="Q27" s="1" t="str">
        <f t="shared" si="0"/>
        <v>1984,145</v>
      </c>
    </row>
    <row r="28" spans="1:17" x14ac:dyDescent="0.6">
      <c r="A28" s="1">
        <v>1985</v>
      </c>
      <c r="B28" s="1">
        <v>122</v>
      </c>
      <c r="C28" s="1">
        <v>110</v>
      </c>
      <c r="D28" s="1">
        <v>98</v>
      </c>
      <c r="E28" s="1">
        <v>70</v>
      </c>
      <c r="F28" s="1">
        <v>162</v>
      </c>
      <c r="G28" s="1">
        <v>127</v>
      </c>
      <c r="I28" s="1">
        <v>119</v>
      </c>
      <c r="J28" s="1">
        <v>97</v>
      </c>
      <c r="K28" s="1">
        <v>130</v>
      </c>
      <c r="L28" s="1">
        <v>123</v>
      </c>
      <c r="M28" s="1">
        <v>114</v>
      </c>
      <c r="N28" s="1">
        <v>92</v>
      </c>
      <c r="O28" s="1">
        <v>100</v>
      </c>
      <c r="Q28" s="1" t="str">
        <f t="shared" si="0"/>
        <v>1985,110</v>
      </c>
    </row>
    <row r="29" spans="1:17" x14ac:dyDescent="0.6">
      <c r="A29" s="1">
        <v>1986</v>
      </c>
      <c r="B29" s="1">
        <v>136</v>
      </c>
      <c r="C29" s="1">
        <v>52</v>
      </c>
      <c r="D29" s="1">
        <v>55</v>
      </c>
      <c r="E29" s="1">
        <v>53</v>
      </c>
      <c r="F29" s="1">
        <v>80</v>
      </c>
      <c r="G29" s="1">
        <v>136</v>
      </c>
      <c r="I29" s="1">
        <v>114</v>
      </c>
      <c r="J29" s="1">
        <v>98</v>
      </c>
      <c r="K29" s="1">
        <v>71</v>
      </c>
      <c r="L29" s="1">
        <v>81</v>
      </c>
      <c r="M29" s="1">
        <v>104</v>
      </c>
      <c r="N29" s="1">
        <v>87</v>
      </c>
      <c r="O29" s="1">
        <v>75</v>
      </c>
      <c r="Q29" s="1" t="str">
        <f t="shared" si="0"/>
        <v>1986,52</v>
      </c>
    </row>
    <row r="30" spans="1:17" x14ac:dyDescent="0.6">
      <c r="A30" s="1">
        <v>1987</v>
      </c>
      <c r="B30" s="1">
        <v>46</v>
      </c>
      <c r="C30" s="1">
        <v>170</v>
      </c>
      <c r="D30" s="1">
        <v>90</v>
      </c>
      <c r="E30" s="1">
        <v>15</v>
      </c>
      <c r="G30" s="1">
        <v>142</v>
      </c>
      <c r="I30" s="1">
        <v>123</v>
      </c>
      <c r="J30" s="1">
        <v>93</v>
      </c>
      <c r="K30" s="1">
        <v>90</v>
      </c>
      <c r="L30" s="1">
        <v>125</v>
      </c>
      <c r="M30" s="1">
        <v>91</v>
      </c>
      <c r="N30" s="1">
        <v>72</v>
      </c>
      <c r="O30" s="1">
        <v>123</v>
      </c>
      <c r="Q30" s="1" t="str">
        <f t="shared" si="0"/>
        <v>1987,170</v>
      </c>
    </row>
    <row r="31" spans="1:17" x14ac:dyDescent="0.6">
      <c r="A31" s="1">
        <v>1988</v>
      </c>
      <c r="B31" s="1">
        <v>95</v>
      </c>
      <c r="C31" s="1">
        <v>105</v>
      </c>
      <c r="D31" s="1">
        <v>88</v>
      </c>
      <c r="E31" s="1">
        <v>125</v>
      </c>
      <c r="F31" s="1">
        <v>75</v>
      </c>
      <c r="G31" s="1">
        <v>87</v>
      </c>
      <c r="I31" s="1">
        <v>134</v>
      </c>
      <c r="J31" s="1">
        <v>82</v>
      </c>
      <c r="K31" s="1">
        <v>147</v>
      </c>
      <c r="L31" s="1">
        <v>92</v>
      </c>
      <c r="M31" s="1">
        <v>135</v>
      </c>
      <c r="N31" s="1">
        <v>160</v>
      </c>
      <c r="O31" s="1">
        <v>90</v>
      </c>
      <c r="P31" s="1">
        <v>85</v>
      </c>
      <c r="Q31" s="1" t="str">
        <f t="shared" si="0"/>
        <v>1988,105</v>
      </c>
    </row>
    <row r="32" spans="1:17" x14ac:dyDescent="0.6">
      <c r="A32" s="1">
        <v>1989</v>
      </c>
      <c r="B32" s="1">
        <v>85</v>
      </c>
      <c r="C32" s="1">
        <v>115</v>
      </c>
      <c r="D32" s="1">
        <v>77</v>
      </c>
      <c r="E32" s="1">
        <v>145</v>
      </c>
      <c r="F32" s="1">
        <v>70</v>
      </c>
      <c r="G32" s="1">
        <v>67</v>
      </c>
      <c r="I32" s="1">
        <v>84</v>
      </c>
      <c r="J32" s="1">
        <v>93</v>
      </c>
      <c r="K32" s="1">
        <v>70</v>
      </c>
      <c r="L32" s="1">
        <v>115</v>
      </c>
      <c r="M32" s="1">
        <v>90</v>
      </c>
      <c r="N32" s="1">
        <v>82</v>
      </c>
      <c r="O32" s="1">
        <v>74</v>
      </c>
      <c r="P32" s="1">
        <v>67</v>
      </c>
      <c r="Q32" s="1" t="str">
        <f t="shared" si="0"/>
        <v>1989,115</v>
      </c>
    </row>
    <row r="33" spans="1:17" x14ac:dyDescent="0.6">
      <c r="A33" s="1">
        <v>1990</v>
      </c>
      <c r="B33" s="1">
        <v>89</v>
      </c>
      <c r="C33" s="1">
        <v>63</v>
      </c>
      <c r="D33" s="1">
        <v>93</v>
      </c>
      <c r="E33" s="1">
        <v>80</v>
      </c>
      <c r="F33" s="1">
        <v>70</v>
      </c>
      <c r="G33" s="1">
        <v>34</v>
      </c>
      <c r="I33" s="1">
        <v>86</v>
      </c>
      <c r="J33" s="1">
        <v>113</v>
      </c>
      <c r="K33" s="1">
        <v>72</v>
      </c>
      <c r="L33" s="1">
        <v>122</v>
      </c>
      <c r="M33" s="1">
        <v>84</v>
      </c>
      <c r="N33" s="1">
        <v>95</v>
      </c>
      <c r="O33" s="1">
        <v>85</v>
      </c>
      <c r="P33" s="1">
        <v>68</v>
      </c>
      <c r="Q33" s="1" t="str">
        <f t="shared" si="0"/>
        <v>1990,63</v>
      </c>
    </row>
    <row r="34" spans="1:17" x14ac:dyDescent="0.6">
      <c r="A34" s="1">
        <v>1991</v>
      </c>
      <c r="B34" s="1">
        <v>65</v>
      </c>
      <c r="C34" s="1">
        <v>130</v>
      </c>
      <c r="D34" s="1">
        <v>90</v>
      </c>
      <c r="E34" s="1">
        <v>80</v>
      </c>
      <c r="F34" s="1">
        <v>70</v>
      </c>
      <c r="G34" s="1">
        <v>94</v>
      </c>
      <c r="I34" s="1">
        <v>75</v>
      </c>
      <c r="J34" s="1">
        <v>112</v>
      </c>
      <c r="K34" s="1">
        <v>72</v>
      </c>
      <c r="L34" s="1">
        <v>75</v>
      </c>
      <c r="M34" s="1">
        <v>84</v>
      </c>
      <c r="N34" s="1">
        <v>90</v>
      </c>
      <c r="O34" s="1">
        <v>108</v>
      </c>
      <c r="Q34" s="1" t="str">
        <f t="shared" si="0"/>
        <v>1991,130</v>
      </c>
    </row>
    <row r="35" spans="1:17" x14ac:dyDescent="0.6">
      <c r="A35" s="1">
        <v>1992</v>
      </c>
      <c r="B35" s="1">
        <v>62</v>
      </c>
      <c r="C35" s="1">
        <v>147</v>
      </c>
      <c r="D35" s="1">
        <v>105</v>
      </c>
      <c r="E35" s="1">
        <v>90</v>
      </c>
      <c r="F35" s="1">
        <v>77</v>
      </c>
      <c r="G35" s="1">
        <v>91</v>
      </c>
      <c r="I35" s="1">
        <v>81</v>
      </c>
      <c r="J35" s="1">
        <v>75</v>
      </c>
      <c r="K35" s="1">
        <v>117</v>
      </c>
      <c r="L35" s="1">
        <v>102</v>
      </c>
      <c r="M35" s="1">
        <v>83</v>
      </c>
      <c r="N35" s="1">
        <v>74</v>
      </c>
      <c r="O35" s="1">
        <v>130</v>
      </c>
      <c r="P35" s="1">
        <v>106</v>
      </c>
      <c r="Q35" s="1" t="str">
        <f t="shared" si="0"/>
        <v>1992,147</v>
      </c>
    </row>
    <row r="36" spans="1:17" x14ac:dyDescent="0.6">
      <c r="A36" s="1">
        <v>1993</v>
      </c>
      <c r="B36" s="1">
        <v>90</v>
      </c>
      <c r="C36" s="1">
        <v>78</v>
      </c>
      <c r="D36" s="1">
        <v>120</v>
      </c>
      <c r="E36" s="1">
        <v>125</v>
      </c>
      <c r="F36" s="1">
        <v>112</v>
      </c>
      <c r="G36" s="1">
        <v>90</v>
      </c>
      <c r="I36" s="1">
        <v>87</v>
      </c>
      <c r="J36" s="1">
        <v>95</v>
      </c>
      <c r="K36" s="1">
        <v>70</v>
      </c>
      <c r="L36" s="1">
        <v>90</v>
      </c>
      <c r="M36" s="1">
        <v>83</v>
      </c>
      <c r="N36" s="1">
        <v>105</v>
      </c>
      <c r="O36" s="1">
        <v>117</v>
      </c>
      <c r="P36" s="1">
        <v>66</v>
      </c>
      <c r="Q36" s="1" t="str">
        <f t="shared" si="0"/>
        <v>1993,78</v>
      </c>
    </row>
    <row r="37" spans="1:17" x14ac:dyDescent="0.6">
      <c r="A37" s="1">
        <v>1994</v>
      </c>
      <c r="B37" s="1">
        <v>135</v>
      </c>
      <c r="C37" s="1">
        <v>84</v>
      </c>
      <c r="D37" s="1">
        <v>100</v>
      </c>
      <c r="E37" s="1">
        <v>80</v>
      </c>
      <c r="F37" s="1">
        <v>80</v>
      </c>
      <c r="G37" s="1">
        <v>90</v>
      </c>
      <c r="I37" s="1">
        <v>65</v>
      </c>
      <c r="J37" s="1">
        <v>100</v>
      </c>
      <c r="K37" s="1">
        <v>113</v>
      </c>
      <c r="L37" s="1">
        <v>85</v>
      </c>
      <c r="N37" s="1">
        <v>95</v>
      </c>
      <c r="O37" s="1">
        <v>95</v>
      </c>
      <c r="Q37" s="1" t="str">
        <f t="shared" si="0"/>
        <v>1994,84</v>
      </c>
    </row>
    <row r="38" spans="1:17" x14ac:dyDescent="0.6">
      <c r="A38" s="1">
        <v>1995</v>
      </c>
      <c r="B38" s="1">
        <v>90</v>
      </c>
      <c r="C38" s="1">
        <v>98</v>
      </c>
      <c r="D38" s="1">
        <v>70</v>
      </c>
      <c r="E38" s="1">
        <v>90</v>
      </c>
      <c r="F38" s="1">
        <v>115</v>
      </c>
      <c r="G38" s="1">
        <v>200</v>
      </c>
      <c r="I38" s="1">
        <v>98</v>
      </c>
      <c r="J38" s="1">
        <v>135</v>
      </c>
      <c r="K38" s="1">
        <v>104</v>
      </c>
      <c r="L38" s="1">
        <v>81</v>
      </c>
      <c r="M38" s="1">
        <v>127</v>
      </c>
      <c r="N38" s="1">
        <v>85</v>
      </c>
      <c r="O38" s="1">
        <v>81</v>
      </c>
      <c r="Q38" s="1" t="str">
        <f t="shared" si="0"/>
        <v>1995,98</v>
      </c>
    </row>
    <row r="39" spans="1:17" x14ac:dyDescent="0.6">
      <c r="A39" s="1">
        <v>1996</v>
      </c>
      <c r="B39" s="1">
        <v>41</v>
      </c>
      <c r="C39" s="1">
        <v>106</v>
      </c>
      <c r="D39" s="1">
        <v>150</v>
      </c>
      <c r="E39" s="1">
        <v>90</v>
      </c>
      <c r="F39" s="1">
        <v>123</v>
      </c>
      <c r="G39" s="1">
        <v>89</v>
      </c>
      <c r="I39" s="1">
        <v>118</v>
      </c>
      <c r="J39" s="1">
        <v>85</v>
      </c>
      <c r="K39" s="1">
        <v>111</v>
      </c>
      <c r="L39" s="1">
        <v>122</v>
      </c>
      <c r="M39" s="1">
        <v>86</v>
      </c>
      <c r="N39" s="1">
        <v>164</v>
      </c>
      <c r="O39" s="1">
        <v>147</v>
      </c>
      <c r="Q39" s="1" t="str">
        <f t="shared" si="0"/>
        <v>1996,106</v>
      </c>
    </row>
    <row r="40" spans="1:17" x14ac:dyDescent="0.6">
      <c r="A40" s="1">
        <v>1997</v>
      </c>
      <c r="B40" s="1">
        <v>85</v>
      </c>
      <c r="C40" s="1">
        <v>74</v>
      </c>
      <c r="D40" s="1">
        <v>70</v>
      </c>
      <c r="E40" s="1">
        <v>80</v>
      </c>
      <c r="F40" s="1">
        <v>65</v>
      </c>
      <c r="G40" s="1">
        <v>75</v>
      </c>
      <c r="I40" s="1">
        <v>25</v>
      </c>
      <c r="J40" s="1">
        <v>73</v>
      </c>
      <c r="K40" s="1">
        <v>98</v>
      </c>
      <c r="L40" s="1">
        <v>84</v>
      </c>
      <c r="M40" s="1">
        <v>65</v>
      </c>
      <c r="N40" s="1">
        <v>75</v>
      </c>
      <c r="O40" s="1">
        <v>57</v>
      </c>
      <c r="Q40" s="1" t="str">
        <f t="shared" si="0"/>
        <v>1997,74</v>
      </c>
    </row>
    <row r="41" spans="1:17" x14ac:dyDescent="0.6">
      <c r="A41" s="1">
        <v>1998</v>
      </c>
      <c r="B41" s="1">
        <v>71</v>
      </c>
      <c r="C41" s="1">
        <v>98</v>
      </c>
      <c r="D41" s="1">
        <v>124</v>
      </c>
      <c r="E41" s="1">
        <v>60</v>
      </c>
      <c r="F41" s="1">
        <v>140</v>
      </c>
      <c r="G41" s="1">
        <v>90</v>
      </c>
      <c r="I41" s="1">
        <v>94</v>
      </c>
      <c r="J41" s="1">
        <v>110</v>
      </c>
      <c r="K41" s="1">
        <v>85</v>
      </c>
      <c r="L41" s="1">
        <v>111</v>
      </c>
      <c r="M41" s="1">
        <v>108</v>
      </c>
      <c r="N41" s="1">
        <v>55</v>
      </c>
      <c r="O41" s="1">
        <v>103</v>
      </c>
      <c r="Q41" s="1" t="str">
        <f t="shared" si="0"/>
        <v>1998,98</v>
      </c>
    </row>
    <row r="42" spans="1:17" x14ac:dyDescent="0.6">
      <c r="A42" s="1">
        <v>1999</v>
      </c>
      <c r="B42" s="1">
        <v>110</v>
      </c>
      <c r="C42" s="1">
        <v>152</v>
      </c>
      <c r="D42" s="1">
        <v>130</v>
      </c>
      <c r="E42" s="1">
        <v>95</v>
      </c>
      <c r="F42" s="1">
        <v>90</v>
      </c>
      <c r="G42" s="1">
        <v>137</v>
      </c>
      <c r="I42" s="1">
        <v>102</v>
      </c>
      <c r="J42" s="1">
        <v>99</v>
      </c>
      <c r="K42" s="1">
        <v>120</v>
      </c>
      <c r="L42" s="1">
        <v>100</v>
      </c>
      <c r="M42" s="1">
        <v>100</v>
      </c>
      <c r="N42" s="1">
        <v>114</v>
      </c>
      <c r="O42" s="1">
        <v>114</v>
      </c>
      <c r="Q42" s="1" t="str">
        <f t="shared" si="0"/>
        <v>1999,152</v>
      </c>
    </row>
    <row r="43" spans="1:17" x14ac:dyDescent="0.6">
      <c r="A43" s="1">
        <v>2000</v>
      </c>
      <c r="B43" s="1">
        <v>122</v>
      </c>
      <c r="C43" s="1">
        <v>97</v>
      </c>
      <c r="D43" s="1">
        <v>120</v>
      </c>
      <c r="E43" s="1">
        <v>90</v>
      </c>
      <c r="F43" s="1">
        <v>120</v>
      </c>
      <c r="G43" s="1">
        <v>125</v>
      </c>
      <c r="I43" s="1">
        <v>94</v>
      </c>
      <c r="J43" s="1">
        <v>95</v>
      </c>
      <c r="K43" s="1">
        <v>99</v>
      </c>
      <c r="L43" s="1">
        <v>118</v>
      </c>
      <c r="M43" s="1">
        <v>82</v>
      </c>
      <c r="N43" s="1">
        <v>87</v>
      </c>
      <c r="O43" s="1">
        <v>89</v>
      </c>
      <c r="Q43" s="1" t="str">
        <f t="shared" si="0"/>
        <v>2000,97</v>
      </c>
    </row>
    <row r="44" spans="1:17" x14ac:dyDescent="0.6">
      <c r="A44" s="1">
        <v>2001</v>
      </c>
      <c r="B44" s="1">
        <v>135</v>
      </c>
      <c r="C44" s="1">
        <v>97</v>
      </c>
      <c r="D44" s="1">
        <v>70</v>
      </c>
      <c r="E44" s="1">
        <v>98</v>
      </c>
      <c r="F44" s="1">
        <v>110</v>
      </c>
      <c r="G44" s="1">
        <v>78</v>
      </c>
      <c r="I44" s="1">
        <v>82</v>
      </c>
      <c r="J44" s="1">
        <v>43</v>
      </c>
      <c r="K44" s="1">
        <v>133</v>
      </c>
      <c r="L44" s="1">
        <v>86</v>
      </c>
      <c r="M44" s="1">
        <v>90</v>
      </c>
      <c r="N44" s="1">
        <v>82</v>
      </c>
      <c r="O44" s="1">
        <v>56</v>
      </c>
      <c r="Q44" s="1" t="str">
        <f t="shared" si="0"/>
        <v>2001,97</v>
      </c>
    </row>
    <row r="45" spans="1:17" x14ac:dyDescent="0.6">
      <c r="A45" s="1">
        <v>2002</v>
      </c>
      <c r="B45" s="1">
        <v>109</v>
      </c>
      <c r="C45" s="1">
        <v>93</v>
      </c>
      <c r="D45" s="1">
        <v>96</v>
      </c>
      <c r="E45" s="1">
        <v>135</v>
      </c>
      <c r="F45" s="1">
        <v>94</v>
      </c>
      <c r="I45" s="1">
        <v>87</v>
      </c>
      <c r="J45" s="1">
        <v>98</v>
      </c>
      <c r="K45" s="1">
        <v>55</v>
      </c>
      <c r="L45" s="1">
        <v>79</v>
      </c>
      <c r="M45" s="1">
        <v>59</v>
      </c>
      <c r="N45" s="1">
        <v>86</v>
      </c>
      <c r="O45" s="1">
        <v>105</v>
      </c>
      <c r="Q45" s="1" t="str">
        <f t="shared" si="0"/>
        <v>2002,93</v>
      </c>
    </row>
    <row r="46" spans="1:17" x14ac:dyDescent="0.6">
      <c r="A46" s="1">
        <v>2003</v>
      </c>
      <c r="B46" s="1">
        <v>80</v>
      </c>
      <c r="C46" s="1">
        <v>93</v>
      </c>
      <c r="D46" s="1">
        <v>271</v>
      </c>
      <c r="E46" s="1">
        <v>90</v>
      </c>
      <c r="F46" s="1">
        <v>53</v>
      </c>
      <c r="I46" s="1">
        <v>29</v>
      </c>
      <c r="J46" s="1">
        <v>79</v>
      </c>
      <c r="L46" s="1">
        <v>77</v>
      </c>
      <c r="M46" s="1">
        <v>2</v>
      </c>
      <c r="N46" s="1">
        <v>90</v>
      </c>
      <c r="O46" s="1">
        <v>27</v>
      </c>
      <c r="Q46" s="1" t="str">
        <f t="shared" si="0"/>
        <v>2003,93</v>
      </c>
    </row>
    <row r="47" spans="1:17" x14ac:dyDescent="0.6">
      <c r="A47" s="1">
        <v>2004</v>
      </c>
      <c r="B47" s="1">
        <v>80</v>
      </c>
      <c r="C47" s="1">
        <v>112</v>
      </c>
      <c r="D47" s="1">
        <v>90</v>
      </c>
      <c r="E47" s="1">
        <v>98</v>
      </c>
      <c r="F47" s="1">
        <v>89</v>
      </c>
      <c r="I47" s="1">
        <v>81</v>
      </c>
      <c r="J47" s="1">
        <v>97</v>
      </c>
      <c r="K47" s="1">
        <v>85</v>
      </c>
      <c r="L47" s="1">
        <v>90</v>
      </c>
      <c r="M47" s="1">
        <v>85</v>
      </c>
      <c r="N47" s="1">
        <v>72</v>
      </c>
      <c r="O47" s="1">
        <v>88</v>
      </c>
      <c r="Q47" s="1" t="str">
        <f t="shared" si="0"/>
        <v>2004,112</v>
      </c>
    </row>
    <row r="48" spans="1:17" x14ac:dyDescent="0.6">
      <c r="A48" s="1">
        <v>2005</v>
      </c>
      <c r="B48" s="1">
        <v>40</v>
      </c>
      <c r="C48" s="1">
        <v>75</v>
      </c>
      <c r="D48" s="1">
        <v>106</v>
      </c>
      <c r="E48" s="1">
        <v>133</v>
      </c>
      <c r="F48" s="1">
        <v>151</v>
      </c>
      <c r="I48" s="1">
        <v>62</v>
      </c>
      <c r="K48" s="1">
        <v>104</v>
      </c>
      <c r="L48" s="1">
        <v>77</v>
      </c>
      <c r="M48" s="1">
        <v>104</v>
      </c>
      <c r="N48" s="1">
        <v>74</v>
      </c>
      <c r="O48" s="1">
        <v>119</v>
      </c>
      <c r="Q48" s="1" t="str">
        <f t="shared" si="0"/>
        <v>2005,75</v>
      </c>
    </row>
    <row r="49" spans="1:17" x14ac:dyDescent="0.6">
      <c r="A49" s="1">
        <v>2006</v>
      </c>
      <c r="B49" s="1">
        <v>90</v>
      </c>
      <c r="C49" s="1">
        <v>137</v>
      </c>
      <c r="D49" s="1">
        <v>125</v>
      </c>
      <c r="E49" s="1">
        <v>90</v>
      </c>
      <c r="F49" s="1">
        <v>97</v>
      </c>
      <c r="I49" s="1">
        <v>92</v>
      </c>
      <c r="K49" s="1">
        <v>72</v>
      </c>
      <c r="L49" s="1">
        <v>112</v>
      </c>
      <c r="M49" s="1">
        <v>104</v>
      </c>
      <c r="N49" s="1">
        <v>90</v>
      </c>
      <c r="O49" s="1">
        <v>134</v>
      </c>
      <c r="Q49" s="1" t="str">
        <f t="shared" si="0"/>
        <v>2006,137</v>
      </c>
    </row>
    <row r="50" spans="1:17" x14ac:dyDescent="0.6">
      <c r="A50" s="1">
        <v>2007</v>
      </c>
      <c r="B50" s="1">
        <v>150</v>
      </c>
      <c r="C50" s="1">
        <v>149</v>
      </c>
      <c r="D50" s="1">
        <v>90</v>
      </c>
      <c r="E50" s="1">
        <v>99</v>
      </c>
      <c r="F50" s="1">
        <v>100</v>
      </c>
      <c r="I50" s="1">
        <v>143</v>
      </c>
      <c r="K50" s="1">
        <v>110</v>
      </c>
      <c r="L50" s="1">
        <v>91</v>
      </c>
      <c r="M50" s="1">
        <v>101</v>
      </c>
      <c r="N50" s="1">
        <v>80</v>
      </c>
      <c r="O50" s="1">
        <v>68</v>
      </c>
      <c r="Q50" s="1" t="str">
        <f t="shared" si="0"/>
        <v>2007,149</v>
      </c>
    </row>
    <row r="51" spans="1:17" x14ac:dyDescent="0.6">
      <c r="A51" s="1">
        <v>2008</v>
      </c>
      <c r="B51" s="1">
        <v>160</v>
      </c>
      <c r="C51" s="1">
        <v>138</v>
      </c>
      <c r="D51" s="1">
        <v>121</v>
      </c>
      <c r="E51" s="1">
        <v>100</v>
      </c>
      <c r="F51" s="1">
        <v>220</v>
      </c>
      <c r="I51" s="1">
        <v>87</v>
      </c>
      <c r="K51" s="1">
        <v>80</v>
      </c>
      <c r="L51" s="1">
        <v>131</v>
      </c>
      <c r="M51" s="1">
        <v>96</v>
      </c>
      <c r="N51" s="1">
        <v>140</v>
      </c>
      <c r="O51" s="1">
        <v>111</v>
      </c>
      <c r="Q51" s="1" t="str">
        <f t="shared" si="0"/>
        <v>2008,138</v>
      </c>
    </row>
    <row r="52" spans="1:17" x14ac:dyDescent="0.6">
      <c r="A52" s="1">
        <v>2009</v>
      </c>
      <c r="B52" s="1">
        <v>150</v>
      </c>
      <c r="C52" s="1">
        <v>107</v>
      </c>
      <c r="D52" s="1">
        <v>90</v>
      </c>
      <c r="E52" s="1">
        <v>90</v>
      </c>
      <c r="F52" s="1">
        <v>68</v>
      </c>
      <c r="I52" s="1">
        <v>82</v>
      </c>
      <c r="J52" s="1">
        <v>81</v>
      </c>
      <c r="K52" s="1">
        <v>85</v>
      </c>
      <c r="L52" s="1">
        <v>141</v>
      </c>
      <c r="M52" s="1">
        <v>84</v>
      </c>
      <c r="O52" s="1">
        <v>96</v>
      </c>
      <c r="Q52" s="1" t="str">
        <f t="shared" si="0"/>
        <v>2009,107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C4ED-A2A6-48CB-9363-E12F4E5CCB23}">
  <dimension ref="A1:N7"/>
  <sheetViews>
    <sheetView showGridLines="0" zoomScale="115" zoomScaleNormal="115" workbookViewId="0"/>
  </sheetViews>
  <sheetFormatPr defaultRowHeight="16.5" x14ac:dyDescent="0.45"/>
  <cols>
    <col min="1" max="1" width="4.9296875" style="3" bestFit="1" customWidth="1"/>
    <col min="2" max="14" width="8.73046875" style="3" customWidth="1"/>
    <col min="15" max="16384" width="9.06640625" style="3"/>
  </cols>
  <sheetData>
    <row r="1" spans="1:14" s="2" customFormat="1" x14ac:dyDescent="0.45">
      <c r="A1" s="2" t="s">
        <v>6</v>
      </c>
      <c r="B1" s="2">
        <v>2502023</v>
      </c>
      <c r="C1" s="2">
        <v>2502026</v>
      </c>
      <c r="D1" s="2">
        <v>2502028</v>
      </c>
      <c r="E1" s="2">
        <v>2502069</v>
      </c>
      <c r="F1" s="2">
        <v>2802008</v>
      </c>
      <c r="G1" s="2">
        <v>2802023</v>
      </c>
      <c r="H1" s="2">
        <v>2802044</v>
      </c>
      <c r="I1" s="2">
        <v>2802060</v>
      </c>
      <c r="J1" s="2">
        <v>2802508</v>
      </c>
      <c r="K1" s="2">
        <v>2802509</v>
      </c>
      <c r="L1" s="2">
        <v>2803504</v>
      </c>
      <c r="M1" s="2">
        <v>2804031</v>
      </c>
      <c r="N1" s="2">
        <v>2804035</v>
      </c>
    </row>
    <row r="2" spans="1:14" x14ac:dyDescent="0.45">
      <c r="A2" s="3">
        <v>2.33</v>
      </c>
      <c r="B2" s="3">
        <v>103</v>
      </c>
      <c r="C2" s="3">
        <v>107</v>
      </c>
      <c r="D2" s="3">
        <v>111</v>
      </c>
      <c r="E2" s="3">
        <v>92</v>
      </c>
      <c r="F2" s="3">
        <v>102</v>
      </c>
      <c r="G2" s="3">
        <v>102</v>
      </c>
      <c r="H2" s="3">
        <v>92</v>
      </c>
      <c r="I2" s="3">
        <v>91</v>
      </c>
      <c r="J2" s="3">
        <v>100</v>
      </c>
      <c r="K2" s="3">
        <v>100</v>
      </c>
      <c r="L2" s="3">
        <v>89</v>
      </c>
      <c r="M2" s="3">
        <v>98</v>
      </c>
      <c r="N2" s="3">
        <v>96</v>
      </c>
    </row>
    <row r="3" spans="1:14" x14ac:dyDescent="0.45">
      <c r="A3" s="3">
        <v>5</v>
      </c>
      <c r="B3" s="3">
        <v>132</v>
      </c>
      <c r="C3" s="3">
        <v>133</v>
      </c>
      <c r="D3" s="3">
        <v>149</v>
      </c>
      <c r="E3" s="3">
        <v>117</v>
      </c>
      <c r="F3" s="3">
        <v>136</v>
      </c>
      <c r="G3" s="3">
        <v>136</v>
      </c>
      <c r="H3" s="3">
        <v>114</v>
      </c>
      <c r="I3" s="3">
        <v>111</v>
      </c>
      <c r="J3" s="3">
        <v>121</v>
      </c>
      <c r="K3" s="3">
        <v>117</v>
      </c>
      <c r="L3" s="3">
        <v>112</v>
      </c>
      <c r="M3" s="3">
        <v>120</v>
      </c>
      <c r="N3" s="3">
        <v>119</v>
      </c>
    </row>
    <row r="4" spans="1:14" x14ac:dyDescent="0.45">
      <c r="A4" s="3">
        <v>10</v>
      </c>
      <c r="B4" s="3">
        <v>155</v>
      </c>
      <c r="C4" s="3">
        <v>154</v>
      </c>
      <c r="D4" s="3">
        <v>179</v>
      </c>
      <c r="E4" s="3">
        <v>137</v>
      </c>
      <c r="F4" s="3">
        <v>164</v>
      </c>
      <c r="G4" s="3">
        <v>165</v>
      </c>
      <c r="H4" s="3">
        <v>132</v>
      </c>
      <c r="I4" s="3">
        <v>127</v>
      </c>
      <c r="J4" s="3">
        <v>138</v>
      </c>
      <c r="K4" s="3">
        <v>130</v>
      </c>
      <c r="L4" s="3">
        <v>131</v>
      </c>
      <c r="M4" s="3">
        <v>138</v>
      </c>
      <c r="N4" s="3">
        <v>138</v>
      </c>
    </row>
    <row r="5" spans="1:14" x14ac:dyDescent="0.45">
      <c r="A5" s="3">
        <v>25</v>
      </c>
      <c r="B5" s="3">
        <v>184</v>
      </c>
      <c r="C5" s="3">
        <v>181</v>
      </c>
      <c r="D5" s="3">
        <v>218</v>
      </c>
      <c r="E5" s="3">
        <v>162</v>
      </c>
      <c r="F5" s="3">
        <v>199</v>
      </c>
      <c r="G5" s="3">
        <v>201</v>
      </c>
      <c r="H5" s="3">
        <v>155</v>
      </c>
      <c r="I5" s="3">
        <v>148</v>
      </c>
      <c r="J5" s="3">
        <v>159</v>
      </c>
      <c r="K5" s="3">
        <v>148</v>
      </c>
      <c r="L5" s="3">
        <v>155</v>
      </c>
      <c r="M5" s="3">
        <v>161</v>
      </c>
      <c r="N5" s="3">
        <v>161</v>
      </c>
    </row>
    <row r="6" spans="1:14" x14ac:dyDescent="0.45">
      <c r="A6" s="3">
        <v>50</v>
      </c>
      <c r="B6" s="3">
        <v>205</v>
      </c>
      <c r="C6" s="3">
        <v>201</v>
      </c>
      <c r="D6" s="3">
        <v>247</v>
      </c>
      <c r="E6" s="3">
        <v>180</v>
      </c>
      <c r="F6" s="3">
        <v>225</v>
      </c>
      <c r="G6" s="3">
        <v>227</v>
      </c>
      <c r="H6" s="3">
        <v>172</v>
      </c>
      <c r="I6" s="3">
        <v>163</v>
      </c>
      <c r="J6" s="3">
        <v>175</v>
      </c>
      <c r="K6" s="3">
        <v>161</v>
      </c>
      <c r="L6" s="3">
        <v>173</v>
      </c>
      <c r="M6" s="3">
        <v>178</v>
      </c>
      <c r="N6" s="3">
        <v>178</v>
      </c>
    </row>
    <row r="7" spans="1:14" x14ac:dyDescent="0.45">
      <c r="A7" s="3">
        <v>100</v>
      </c>
      <c r="B7" s="3">
        <v>226</v>
      </c>
      <c r="C7" s="3">
        <v>220</v>
      </c>
      <c r="D7" s="3">
        <v>276</v>
      </c>
      <c r="E7" s="3">
        <v>199</v>
      </c>
      <c r="F7" s="3">
        <v>251</v>
      </c>
      <c r="G7" s="3">
        <v>254</v>
      </c>
      <c r="H7" s="3">
        <v>189</v>
      </c>
      <c r="I7" s="3">
        <v>178</v>
      </c>
      <c r="J7" s="3">
        <v>190</v>
      </c>
      <c r="K7" s="3">
        <v>174</v>
      </c>
      <c r="L7" s="3">
        <v>190</v>
      </c>
      <c r="M7" s="3">
        <v>195</v>
      </c>
      <c r="N7" s="3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5146-3AD3-466C-A74B-8A5D295CE547}">
  <dimension ref="A1:E13"/>
  <sheetViews>
    <sheetView showGridLines="0" zoomScale="115" zoomScaleNormal="115" workbookViewId="0">
      <selection activeCell="E19" sqref="E19"/>
    </sheetView>
  </sheetViews>
  <sheetFormatPr defaultRowHeight="16.5" x14ac:dyDescent="0.45"/>
  <cols>
    <col min="1" max="1" width="4.9296875" style="3" bestFit="1" customWidth="1"/>
    <col min="2" max="5" width="34.86328125" style="3" customWidth="1"/>
    <col min="6" max="16384" width="9.06640625" style="3"/>
  </cols>
  <sheetData>
    <row r="1" spans="1:5" s="5" customFormat="1" x14ac:dyDescent="0.45">
      <c r="B1" s="5" t="s">
        <v>7</v>
      </c>
      <c r="C1" s="5" t="s">
        <v>8</v>
      </c>
      <c r="D1" s="5" t="s">
        <v>90</v>
      </c>
      <c r="E1" s="5" t="s">
        <v>91</v>
      </c>
    </row>
    <row r="2" spans="1:5" s="5" customFormat="1" x14ac:dyDescent="0.45">
      <c r="B2" s="5">
        <v>2502023</v>
      </c>
      <c r="C2" s="5">
        <v>25020230</v>
      </c>
      <c r="D2" s="5">
        <v>25020230</v>
      </c>
      <c r="E2" s="5">
        <v>25020230</v>
      </c>
    </row>
    <row r="3" spans="1:5" s="5" customFormat="1" x14ac:dyDescent="0.45">
      <c r="A3" s="5" t="s">
        <v>6</v>
      </c>
      <c r="B3" s="5" t="str">
        <f>_xlfn.CONCAT(B2,"-",B1)</f>
        <v>2502023-Excel-Gumbel</v>
      </c>
      <c r="C3" s="5" t="str">
        <f t="shared" ref="C3:E3" si="0">_xlfn.CONCAT(C2,"-",C1)</f>
        <v>25020230-R.HydroTools-Gumbel</v>
      </c>
      <c r="D3" s="5" t="str">
        <f t="shared" si="0"/>
        <v>25020230-R.HydroTools-Betaprime</v>
      </c>
      <c r="E3" s="5" t="str">
        <f t="shared" si="0"/>
        <v>25020230-R.HydroTools-Levy_stable</v>
      </c>
    </row>
    <row r="4" spans="1:5" x14ac:dyDescent="0.45">
      <c r="A4" s="6">
        <v>2.33</v>
      </c>
      <c r="B4" s="6">
        <v>103</v>
      </c>
      <c r="C4" s="6">
        <v>122.61199999999999</v>
      </c>
      <c r="D4" s="6">
        <v>110.43300000000001</v>
      </c>
      <c r="E4" s="6">
        <v>116.01</v>
      </c>
    </row>
    <row r="5" spans="1:5" x14ac:dyDescent="0.45">
      <c r="A5" s="6">
        <v>5</v>
      </c>
      <c r="B5" s="6">
        <v>132</v>
      </c>
      <c r="C5" s="6">
        <v>147.001</v>
      </c>
      <c r="D5" s="6">
        <v>135.857</v>
      </c>
      <c r="E5" s="6">
        <v>142.06200000000001</v>
      </c>
    </row>
    <row r="6" spans="1:5" x14ac:dyDescent="0.45">
      <c r="A6" s="6">
        <v>10</v>
      </c>
      <c r="B6" s="6">
        <v>155</v>
      </c>
      <c r="C6" s="6">
        <v>166.86600000000001</v>
      </c>
      <c r="D6" s="6">
        <v>154.33199999999999</v>
      </c>
      <c r="E6" s="6">
        <v>159.34399999999999</v>
      </c>
    </row>
    <row r="7" spans="1:5" x14ac:dyDescent="0.45">
      <c r="A7" s="6">
        <v>25</v>
      </c>
      <c r="B7" s="6">
        <v>184</v>
      </c>
      <c r="C7" s="6">
        <v>191.965</v>
      </c>
      <c r="D7" s="6">
        <v>175.51300000000001</v>
      </c>
      <c r="E7" s="6">
        <v>177.773</v>
      </c>
    </row>
    <row r="8" spans="1:5" x14ac:dyDescent="0.45">
      <c r="A8" s="6">
        <v>50</v>
      </c>
      <c r="B8" s="6">
        <v>205</v>
      </c>
      <c r="C8" s="6">
        <v>210.584</v>
      </c>
      <c r="D8" s="6">
        <v>190.035</v>
      </c>
      <c r="E8" s="6">
        <v>189.679</v>
      </c>
    </row>
    <row r="9" spans="1:5" x14ac:dyDescent="0.45">
      <c r="A9" s="6">
        <v>100</v>
      </c>
      <c r="B9" s="6">
        <v>226</v>
      </c>
      <c r="C9" s="6">
        <v>229.06700000000001</v>
      </c>
      <c r="D9" s="6">
        <v>203.67599999999999</v>
      </c>
      <c r="E9" s="6">
        <v>200.38800000000001</v>
      </c>
    </row>
    <row r="10" spans="1:5" x14ac:dyDescent="0.6">
      <c r="D10" s="1"/>
    </row>
    <row r="11" spans="1:5" x14ac:dyDescent="0.6">
      <c r="D11" s="1"/>
    </row>
    <row r="12" spans="1:5" x14ac:dyDescent="0.6">
      <c r="D12" s="1"/>
    </row>
    <row r="13" spans="1:5" x14ac:dyDescent="0.6">
      <c r="D1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BD22-A60D-404D-A6C3-12A1448027F8}">
  <dimension ref="A1:BH11"/>
  <sheetViews>
    <sheetView showGridLines="0" zoomScale="85" zoomScaleNormal="85" workbookViewId="0">
      <pane xSplit="2" ySplit="1" topLeftCell="C8" activePane="bottomRight" state="frozen"/>
      <selection pane="topRight" activeCell="E1" sqref="E1"/>
      <selection pane="bottomLeft" activeCell="A2" sqref="A2"/>
      <selection pane="bottomRight" activeCell="Z22" sqref="Z22"/>
    </sheetView>
  </sheetViews>
  <sheetFormatPr defaultRowHeight="16.5" x14ac:dyDescent="0.6"/>
  <cols>
    <col min="1" max="1" width="2.19921875" style="1" bestFit="1" customWidth="1"/>
    <col min="2" max="2" width="4.9296875" style="1" bestFit="1" customWidth="1"/>
    <col min="3" max="3" width="8.1328125" style="1" bestFit="1" customWidth="1"/>
    <col min="4" max="4" width="9.19921875" style="1" bestFit="1" customWidth="1"/>
    <col min="5" max="5" width="8.1328125" style="1" bestFit="1" customWidth="1"/>
    <col min="6" max="6" width="8.73046875" style="1" bestFit="1" customWidth="1"/>
    <col min="7" max="9" width="8.1328125" style="1" bestFit="1" customWidth="1"/>
    <col min="10" max="10" width="10.19921875" style="1" bestFit="1" customWidth="1"/>
    <col min="11" max="11" width="8.1328125" style="1" bestFit="1" customWidth="1"/>
    <col min="12" max="12" width="8.796875" style="1" bestFit="1" customWidth="1"/>
    <col min="13" max="14" width="8.1328125" style="1" bestFit="1" customWidth="1"/>
    <col min="15" max="15" width="9" style="1" bestFit="1" customWidth="1"/>
    <col min="16" max="16" width="10.9296875" style="1" bestFit="1" customWidth="1"/>
    <col min="17" max="17" width="9.59765625" style="1" bestFit="1" customWidth="1"/>
    <col min="18" max="18" width="8.1328125" style="1" bestFit="1" customWidth="1"/>
    <col min="19" max="19" width="8.796875" style="1" bestFit="1" customWidth="1"/>
    <col min="20" max="20" width="8.265625" style="1" bestFit="1" customWidth="1"/>
    <col min="21" max="21" width="8.46484375" style="1" bestFit="1" customWidth="1"/>
    <col min="22" max="22" width="9.3984375" style="1" bestFit="1" customWidth="1"/>
    <col min="23" max="23" width="8.1328125" style="1" bestFit="1" customWidth="1"/>
    <col min="24" max="24" width="9" style="1" bestFit="1" customWidth="1"/>
    <col min="25" max="25" width="9.33203125" style="1" bestFit="1" customWidth="1"/>
    <col min="26" max="26" width="8.1328125" style="1" bestFit="1" customWidth="1"/>
    <col min="27" max="27" width="8.796875" style="1" bestFit="1" customWidth="1"/>
    <col min="28" max="28" width="9.1328125" style="1" bestFit="1" customWidth="1"/>
    <col min="29" max="29" width="8.1328125" style="1" bestFit="1" customWidth="1"/>
    <col min="30" max="30" width="9.06640625" style="1" bestFit="1" customWidth="1"/>
    <col min="31" max="31" width="8.1328125" style="1" bestFit="1" customWidth="1"/>
    <col min="32" max="32" width="16.73046875" style="1" bestFit="1" customWidth="1"/>
    <col min="33" max="34" width="9.59765625" style="1" bestFit="1" customWidth="1"/>
    <col min="35" max="39" width="8.1328125" style="1" bestFit="1" customWidth="1"/>
    <col min="40" max="40" width="8.6640625" style="1" bestFit="1" customWidth="1"/>
    <col min="41" max="44" width="8.1328125" style="1" bestFit="1" customWidth="1"/>
    <col min="45" max="45" width="8.3984375" style="1" bestFit="1" customWidth="1"/>
    <col min="46" max="46" width="13" style="1" bestFit="1" customWidth="1"/>
    <col min="47" max="47" width="10.33203125" style="1" bestFit="1" customWidth="1"/>
    <col min="48" max="48" width="8.1328125" style="1" bestFit="1" customWidth="1"/>
    <col min="49" max="49" width="11.796875" style="1" bestFit="1" customWidth="1"/>
    <col min="50" max="51" width="8.1328125" style="1" bestFit="1" customWidth="1"/>
    <col min="52" max="52" width="9.3984375" style="1" bestFit="1" customWidth="1"/>
    <col min="53" max="53" width="8.1328125" style="1" bestFit="1" customWidth="1"/>
    <col min="54" max="54" width="10.33203125" style="1" bestFit="1" customWidth="1"/>
    <col min="55" max="55" width="8.86328125" style="1" bestFit="1" customWidth="1"/>
    <col min="56" max="56" width="11.46484375" style="1" bestFit="1" customWidth="1"/>
    <col min="57" max="57" width="14.46484375" style="1" bestFit="1" customWidth="1"/>
    <col min="58" max="58" width="18.33203125" style="1" bestFit="1" customWidth="1"/>
    <col min="59" max="59" width="2.796875" style="1" bestFit="1" customWidth="1"/>
    <col min="60" max="60" width="9.19921875" style="1" bestFit="1" customWidth="1"/>
    <col min="61" max="61" width="9.59765625" style="1" bestFit="1" customWidth="1"/>
    <col min="62" max="62" width="8.1328125" style="1" bestFit="1" customWidth="1"/>
    <col min="63" max="63" width="9.06640625" style="1" bestFit="1" customWidth="1"/>
    <col min="64" max="64" width="8.1328125" style="1" bestFit="1" customWidth="1"/>
    <col min="65" max="65" width="9.796875" style="1" bestFit="1" customWidth="1"/>
    <col min="66" max="69" width="8.1328125" style="1" bestFit="1" customWidth="1"/>
    <col min="70" max="70" width="8.6640625" style="1" bestFit="1" customWidth="1"/>
    <col min="71" max="74" width="8.1328125" style="1" bestFit="1" customWidth="1"/>
    <col min="75" max="75" width="12.1328125" style="1" bestFit="1" customWidth="1"/>
    <col min="76" max="76" width="8.1328125" style="1" bestFit="1" customWidth="1"/>
    <col min="77" max="77" width="8.3984375" style="1" bestFit="1" customWidth="1"/>
    <col min="78" max="78" width="8.59765625" style="1" bestFit="1" customWidth="1"/>
    <col min="79" max="79" width="13" style="1" bestFit="1" customWidth="1"/>
    <col min="80" max="80" width="10.33203125" style="1" bestFit="1" customWidth="1"/>
    <col min="81" max="82" width="8.1328125" style="1" bestFit="1" customWidth="1"/>
    <col min="83" max="83" width="11.796875" style="1" bestFit="1" customWidth="1"/>
    <col min="84" max="84" width="13" style="1" bestFit="1" customWidth="1"/>
    <col min="85" max="85" width="8.1328125" style="1" bestFit="1" customWidth="1"/>
    <col min="86" max="87" width="10.3984375" style="1" bestFit="1" customWidth="1"/>
    <col min="88" max="88" width="9.1328125" style="1" bestFit="1" customWidth="1"/>
    <col min="89" max="89" width="8.1328125" style="1" bestFit="1" customWidth="1"/>
    <col min="90" max="90" width="8.59765625" style="1" bestFit="1" customWidth="1"/>
    <col min="91" max="91" width="8.1328125" style="1" bestFit="1" customWidth="1"/>
    <col min="92" max="92" width="10.06640625" style="1" bestFit="1" customWidth="1"/>
    <col min="93" max="93" width="9.3984375" style="1" bestFit="1" customWidth="1"/>
    <col min="94" max="94" width="10.33203125" style="1" bestFit="1" customWidth="1"/>
    <col min="95" max="95" width="14.6640625" style="1" bestFit="1" customWidth="1"/>
    <col min="96" max="96" width="11.265625" style="1" bestFit="1" customWidth="1"/>
    <col min="97" max="97" width="8.1328125" style="1" bestFit="1" customWidth="1"/>
    <col min="98" max="98" width="8.33203125" style="1" bestFit="1" customWidth="1"/>
    <col min="99" max="99" width="12.06640625" style="1" bestFit="1" customWidth="1"/>
    <col min="100" max="100" width="8.1328125" style="1" bestFit="1" customWidth="1"/>
    <col min="101" max="101" width="10.6640625" style="1" bestFit="1" customWidth="1"/>
    <col min="102" max="102" width="10.33203125" style="1" bestFit="1" customWidth="1"/>
    <col min="103" max="103" width="10.46484375" style="1" bestFit="1" customWidth="1"/>
    <col min="104" max="104" width="8.86328125" style="1" bestFit="1" customWidth="1"/>
    <col min="105" max="105" width="11.46484375" style="1" bestFit="1" customWidth="1"/>
    <col min="106" max="106" width="14.46484375" style="1" bestFit="1" customWidth="1"/>
    <col min="107" max="107" width="18.33203125" style="1" bestFit="1" customWidth="1"/>
    <col min="108" max="108" width="2.796875" style="1" bestFit="1" customWidth="1"/>
    <col min="109" max="109" width="9.19921875" style="1" bestFit="1" customWidth="1"/>
    <col min="110" max="16384" width="9.06640625" style="1"/>
  </cols>
  <sheetData>
    <row r="1" spans="1:60" x14ac:dyDescent="0.6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  <c r="AX1" s="1" t="s">
        <v>82</v>
      </c>
      <c r="AY1" s="1" t="s">
        <v>83</v>
      </c>
      <c r="AZ1" s="1" t="s">
        <v>84</v>
      </c>
      <c r="BA1" s="1" t="s">
        <v>85</v>
      </c>
      <c r="BB1" s="1" t="s">
        <v>86</v>
      </c>
      <c r="BC1" s="1" t="s">
        <v>87</v>
      </c>
      <c r="BD1" s="1" t="s">
        <v>88</v>
      </c>
      <c r="BE1" s="1" t="s">
        <v>2</v>
      </c>
      <c r="BF1" s="1" t="s">
        <v>3</v>
      </c>
      <c r="BG1" s="1" t="s">
        <v>4</v>
      </c>
      <c r="BH1" s="1" t="s">
        <v>89</v>
      </c>
    </row>
    <row r="2" spans="1:60" x14ac:dyDescent="0.6">
      <c r="A2" s="1">
        <v>0</v>
      </c>
      <c r="B2" s="1">
        <v>2.33</v>
      </c>
      <c r="C2" s="1">
        <v>111.379</v>
      </c>
      <c r="D2" s="1">
        <v>110.43300000000001</v>
      </c>
      <c r="E2" s="1">
        <v>112.31699999999999</v>
      </c>
      <c r="F2" s="1">
        <v>113.301</v>
      </c>
      <c r="G2" s="1">
        <v>115.94199999999999</v>
      </c>
      <c r="H2" s="1">
        <v>112.557</v>
      </c>
      <c r="I2" s="1">
        <v>96.941400000000002</v>
      </c>
      <c r="J2" s="1">
        <v>113.301</v>
      </c>
      <c r="K2" s="1">
        <v>113.23399999999999</v>
      </c>
      <c r="L2" s="1">
        <v>113.119</v>
      </c>
      <c r="M2" s="1">
        <v>113.9</v>
      </c>
      <c r="N2" s="1">
        <v>112.726</v>
      </c>
      <c r="O2" s="1">
        <v>93.846199999999996</v>
      </c>
      <c r="P2" s="1">
        <v>107.1</v>
      </c>
      <c r="Q2" s="1">
        <v>114.27800000000001</v>
      </c>
      <c r="R2" s="1">
        <v>100.283</v>
      </c>
      <c r="S2" s="1">
        <v>118.83499999999999</v>
      </c>
      <c r="T2" s="1">
        <v>118.032</v>
      </c>
      <c r="U2" s="1">
        <v>107.35299999999999</v>
      </c>
      <c r="V2" s="1">
        <v>104.77</v>
      </c>
      <c r="W2" s="1">
        <v>106.911</v>
      </c>
      <c r="X2" s="1">
        <v>112.10599999999999</v>
      </c>
      <c r="Y2" s="1">
        <v>110.739</v>
      </c>
      <c r="Z2" s="1">
        <v>108.654</v>
      </c>
      <c r="AA2" s="1">
        <v>107.932</v>
      </c>
      <c r="AB2" s="1">
        <v>117.621</v>
      </c>
      <c r="AC2" s="1">
        <v>125.036</v>
      </c>
      <c r="AD2" s="1">
        <v>107.42100000000001</v>
      </c>
      <c r="AE2" s="1">
        <v>110.938</v>
      </c>
      <c r="AF2" s="1">
        <v>112.983</v>
      </c>
      <c r="AG2" s="1">
        <v>116.01</v>
      </c>
      <c r="AH2" s="1">
        <v>116.357</v>
      </c>
      <c r="AI2" s="1">
        <v>112.589</v>
      </c>
      <c r="AJ2" s="1">
        <v>113.301</v>
      </c>
      <c r="AK2" s="1">
        <v>110.666</v>
      </c>
      <c r="AL2" s="1">
        <v>107.348</v>
      </c>
      <c r="AM2" s="1">
        <v>105.279</v>
      </c>
      <c r="AN2" s="1">
        <v>113.34399999999999</v>
      </c>
      <c r="AO2" s="1">
        <v>110.51</v>
      </c>
      <c r="AP2" s="1">
        <v>113.3</v>
      </c>
      <c r="AQ2" s="1">
        <v>113.301</v>
      </c>
      <c r="AR2" s="1">
        <v>96.941400000000002</v>
      </c>
      <c r="AS2" s="1">
        <v>114.536</v>
      </c>
      <c r="AT2" s="1">
        <v>115.205</v>
      </c>
      <c r="AU2" s="1">
        <v>117.34699999999999</v>
      </c>
      <c r="AV2" s="1">
        <v>109.741</v>
      </c>
      <c r="AW2" s="1">
        <v>111.96</v>
      </c>
      <c r="AX2" s="1">
        <v>116.053</v>
      </c>
      <c r="AY2" s="1">
        <v>113.30200000000001</v>
      </c>
      <c r="AZ2" s="1">
        <v>113.301</v>
      </c>
      <c r="BA2" s="1">
        <v>100.371</v>
      </c>
      <c r="BB2" s="1">
        <v>115.33799999999999</v>
      </c>
      <c r="BC2" s="1">
        <v>122.61199999999999</v>
      </c>
      <c r="BD2" s="1">
        <v>102.22499999999999</v>
      </c>
      <c r="BE2" s="1" t="s">
        <v>33</v>
      </c>
      <c r="BF2" s="1" t="s">
        <v>5</v>
      </c>
      <c r="BG2" s="1">
        <v>41</v>
      </c>
      <c r="BH2" s="1">
        <v>0.729209</v>
      </c>
    </row>
    <row r="3" spans="1:60" x14ac:dyDescent="0.6">
      <c r="A3" s="1">
        <v>1</v>
      </c>
      <c r="B3" s="1">
        <v>5</v>
      </c>
      <c r="C3" s="1">
        <v>135.06899999999999</v>
      </c>
      <c r="D3" s="1">
        <v>135.857</v>
      </c>
      <c r="E3" s="1">
        <v>135.61000000000001</v>
      </c>
      <c r="F3" s="1">
        <v>135.54</v>
      </c>
      <c r="G3" s="1">
        <v>133.84100000000001</v>
      </c>
      <c r="H3" s="1">
        <v>135.364</v>
      </c>
      <c r="I3" s="1">
        <v>148.34299999999999</v>
      </c>
      <c r="J3" s="1">
        <v>135.54</v>
      </c>
      <c r="K3" s="1">
        <v>135.61199999999999</v>
      </c>
      <c r="L3" s="1">
        <v>135.874</v>
      </c>
      <c r="M3" s="1">
        <v>136.191</v>
      </c>
      <c r="N3" s="1">
        <v>135.53399999999999</v>
      </c>
      <c r="O3" s="1">
        <v>142.45400000000001</v>
      </c>
      <c r="P3" s="1">
        <v>139.63499999999999</v>
      </c>
      <c r="Q3" s="1">
        <v>136.31800000000001</v>
      </c>
      <c r="R3" s="1">
        <v>117.735</v>
      </c>
      <c r="S3" s="1">
        <v>137.28</v>
      </c>
      <c r="T3" s="1">
        <v>134.852</v>
      </c>
      <c r="U3" s="1">
        <v>131.44300000000001</v>
      </c>
      <c r="V3" s="1">
        <v>130.56700000000001</v>
      </c>
      <c r="W3" s="1">
        <v>134.22300000000001</v>
      </c>
      <c r="X3" s="1">
        <v>131.316</v>
      </c>
      <c r="Y3" s="1">
        <v>134.928</v>
      </c>
      <c r="Z3" s="1">
        <v>135.29599999999999</v>
      </c>
      <c r="AA3" s="1">
        <v>136.96299999999999</v>
      </c>
      <c r="AB3" s="1">
        <v>136.72200000000001</v>
      </c>
      <c r="AC3" s="1">
        <v>159.178</v>
      </c>
      <c r="AD3" s="1">
        <v>137.79900000000001</v>
      </c>
      <c r="AE3" s="1">
        <v>129.04400000000001</v>
      </c>
      <c r="AF3" s="1">
        <v>134.446</v>
      </c>
      <c r="AG3" s="1">
        <v>142.06200000000001</v>
      </c>
      <c r="AH3" s="1">
        <v>136.18199999999999</v>
      </c>
      <c r="AI3" s="1">
        <v>132.947</v>
      </c>
      <c r="AJ3" s="1">
        <v>135.54</v>
      </c>
      <c r="AK3" s="1">
        <v>135.136</v>
      </c>
      <c r="AL3" s="1">
        <v>136.44300000000001</v>
      </c>
      <c r="AM3" s="1">
        <v>129.59200000000001</v>
      </c>
      <c r="AN3" s="1">
        <v>135.654</v>
      </c>
      <c r="AO3" s="1">
        <v>135.71</v>
      </c>
      <c r="AP3" s="1">
        <v>135.54300000000001</v>
      </c>
      <c r="AQ3" s="1">
        <v>135.54</v>
      </c>
      <c r="AR3" s="1">
        <v>148.34299999999999</v>
      </c>
      <c r="AS3" s="1">
        <v>135.85</v>
      </c>
      <c r="AT3" s="1">
        <v>136.196</v>
      </c>
      <c r="AU3" s="1">
        <v>136.63200000000001</v>
      </c>
      <c r="AV3" s="1">
        <v>134.999</v>
      </c>
      <c r="AW3" s="1">
        <v>135.34899999999999</v>
      </c>
      <c r="AX3" s="1">
        <v>135.899</v>
      </c>
      <c r="AY3" s="1">
        <v>135.542</v>
      </c>
      <c r="AZ3" s="1">
        <v>135.54</v>
      </c>
      <c r="BA3" s="1">
        <v>122.336</v>
      </c>
      <c r="BB3" s="1">
        <v>135.964</v>
      </c>
      <c r="BC3" s="1">
        <v>147.001</v>
      </c>
      <c r="BD3" s="1">
        <v>132.39099999999999</v>
      </c>
      <c r="BE3" s="1" t="s">
        <v>33</v>
      </c>
      <c r="BF3" s="1" t="s">
        <v>5</v>
      </c>
      <c r="BG3" s="1">
        <v>41</v>
      </c>
      <c r="BH3" s="1">
        <v>0.67232000000000003</v>
      </c>
    </row>
    <row r="4" spans="1:60" x14ac:dyDescent="0.6">
      <c r="A4" s="1">
        <v>2</v>
      </c>
      <c r="B4" s="1">
        <v>10</v>
      </c>
      <c r="C4" s="1">
        <v>151.779</v>
      </c>
      <c r="D4" s="1">
        <v>154.33199999999999</v>
      </c>
      <c r="E4" s="1">
        <v>151.52500000000001</v>
      </c>
      <c r="F4" s="1">
        <v>150.292</v>
      </c>
      <c r="G4" s="1">
        <v>145.38800000000001</v>
      </c>
      <c r="H4" s="1">
        <v>150.79300000000001</v>
      </c>
      <c r="I4" s="1">
        <v>195.00299999999999</v>
      </c>
      <c r="J4" s="1">
        <v>150.292</v>
      </c>
      <c r="K4" s="1">
        <v>150.49100000000001</v>
      </c>
      <c r="L4" s="1">
        <v>151.232</v>
      </c>
      <c r="M4" s="1">
        <v>152.607</v>
      </c>
      <c r="N4" s="1">
        <v>150.94900000000001</v>
      </c>
      <c r="O4" s="1">
        <v>186.578</v>
      </c>
      <c r="P4" s="1">
        <v>165.39699999999999</v>
      </c>
      <c r="Q4" s="1">
        <v>152.41800000000001</v>
      </c>
      <c r="R4" s="1">
        <v>137.62799999999999</v>
      </c>
      <c r="S4" s="1">
        <v>147.54900000000001</v>
      </c>
      <c r="T4" s="1">
        <v>144.21600000000001</v>
      </c>
      <c r="U4" s="1">
        <v>151.06299999999999</v>
      </c>
      <c r="V4" s="1">
        <v>151.989</v>
      </c>
      <c r="W4" s="1">
        <v>154.43299999999999</v>
      </c>
      <c r="X4" s="1">
        <v>146.65600000000001</v>
      </c>
      <c r="Y4" s="1">
        <v>152.078</v>
      </c>
      <c r="Z4" s="1">
        <v>155.386</v>
      </c>
      <c r="AA4" s="1">
        <v>160.608</v>
      </c>
      <c r="AB4" s="1">
        <v>147.60300000000001</v>
      </c>
      <c r="AC4" s="1">
        <v>174.07599999999999</v>
      </c>
      <c r="AD4" s="1">
        <v>160.92699999999999</v>
      </c>
      <c r="AE4" s="1">
        <v>145.47999999999999</v>
      </c>
      <c r="AF4" s="1">
        <v>153.93</v>
      </c>
      <c r="AG4" s="1">
        <v>159.34399999999999</v>
      </c>
      <c r="AH4" s="1">
        <v>148.077</v>
      </c>
      <c r="AI4" s="1">
        <v>147.94</v>
      </c>
      <c r="AJ4" s="1">
        <v>150.292</v>
      </c>
      <c r="AK4" s="1">
        <v>152.357</v>
      </c>
      <c r="AL4" s="1">
        <v>160.34899999999999</v>
      </c>
      <c r="AM4" s="1">
        <v>150.761</v>
      </c>
      <c r="AN4" s="1">
        <v>150.47200000000001</v>
      </c>
      <c r="AO4" s="1">
        <v>154.053</v>
      </c>
      <c r="AP4" s="1">
        <v>150.29900000000001</v>
      </c>
      <c r="AQ4" s="1">
        <v>150.292</v>
      </c>
      <c r="AR4" s="1">
        <v>195.00299999999999</v>
      </c>
      <c r="AS4" s="1">
        <v>149.376</v>
      </c>
      <c r="AT4" s="1">
        <v>149.40899999999999</v>
      </c>
      <c r="AU4" s="1">
        <v>147.934</v>
      </c>
      <c r="AV4" s="1">
        <v>153.00800000000001</v>
      </c>
      <c r="AW4" s="1">
        <v>151.51300000000001</v>
      </c>
      <c r="AX4" s="1">
        <v>149.375</v>
      </c>
      <c r="AY4" s="1">
        <v>150.29599999999999</v>
      </c>
      <c r="AZ4" s="1">
        <v>150.292</v>
      </c>
      <c r="BA4" s="1">
        <v>145.64699999999999</v>
      </c>
      <c r="BB4" s="1">
        <v>148.64699999999999</v>
      </c>
      <c r="BC4" s="1">
        <v>166.86600000000001</v>
      </c>
      <c r="BD4" s="1">
        <v>163.42699999999999</v>
      </c>
      <c r="BE4" s="1" t="s">
        <v>33</v>
      </c>
      <c r="BF4" s="1" t="s">
        <v>5</v>
      </c>
      <c r="BG4" s="1">
        <v>41</v>
      </c>
      <c r="BH4" s="1">
        <v>0.65132199999999996</v>
      </c>
    </row>
    <row r="5" spans="1:60" x14ac:dyDescent="0.6">
      <c r="A5" s="1">
        <v>3</v>
      </c>
      <c r="B5" s="1">
        <v>25</v>
      </c>
      <c r="C5" s="1">
        <v>170.554</v>
      </c>
      <c r="D5" s="1">
        <v>175.51300000000001</v>
      </c>
      <c r="E5" s="1">
        <v>168.90700000000001</v>
      </c>
      <c r="F5" s="1">
        <v>166.024</v>
      </c>
      <c r="G5" s="1">
        <v>158.767</v>
      </c>
      <c r="H5" s="1">
        <v>167.512</v>
      </c>
      <c r="I5" s="1">
        <v>256.685</v>
      </c>
      <c r="J5" s="1">
        <v>166.024</v>
      </c>
      <c r="K5" s="1">
        <v>166.386</v>
      </c>
      <c r="L5" s="1">
        <v>167.84399999999999</v>
      </c>
      <c r="M5" s="1">
        <v>172.46199999999999</v>
      </c>
      <c r="N5" s="1">
        <v>167.64</v>
      </c>
      <c r="O5" s="1">
        <v>244.90700000000001</v>
      </c>
      <c r="P5" s="1">
        <v>196.73099999999999</v>
      </c>
      <c r="Q5" s="1">
        <v>171.82</v>
      </c>
      <c r="R5" s="1">
        <v>171.08600000000001</v>
      </c>
      <c r="S5" s="1">
        <v>157.154</v>
      </c>
      <c r="T5" s="1">
        <v>152.97499999999999</v>
      </c>
      <c r="U5" s="1">
        <v>175.85400000000001</v>
      </c>
      <c r="V5" s="1">
        <v>179.15100000000001</v>
      </c>
      <c r="W5" s="1">
        <v>177.18</v>
      </c>
      <c r="X5" s="1">
        <v>166.36600000000001</v>
      </c>
      <c r="Y5" s="1">
        <v>171.41499999999999</v>
      </c>
      <c r="Z5" s="1">
        <v>179.114</v>
      </c>
      <c r="AA5" s="1">
        <v>190.48400000000001</v>
      </c>
      <c r="AB5" s="1">
        <v>157.85300000000001</v>
      </c>
      <c r="AC5" s="1">
        <v>183.01400000000001</v>
      </c>
      <c r="AD5" s="1">
        <v>187.673</v>
      </c>
      <c r="AE5" s="1">
        <v>167.20699999999999</v>
      </c>
      <c r="AF5" s="1">
        <v>179.68700000000001</v>
      </c>
      <c r="AG5" s="1">
        <v>177.773</v>
      </c>
      <c r="AH5" s="1">
        <v>159.809</v>
      </c>
      <c r="AI5" s="1">
        <v>166.07300000000001</v>
      </c>
      <c r="AJ5" s="1">
        <v>166.02500000000001</v>
      </c>
      <c r="AK5" s="1">
        <v>171.41</v>
      </c>
      <c r="AL5" s="1">
        <v>190.82300000000001</v>
      </c>
      <c r="AM5" s="1">
        <v>178.49199999999999</v>
      </c>
      <c r="AN5" s="1">
        <v>166.28800000000001</v>
      </c>
      <c r="AO5" s="1">
        <v>175.07</v>
      </c>
      <c r="AP5" s="1">
        <v>166.035</v>
      </c>
      <c r="AQ5" s="1">
        <v>166.024</v>
      </c>
      <c r="AR5" s="1">
        <v>256.685</v>
      </c>
      <c r="AS5" s="1">
        <v>163.27099999999999</v>
      </c>
      <c r="AT5" s="1">
        <v>162.97</v>
      </c>
      <c r="AU5" s="1">
        <v>158.922</v>
      </c>
      <c r="AV5" s="1">
        <v>173.03800000000001</v>
      </c>
      <c r="AW5" s="1">
        <v>169.33699999999999</v>
      </c>
      <c r="AX5" s="1">
        <v>163.916</v>
      </c>
      <c r="AY5" s="1">
        <v>166.029</v>
      </c>
      <c r="AZ5" s="1">
        <v>166.024</v>
      </c>
      <c r="BA5" s="1">
        <v>180.70599999999999</v>
      </c>
      <c r="BB5" s="1">
        <v>161.35900000000001</v>
      </c>
      <c r="BC5" s="1">
        <v>191.965</v>
      </c>
      <c r="BD5" s="1">
        <v>213.25200000000001</v>
      </c>
      <c r="BE5" s="1" t="s">
        <v>33</v>
      </c>
      <c r="BF5" s="1" t="s">
        <v>5</v>
      </c>
      <c r="BG5" s="1">
        <v>41</v>
      </c>
      <c r="BH5" s="1">
        <v>0.63960300000000003</v>
      </c>
    </row>
    <row r="6" spans="1:60" x14ac:dyDescent="0.6">
      <c r="A6" s="1">
        <v>4</v>
      </c>
      <c r="B6" s="1">
        <v>50</v>
      </c>
      <c r="C6" s="1">
        <v>183.245</v>
      </c>
      <c r="D6" s="1">
        <v>190.035</v>
      </c>
      <c r="E6" s="1">
        <v>180.363</v>
      </c>
      <c r="F6" s="1">
        <v>176.18700000000001</v>
      </c>
      <c r="G6" s="1">
        <v>168.15199999999999</v>
      </c>
      <c r="H6" s="1">
        <v>178.459</v>
      </c>
      <c r="I6" s="1">
        <v>303.346</v>
      </c>
      <c r="J6" s="1">
        <v>176.18700000000001</v>
      </c>
      <c r="K6" s="1">
        <v>176.67099999999999</v>
      </c>
      <c r="L6" s="1">
        <v>178.70400000000001</v>
      </c>
      <c r="M6" s="1">
        <v>186.911</v>
      </c>
      <c r="N6" s="1">
        <v>178.56100000000001</v>
      </c>
      <c r="O6" s="1">
        <v>289.03100000000001</v>
      </c>
      <c r="P6" s="1">
        <v>219.161</v>
      </c>
      <c r="Q6" s="1">
        <v>185.917</v>
      </c>
      <c r="R6" s="1">
        <v>202.71700000000001</v>
      </c>
      <c r="S6" s="1">
        <v>162.74600000000001</v>
      </c>
      <c r="T6" s="1">
        <v>158.07400000000001</v>
      </c>
      <c r="U6" s="1">
        <v>194.24600000000001</v>
      </c>
      <c r="V6" s="1">
        <v>199.31399999999999</v>
      </c>
      <c r="W6" s="1">
        <v>192.34399999999999</v>
      </c>
      <c r="X6" s="1">
        <v>181.184</v>
      </c>
      <c r="Y6" s="1">
        <v>184.517</v>
      </c>
      <c r="Z6" s="1">
        <v>195.78100000000001</v>
      </c>
      <c r="AA6" s="1">
        <v>212.648</v>
      </c>
      <c r="AB6" s="1">
        <v>163.81299999999999</v>
      </c>
      <c r="AC6" s="1">
        <v>185.994</v>
      </c>
      <c r="AD6" s="1">
        <v>205.86600000000001</v>
      </c>
      <c r="AE6" s="1">
        <v>183.643</v>
      </c>
      <c r="AF6" s="1">
        <v>199.17099999999999</v>
      </c>
      <c r="AG6" s="1">
        <v>189.679</v>
      </c>
      <c r="AH6" s="1">
        <v>166.91900000000001</v>
      </c>
      <c r="AI6" s="1">
        <v>179.26900000000001</v>
      </c>
      <c r="AJ6" s="1">
        <v>176.18799999999999</v>
      </c>
      <c r="AK6" s="1">
        <v>184.035</v>
      </c>
      <c r="AL6" s="1">
        <v>213.62700000000001</v>
      </c>
      <c r="AM6" s="1">
        <v>199.428</v>
      </c>
      <c r="AN6" s="1">
        <v>176.51499999999999</v>
      </c>
      <c r="AO6" s="1">
        <v>189.458</v>
      </c>
      <c r="AP6" s="1">
        <v>176.20099999999999</v>
      </c>
      <c r="AQ6" s="1">
        <v>176.18700000000001</v>
      </c>
      <c r="AR6" s="1">
        <v>303.346</v>
      </c>
      <c r="AS6" s="1">
        <v>171.96</v>
      </c>
      <c r="AT6" s="1">
        <v>171.48099999999999</v>
      </c>
      <c r="AU6" s="1">
        <v>165.52099999999999</v>
      </c>
      <c r="AV6" s="1">
        <v>186.34</v>
      </c>
      <c r="AW6" s="1">
        <v>181.179</v>
      </c>
      <c r="AX6" s="1">
        <v>173.37700000000001</v>
      </c>
      <c r="AY6" s="1">
        <v>176.19200000000001</v>
      </c>
      <c r="AZ6" s="1">
        <v>176.18700000000001</v>
      </c>
      <c r="BA6" s="1">
        <v>209.87899999999999</v>
      </c>
      <c r="BB6" s="1">
        <v>169.161</v>
      </c>
      <c r="BC6" s="1">
        <v>210.584</v>
      </c>
      <c r="BD6" s="1">
        <v>259.79399999999998</v>
      </c>
      <c r="BE6" s="1" t="s">
        <v>33</v>
      </c>
      <c r="BF6" s="1" t="s">
        <v>5</v>
      </c>
      <c r="BG6" s="1">
        <v>41</v>
      </c>
      <c r="BH6" s="1">
        <v>0.63583000000000001</v>
      </c>
    </row>
    <row r="7" spans="1:60" x14ac:dyDescent="0.6">
      <c r="A7" s="1">
        <v>5</v>
      </c>
      <c r="B7" s="1">
        <v>100</v>
      </c>
      <c r="C7" s="1">
        <v>195.06</v>
      </c>
      <c r="D7" s="1">
        <v>203.67599999999999</v>
      </c>
      <c r="E7" s="1">
        <v>190.821</v>
      </c>
      <c r="F7" s="1">
        <v>185.328</v>
      </c>
      <c r="G7" s="1">
        <v>177.143</v>
      </c>
      <c r="H7" s="1">
        <v>188.404</v>
      </c>
      <c r="I7" s="1">
        <v>350.00700000000001</v>
      </c>
      <c r="J7" s="1">
        <v>185.328</v>
      </c>
      <c r="K7" s="1">
        <v>185.934</v>
      </c>
      <c r="L7" s="1">
        <v>188.56100000000001</v>
      </c>
      <c r="M7" s="1">
        <v>201.148</v>
      </c>
      <c r="N7" s="1">
        <v>188.47800000000001</v>
      </c>
      <c r="O7" s="1">
        <v>333.15600000000001</v>
      </c>
      <c r="P7" s="1">
        <v>240.839</v>
      </c>
      <c r="Q7" s="1">
        <v>199.798</v>
      </c>
      <c r="R7" s="1">
        <v>240.62899999999999</v>
      </c>
      <c r="S7" s="1">
        <v>167.423</v>
      </c>
      <c r="T7" s="1">
        <v>162.339</v>
      </c>
      <c r="U7" s="1">
        <v>212.501</v>
      </c>
      <c r="V7" s="1">
        <v>219.33199999999999</v>
      </c>
      <c r="W7" s="1">
        <v>206.22200000000001</v>
      </c>
      <c r="X7" s="1">
        <v>195.98699999999999</v>
      </c>
      <c r="Y7" s="1">
        <v>196.73400000000001</v>
      </c>
      <c r="Z7" s="1">
        <v>211.71</v>
      </c>
      <c r="AA7" s="1">
        <v>234.648</v>
      </c>
      <c r="AB7" s="1">
        <v>168.773</v>
      </c>
      <c r="AC7" s="1">
        <v>187.5</v>
      </c>
      <c r="AD7" s="1">
        <v>222.733</v>
      </c>
      <c r="AE7" s="1">
        <v>200.07900000000001</v>
      </c>
      <c r="AF7" s="1">
        <v>218.655</v>
      </c>
      <c r="AG7" s="1">
        <v>200.38800000000001</v>
      </c>
      <c r="AH7" s="1">
        <v>173.02799999999999</v>
      </c>
      <c r="AI7" s="1">
        <v>192.27199999999999</v>
      </c>
      <c r="AJ7" s="1">
        <v>185.32900000000001</v>
      </c>
      <c r="AK7" s="1">
        <v>195.57499999999999</v>
      </c>
      <c r="AL7" s="1">
        <v>236.429</v>
      </c>
      <c r="AM7" s="1">
        <v>220.357</v>
      </c>
      <c r="AN7" s="1">
        <v>185.71899999999999</v>
      </c>
      <c r="AO7" s="1">
        <v>202.95099999999999</v>
      </c>
      <c r="AP7" s="1">
        <v>185.346</v>
      </c>
      <c r="AQ7" s="1">
        <v>185.328</v>
      </c>
      <c r="AR7" s="1">
        <v>350.00700000000001</v>
      </c>
      <c r="AS7" s="1">
        <v>179.58600000000001</v>
      </c>
      <c r="AT7" s="1">
        <v>178.99100000000001</v>
      </c>
      <c r="AU7" s="1">
        <v>171.16399999999999</v>
      </c>
      <c r="AV7" s="1">
        <v>198.50700000000001</v>
      </c>
      <c r="AW7" s="1">
        <v>192.05500000000001</v>
      </c>
      <c r="AX7" s="1">
        <v>181.923</v>
      </c>
      <c r="AY7" s="1">
        <v>185.334</v>
      </c>
      <c r="AZ7" s="1">
        <v>185.328</v>
      </c>
      <c r="BA7" s="1">
        <v>240.91900000000001</v>
      </c>
      <c r="BB7" s="1">
        <v>175.923</v>
      </c>
      <c r="BC7" s="1">
        <v>229.06700000000001</v>
      </c>
      <c r="BD7" s="1">
        <v>316.03300000000002</v>
      </c>
      <c r="BE7" s="1" t="s">
        <v>33</v>
      </c>
      <c r="BF7" s="1" t="s">
        <v>5</v>
      </c>
      <c r="BG7" s="1">
        <v>41</v>
      </c>
      <c r="BH7" s="1">
        <v>0.63396799999999998</v>
      </c>
    </row>
    <row r="8" spans="1:60" x14ac:dyDescent="0.6">
      <c r="A8" s="1">
        <v>6</v>
      </c>
      <c r="B8" s="1">
        <v>250</v>
      </c>
      <c r="C8" s="1">
        <v>209.70500000000001</v>
      </c>
      <c r="D8" s="1">
        <v>220.71199999999999</v>
      </c>
      <c r="E8" s="1">
        <v>203.50899999999999</v>
      </c>
      <c r="F8" s="1">
        <v>196.251</v>
      </c>
      <c r="G8" s="1">
        <v>188.607</v>
      </c>
      <c r="H8" s="1">
        <v>200.41</v>
      </c>
      <c r="I8" s="1">
        <v>411.68900000000002</v>
      </c>
      <c r="J8" s="1">
        <v>196.25</v>
      </c>
      <c r="K8" s="1">
        <v>197.01400000000001</v>
      </c>
      <c r="L8" s="1">
        <v>200.44800000000001</v>
      </c>
      <c r="M8" s="1">
        <v>219.81899999999999</v>
      </c>
      <c r="N8" s="1">
        <v>200.44499999999999</v>
      </c>
      <c r="O8" s="1">
        <v>391.48500000000001</v>
      </c>
      <c r="P8" s="1">
        <v>268.63900000000001</v>
      </c>
      <c r="Q8" s="1">
        <v>217.99600000000001</v>
      </c>
      <c r="R8" s="1">
        <v>301.80799999999999</v>
      </c>
      <c r="S8" s="1">
        <v>172.62700000000001</v>
      </c>
      <c r="T8" s="1">
        <v>167.083</v>
      </c>
      <c r="U8" s="1">
        <v>236.53800000000001</v>
      </c>
      <c r="V8" s="1">
        <v>245.68799999999999</v>
      </c>
      <c r="W8" s="1">
        <v>223.041</v>
      </c>
      <c r="X8" s="1">
        <v>215.55</v>
      </c>
      <c r="Y8" s="1">
        <v>211.893</v>
      </c>
      <c r="Z8" s="1">
        <v>231.95</v>
      </c>
      <c r="AA8" s="1">
        <v>263.61500000000001</v>
      </c>
      <c r="AB8" s="1">
        <v>174.244</v>
      </c>
      <c r="AC8" s="1">
        <v>188.52099999999999</v>
      </c>
      <c r="AD8" s="1">
        <v>243.41800000000001</v>
      </c>
      <c r="AE8" s="1">
        <v>221.80600000000001</v>
      </c>
      <c r="AF8" s="1">
        <v>244.41200000000001</v>
      </c>
      <c r="AG8" s="1">
        <v>213.18299999999999</v>
      </c>
      <c r="AH8" s="1">
        <v>179.99799999999999</v>
      </c>
      <c r="AI8" s="1">
        <v>209.32400000000001</v>
      </c>
      <c r="AJ8" s="1">
        <v>196.25299999999999</v>
      </c>
      <c r="AK8" s="1">
        <v>209.565</v>
      </c>
      <c r="AL8" s="1">
        <v>266.70699999999999</v>
      </c>
      <c r="AM8" s="1">
        <v>248.02099999999999</v>
      </c>
      <c r="AN8" s="1">
        <v>196.72300000000001</v>
      </c>
      <c r="AO8" s="1">
        <v>219.767</v>
      </c>
      <c r="AP8" s="1">
        <v>196.27199999999999</v>
      </c>
      <c r="AQ8" s="1">
        <v>196.251</v>
      </c>
      <c r="AR8" s="1">
        <v>411.68900000000002</v>
      </c>
      <c r="AS8" s="1">
        <v>188.464</v>
      </c>
      <c r="AT8" s="1">
        <v>187.80199999999999</v>
      </c>
      <c r="AU8" s="1">
        <v>177.58099999999999</v>
      </c>
      <c r="AV8" s="1">
        <v>213.26</v>
      </c>
      <c r="AW8" s="1">
        <v>205.334</v>
      </c>
      <c r="AX8" s="1">
        <v>192.17099999999999</v>
      </c>
      <c r="AY8" s="1">
        <v>196.25800000000001</v>
      </c>
      <c r="AZ8" s="1">
        <v>196.251</v>
      </c>
      <c r="BA8" s="1">
        <v>284.30599999999998</v>
      </c>
      <c r="BB8" s="1">
        <v>183.709</v>
      </c>
      <c r="BC8" s="1">
        <v>253.40199999999999</v>
      </c>
      <c r="BD8" s="1">
        <v>409.05700000000002</v>
      </c>
      <c r="BE8" s="1" t="s">
        <v>33</v>
      </c>
      <c r="BF8" s="4" t="s">
        <v>5</v>
      </c>
      <c r="BG8" s="1">
        <v>41</v>
      </c>
      <c r="BH8" s="1">
        <v>0.63285800000000003</v>
      </c>
    </row>
    <row r="9" spans="1:60" x14ac:dyDescent="0.6">
      <c r="A9" s="1">
        <v>7</v>
      </c>
      <c r="B9" s="1">
        <v>500</v>
      </c>
      <c r="C9" s="1">
        <v>220.22499999999999</v>
      </c>
      <c r="D9" s="1">
        <v>233.02</v>
      </c>
      <c r="E9" s="1">
        <v>212.43899999999999</v>
      </c>
      <c r="F9" s="1">
        <v>203.83199999999999</v>
      </c>
      <c r="G9" s="1">
        <v>197.042</v>
      </c>
      <c r="H9" s="1">
        <v>208.82300000000001</v>
      </c>
      <c r="I9" s="1">
        <v>458.34899999999999</v>
      </c>
      <c r="J9" s="1">
        <v>203.83199999999999</v>
      </c>
      <c r="K9" s="1">
        <v>204.714</v>
      </c>
      <c r="L9" s="1">
        <v>208.77</v>
      </c>
      <c r="M9" s="1">
        <v>233.892</v>
      </c>
      <c r="N9" s="1">
        <v>208.82599999999999</v>
      </c>
      <c r="O9" s="1">
        <v>435.60899999999998</v>
      </c>
      <c r="P9" s="1">
        <v>289.17</v>
      </c>
      <c r="Q9" s="1">
        <v>231.709</v>
      </c>
      <c r="R9" s="1">
        <v>357.63799999999998</v>
      </c>
      <c r="S9" s="1">
        <v>176.017</v>
      </c>
      <c r="T9" s="1">
        <v>170.17500000000001</v>
      </c>
      <c r="U9" s="1">
        <v>254.68700000000001</v>
      </c>
      <c r="V9" s="1">
        <v>265.589</v>
      </c>
      <c r="W9" s="1">
        <v>234.83799999999999</v>
      </c>
      <c r="X9" s="1">
        <v>230.34700000000001</v>
      </c>
      <c r="Y9" s="1">
        <v>222.78899999999999</v>
      </c>
      <c r="Z9" s="1">
        <v>246.79599999999999</v>
      </c>
      <c r="AA9" s="1">
        <v>285.48700000000002</v>
      </c>
      <c r="AB9" s="1">
        <v>177.77199999999999</v>
      </c>
      <c r="AC9" s="1">
        <v>189.01</v>
      </c>
      <c r="AD9" s="1">
        <v>258.06799999999998</v>
      </c>
      <c r="AE9" s="1">
        <v>238.24100000000001</v>
      </c>
      <c r="AF9" s="1">
        <v>263.89600000000002</v>
      </c>
      <c r="AG9" s="1">
        <v>222.065</v>
      </c>
      <c r="AH9" s="1">
        <v>184.64</v>
      </c>
      <c r="AI9" s="1">
        <v>222.17599999999999</v>
      </c>
      <c r="AJ9" s="1">
        <v>203.83500000000001</v>
      </c>
      <c r="AK9" s="1">
        <v>219.39099999999999</v>
      </c>
      <c r="AL9" s="1">
        <v>289.76400000000001</v>
      </c>
      <c r="AM9" s="1">
        <v>268.94799999999998</v>
      </c>
      <c r="AN9" s="1">
        <v>204.36600000000001</v>
      </c>
      <c r="AO9" s="1">
        <v>231.886</v>
      </c>
      <c r="AP9" s="1">
        <v>203.857</v>
      </c>
      <c r="AQ9" s="1">
        <v>203.83199999999999</v>
      </c>
      <c r="AR9" s="1">
        <v>458.34899999999999</v>
      </c>
      <c r="AS9" s="1">
        <v>194.47900000000001</v>
      </c>
      <c r="AT9" s="1">
        <v>193.82599999999999</v>
      </c>
      <c r="AU9" s="1">
        <v>181.846</v>
      </c>
      <c r="AV9" s="1">
        <v>223.62100000000001</v>
      </c>
      <c r="AW9" s="1">
        <v>214.733</v>
      </c>
      <c r="AX9" s="1">
        <v>199.30500000000001</v>
      </c>
      <c r="AY9" s="1">
        <v>203.84</v>
      </c>
      <c r="AZ9" s="1">
        <v>203.83199999999999</v>
      </c>
      <c r="BA9" s="1">
        <v>318.60000000000002</v>
      </c>
      <c r="BB9" s="1">
        <v>188.93600000000001</v>
      </c>
      <c r="BC9" s="1">
        <v>271.77600000000001</v>
      </c>
      <c r="BD9" s="1">
        <v>497.04</v>
      </c>
      <c r="BE9" s="1" t="s">
        <v>33</v>
      </c>
      <c r="BF9" s="4" t="s">
        <v>5</v>
      </c>
      <c r="BG9" s="1">
        <v>41</v>
      </c>
      <c r="BH9" s="1">
        <v>0.63248899999999997</v>
      </c>
    </row>
    <row r="10" spans="1:60" x14ac:dyDescent="0.6">
      <c r="A10" s="1">
        <v>8</v>
      </c>
      <c r="B10" s="1">
        <v>750</v>
      </c>
      <c r="C10" s="1">
        <v>226.19900000000001</v>
      </c>
      <c r="D10" s="1">
        <v>240.03</v>
      </c>
      <c r="E10" s="1">
        <v>217.44399999999999</v>
      </c>
      <c r="F10" s="1">
        <v>208.04400000000001</v>
      </c>
      <c r="G10" s="1">
        <v>201.90100000000001</v>
      </c>
      <c r="H10" s="1">
        <v>213.524</v>
      </c>
      <c r="I10" s="1">
        <v>485.64400000000001</v>
      </c>
      <c r="J10" s="1">
        <v>208.04400000000001</v>
      </c>
      <c r="K10" s="1">
        <v>208.995</v>
      </c>
      <c r="L10" s="1">
        <v>213.417</v>
      </c>
      <c r="M10" s="1">
        <v>242.113</v>
      </c>
      <c r="N10" s="1">
        <v>213.50800000000001</v>
      </c>
      <c r="O10" s="1">
        <v>461.42</v>
      </c>
      <c r="P10" s="1">
        <v>301.017</v>
      </c>
      <c r="Q10" s="1">
        <v>239.721</v>
      </c>
      <c r="R10" s="1">
        <v>394.56099999999998</v>
      </c>
      <c r="S10" s="1">
        <v>177.83</v>
      </c>
      <c r="T10" s="1">
        <v>171.828</v>
      </c>
      <c r="U10" s="1">
        <v>265.29700000000003</v>
      </c>
      <c r="V10" s="1">
        <v>277.22399999999999</v>
      </c>
      <c r="W10" s="1">
        <v>241.429</v>
      </c>
      <c r="X10" s="1">
        <v>239.00299999999999</v>
      </c>
      <c r="Y10" s="1">
        <v>228.98</v>
      </c>
      <c r="Z10" s="1">
        <v>255.33099999999999</v>
      </c>
      <c r="AA10" s="1">
        <v>298.274</v>
      </c>
      <c r="AB10" s="1">
        <v>179.642</v>
      </c>
      <c r="AC10" s="1">
        <v>189.25</v>
      </c>
      <c r="AD10" s="1">
        <v>266.298</v>
      </c>
      <c r="AE10" s="1">
        <v>247.85599999999999</v>
      </c>
      <c r="AF10" s="1">
        <v>275.29300000000001</v>
      </c>
      <c r="AG10" s="1">
        <v>226.999</v>
      </c>
      <c r="AH10" s="1">
        <v>187.15199999999999</v>
      </c>
      <c r="AI10" s="1">
        <v>229.685</v>
      </c>
      <c r="AJ10" s="1">
        <v>208.047</v>
      </c>
      <c r="AK10" s="1">
        <v>224.887</v>
      </c>
      <c r="AL10" s="1">
        <v>303.32</v>
      </c>
      <c r="AM10" s="1">
        <v>281.19</v>
      </c>
      <c r="AN10" s="1">
        <v>208.614</v>
      </c>
      <c r="AO10" s="1">
        <v>238.779</v>
      </c>
      <c r="AP10" s="1">
        <v>208.071</v>
      </c>
      <c r="AQ10" s="1">
        <v>208.04400000000001</v>
      </c>
      <c r="AR10" s="1">
        <v>485.64400000000001</v>
      </c>
      <c r="AS10" s="1">
        <v>197.76900000000001</v>
      </c>
      <c r="AT10" s="1">
        <v>197.143</v>
      </c>
      <c r="AU10" s="1">
        <v>184.154</v>
      </c>
      <c r="AV10" s="1">
        <v>229.41499999999999</v>
      </c>
      <c r="AW10" s="1">
        <v>220.02099999999999</v>
      </c>
      <c r="AX10" s="1">
        <v>203.274</v>
      </c>
      <c r="AY10" s="1">
        <v>208.05199999999999</v>
      </c>
      <c r="AZ10" s="1">
        <v>208.04400000000001</v>
      </c>
      <c r="BA10" s="1">
        <v>339.16199999999998</v>
      </c>
      <c r="BB10" s="1">
        <v>191.78100000000001</v>
      </c>
      <c r="BC10" s="1">
        <v>282.51799999999997</v>
      </c>
      <c r="BD10" s="1">
        <v>556.99699999999996</v>
      </c>
      <c r="BE10" s="1" t="s">
        <v>33</v>
      </c>
      <c r="BF10" s="4" t="s">
        <v>5</v>
      </c>
      <c r="BG10" s="1">
        <v>41</v>
      </c>
      <c r="BH10" s="1">
        <v>0.63236599999999998</v>
      </c>
    </row>
    <row r="11" spans="1:60" x14ac:dyDescent="0.6">
      <c r="A11" s="1">
        <v>9</v>
      </c>
      <c r="B11" s="1">
        <v>1000</v>
      </c>
      <c r="C11" s="1">
        <v>230.36799999999999</v>
      </c>
      <c r="D11" s="1">
        <v>244.93</v>
      </c>
      <c r="E11" s="1">
        <v>220.90700000000001</v>
      </c>
      <c r="F11" s="1">
        <v>210.94399999999999</v>
      </c>
      <c r="G11" s="1">
        <v>205.32</v>
      </c>
      <c r="H11" s="1">
        <v>216.773</v>
      </c>
      <c r="I11" s="1">
        <v>505.01</v>
      </c>
      <c r="J11" s="1">
        <v>210.94300000000001</v>
      </c>
      <c r="K11" s="1">
        <v>211.94300000000001</v>
      </c>
      <c r="L11" s="1">
        <v>216.62799999999999</v>
      </c>
      <c r="M11" s="1">
        <v>247.94399999999999</v>
      </c>
      <c r="N11" s="1">
        <v>216.74299999999999</v>
      </c>
      <c r="O11" s="1">
        <v>479.73399999999998</v>
      </c>
      <c r="P11" s="1">
        <v>309.358</v>
      </c>
      <c r="Q11" s="1">
        <v>245.40199999999999</v>
      </c>
      <c r="R11" s="1">
        <v>422.81599999999997</v>
      </c>
      <c r="S11" s="1">
        <v>179.04900000000001</v>
      </c>
      <c r="T11" s="1">
        <v>172.94</v>
      </c>
      <c r="U11" s="1">
        <v>272.82299999999998</v>
      </c>
      <c r="V11" s="1">
        <v>285.476</v>
      </c>
      <c r="W11" s="1">
        <v>245.98</v>
      </c>
      <c r="X11" s="1">
        <v>245.14500000000001</v>
      </c>
      <c r="Y11" s="1">
        <v>233.3</v>
      </c>
      <c r="Z11" s="1">
        <v>261.33</v>
      </c>
      <c r="AA11" s="1">
        <v>307.34399999999999</v>
      </c>
      <c r="AB11" s="1">
        <v>180.89500000000001</v>
      </c>
      <c r="AC11" s="1">
        <v>189.40799999999999</v>
      </c>
      <c r="AD11" s="1">
        <v>271.99900000000002</v>
      </c>
      <c r="AE11" s="1">
        <v>254.67699999999999</v>
      </c>
      <c r="AF11" s="1">
        <v>283.38</v>
      </c>
      <c r="AG11" s="1">
        <v>230.39599999999999</v>
      </c>
      <c r="AH11" s="1">
        <v>188.85599999999999</v>
      </c>
      <c r="AI11" s="1">
        <v>235.01</v>
      </c>
      <c r="AJ11" s="1">
        <v>210.946</v>
      </c>
      <c r="AK11" s="1">
        <v>228.685</v>
      </c>
      <c r="AL11" s="1">
        <v>312.971</v>
      </c>
      <c r="AM11" s="1">
        <v>289.875</v>
      </c>
      <c r="AN11" s="1">
        <v>211.53899999999999</v>
      </c>
      <c r="AO11" s="1">
        <v>243.59100000000001</v>
      </c>
      <c r="AP11" s="1">
        <v>210.97200000000001</v>
      </c>
      <c r="AQ11" s="1">
        <v>210.94399999999999</v>
      </c>
      <c r="AR11" s="1">
        <v>505.01</v>
      </c>
      <c r="AS11" s="1">
        <v>200.012</v>
      </c>
      <c r="AT11" s="1">
        <v>199.41499999999999</v>
      </c>
      <c r="AU11" s="1">
        <v>185.71799999999999</v>
      </c>
      <c r="AV11" s="1">
        <v>233.41900000000001</v>
      </c>
      <c r="AW11" s="1">
        <v>223.68799999999999</v>
      </c>
      <c r="AX11" s="1">
        <v>206.00899999999999</v>
      </c>
      <c r="AY11" s="1">
        <v>210.952</v>
      </c>
      <c r="AZ11" s="1">
        <v>210.94399999999999</v>
      </c>
      <c r="BA11" s="1">
        <v>353.95299999999997</v>
      </c>
      <c r="BB11" s="1">
        <v>193.71600000000001</v>
      </c>
      <c r="BC11" s="1">
        <v>290.13799999999998</v>
      </c>
      <c r="BD11" s="1">
        <v>603.86300000000006</v>
      </c>
      <c r="BE11" s="1" t="s">
        <v>33</v>
      </c>
      <c r="BF11" s="4" t="s">
        <v>5</v>
      </c>
      <c r="BG11" s="1">
        <v>41</v>
      </c>
      <c r="BH11" s="1">
        <v>0.63230500000000001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8E49-787B-42A5-8853-3A8AB20BD89C}">
  <dimension ref="A1:Q12"/>
  <sheetViews>
    <sheetView showGridLines="0" zoomScale="145" zoomScaleNormal="145" workbookViewId="0"/>
  </sheetViews>
  <sheetFormatPr defaultRowHeight="16.5" x14ac:dyDescent="0.6"/>
  <cols>
    <col min="1" max="1" width="3.33203125" style="1" customWidth="1"/>
    <col min="2" max="2" width="18.1328125" style="1" bestFit="1" customWidth="1"/>
    <col min="3" max="3" width="18.3984375" style="1" customWidth="1"/>
    <col min="4" max="4" width="10.33203125" style="1" bestFit="1" customWidth="1"/>
    <col min="5" max="5" width="11.33203125" style="1" customWidth="1"/>
    <col min="6" max="6" width="8.73046875" style="1" bestFit="1" customWidth="1"/>
    <col min="7" max="7" width="6.53125" style="1" bestFit="1" customWidth="1"/>
    <col min="8" max="8" width="2.265625" style="1" bestFit="1" customWidth="1"/>
    <col min="9" max="9" width="2.73046875" style="1" bestFit="1" customWidth="1"/>
    <col min="10" max="11" width="7.73046875" style="1" bestFit="1" customWidth="1"/>
    <col min="12" max="12" width="5.53125" style="1" bestFit="1" customWidth="1"/>
    <col min="13" max="13" width="6.19921875" style="1" bestFit="1" customWidth="1"/>
    <col min="14" max="15" width="6.53125" style="1" bestFit="1" customWidth="1"/>
    <col min="16" max="16" width="6.46484375" style="1" bestFit="1" customWidth="1"/>
    <col min="17" max="17" width="10.33203125" style="1" bestFit="1" customWidth="1"/>
    <col min="18" max="16384" width="9.06640625" style="1"/>
  </cols>
  <sheetData>
    <row r="1" spans="1:17" x14ac:dyDescent="0.6">
      <c r="A1" s="1" t="s">
        <v>1</v>
      </c>
      <c r="B1" s="1" t="s">
        <v>3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4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x14ac:dyDescent="0.6">
      <c r="A2" s="1">
        <v>0</v>
      </c>
      <c r="B2" s="1" t="s">
        <v>5</v>
      </c>
      <c r="C2" s="1" t="s">
        <v>24</v>
      </c>
      <c r="D2" s="1" t="s">
        <v>36</v>
      </c>
      <c r="E2" s="1">
        <v>0.11108700000000001</v>
      </c>
      <c r="F2" s="1">
        <v>0.212396</v>
      </c>
      <c r="G2" s="1" t="s">
        <v>23</v>
      </c>
      <c r="H2" s="1">
        <v>1</v>
      </c>
      <c r="I2" s="1">
        <v>41</v>
      </c>
      <c r="J2" s="1">
        <v>-34.612400000000001</v>
      </c>
      <c r="K2" s="1">
        <v>2942.17</v>
      </c>
      <c r="L2" s="1">
        <v>16.63</v>
      </c>
      <c r="M2" s="1">
        <v>346.09199999999998</v>
      </c>
      <c r="P2" s="1">
        <v>1</v>
      </c>
      <c r="Q2" s="1">
        <v>1</v>
      </c>
    </row>
    <row r="3" spans="1:17" x14ac:dyDescent="0.6">
      <c r="A3" s="1">
        <v>0</v>
      </c>
      <c r="B3" s="1" t="s">
        <v>5</v>
      </c>
      <c r="C3" s="1" t="s">
        <v>25</v>
      </c>
      <c r="D3" s="1" t="s">
        <v>65</v>
      </c>
      <c r="E3" s="1">
        <v>0.112516</v>
      </c>
      <c r="F3" s="1">
        <v>0.212396</v>
      </c>
      <c r="G3" s="1" t="s">
        <v>23</v>
      </c>
      <c r="H3" s="1">
        <v>1</v>
      </c>
      <c r="I3" s="1">
        <v>41</v>
      </c>
      <c r="J3" s="1">
        <v>109</v>
      </c>
      <c r="K3" s="1">
        <v>27.777799999999999</v>
      </c>
      <c r="L3" s="1">
        <v>2</v>
      </c>
      <c r="M3" s="1">
        <v>-1</v>
      </c>
      <c r="P3" s="1">
        <v>1</v>
      </c>
      <c r="Q3" s="1">
        <v>1</v>
      </c>
    </row>
    <row r="4" spans="1:17" x14ac:dyDescent="0.6">
      <c r="A4" s="1">
        <v>0</v>
      </c>
      <c r="B4" s="1" t="s">
        <v>5</v>
      </c>
      <c r="C4" s="1" t="s">
        <v>26</v>
      </c>
      <c r="D4" s="1" t="s">
        <v>65</v>
      </c>
      <c r="E4" s="1">
        <v>0.114258</v>
      </c>
      <c r="F4" s="1">
        <v>0.212396</v>
      </c>
      <c r="G4" s="1" t="s">
        <v>23</v>
      </c>
      <c r="H4" s="1">
        <v>1</v>
      </c>
      <c r="I4" s="1">
        <v>41</v>
      </c>
      <c r="J4" s="1">
        <v>109</v>
      </c>
      <c r="K4" s="1">
        <v>27.777799999999999</v>
      </c>
      <c r="L4" s="1">
        <v>2</v>
      </c>
      <c r="M4" s="1">
        <v>-1</v>
      </c>
      <c r="P4" s="1">
        <v>1</v>
      </c>
      <c r="Q4" s="1">
        <v>1</v>
      </c>
    </row>
    <row r="5" spans="1:17" x14ac:dyDescent="0.6">
      <c r="A5" s="1">
        <v>0</v>
      </c>
      <c r="B5" s="1" t="s">
        <v>5</v>
      </c>
      <c r="C5" s="1" t="s">
        <v>27</v>
      </c>
      <c r="D5" s="1" t="s">
        <v>65</v>
      </c>
      <c r="E5" s="1">
        <v>0.113188</v>
      </c>
      <c r="F5" s="1">
        <v>0.212396</v>
      </c>
      <c r="G5" s="1" t="s">
        <v>23</v>
      </c>
      <c r="H5" s="1">
        <v>1</v>
      </c>
      <c r="I5" s="1">
        <v>41</v>
      </c>
      <c r="J5" s="1">
        <v>109</v>
      </c>
      <c r="K5" s="1">
        <v>27.777799999999999</v>
      </c>
      <c r="L5" s="1">
        <v>2</v>
      </c>
      <c r="M5" s="1">
        <v>-1</v>
      </c>
      <c r="P5" s="1">
        <v>1</v>
      </c>
      <c r="Q5" s="1">
        <v>1</v>
      </c>
    </row>
    <row r="6" spans="1:17" x14ac:dyDescent="0.6">
      <c r="A6" s="1">
        <v>0</v>
      </c>
      <c r="B6" s="1" t="s">
        <v>5</v>
      </c>
      <c r="C6" s="1" t="s">
        <v>28</v>
      </c>
      <c r="D6" s="1" t="s">
        <v>65</v>
      </c>
      <c r="E6" s="1">
        <v>0.113223</v>
      </c>
      <c r="F6" s="1">
        <v>0.212396</v>
      </c>
      <c r="G6" s="1" t="s">
        <v>23</v>
      </c>
      <c r="H6" s="1">
        <v>1</v>
      </c>
      <c r="I6" s="1">
        <v>41</v>
      </c>
      <c r="J6" s="1">
        <v>109</v>
      </c>
      <c r="K6" s="1">
        <v>27.777799999999999</v>
      </c>
      <c r="L6" s="1">
        <v>2</v>
      </c>
      <c r="M6" s="1">
        <v>-1</v>
      </c>
      <c r="P6" s="1">
        <v>1</v>
      </c>
      <c r="Q6" s="1">
        <v>1</v>
      </c>
    </row>
    <row r="7" spans="1:17" x14ac:dyDescent="0.6">
      <c r="A7" s="1">
        <v>0</v>
      </c>
      <c r="B7" s="1" t="s">
        <v>5</v>
      </c>
      <c r="C7" s="1" t="s">
        <v>22</v>
      </c>
      <c r="D7" s="1" t="s">
        <v>65</v>
      </c>
      <c r="E7" s="1">
        <v>0.11296</v>
      </c>
      <c r="F7" s="1">
        <v>0.212396</v>
      </c>
      <c r="G7" s="1" t="s">
        <v>23</v>
      </c>
      <c r="H7" s="1">
        <v>1</v>
      </c>
      <c r="I7" s="1">
        <v>41</v>
      </c>
      <c r="J7" s="1">
        <v>109</v>
      </c>
      <c r="K7" s="1">
        <v>27.777799999999999</v>
      </c>
      <c r="L7" s="1">
        <v>2</v>
      </c>
      <c r="M7" s="1">
        <v>-1</v>
      </c>
      <c r="P7" s="1">
        <v>1</v>
      </c>
      <c r="Q7" s="1">
        <v>1</v>
      </c>
    </row>
    <row r="8" spans="1:17" x14ac:dyDescent="0.6">
      <c r="A8" s="1">
        <v>0</v>
      </c>
      <c r="B8" s="1" t="s">
        <v>5</v>
      </c>
      <c r="C8" s="1" t="s">
        <v>29</v>
      </c>
      <c r="D8" s="1" t="s">
        <v>65</v>
      </c>
      <c r="E8" s="1">
        <v>0.113106</v>
      </c>
      <c r="F8" s="1">
        <v>0.212396</v>
      </c>
      <c r="G8" s="1" t="s">
        <v>23</v>
      </c>
      <c r="H8" s="1">
        <v>1</v>
      </c>
      <c r="I8" s="1">
        <v>41</v>
      </c>
      <c r="J8" s="1">
        <v>109</v>
      </c>
      <c r="K8" s="1">
        <v>27.777799999999999</v>
      </c>
      <c r="L8" s="1">
        <v>2</v>
      </c>
      <c r="M8" s="1">
        <v>-1</v>
      </c>
      <c r="P8" s="1">
        <v>1</v>
      </c>
      <c r="Q8" s="1">
        <v>1</v>
      </c>
    </row>
    <row r="9" spans="1:17" x14ac:dyDescent="0.6">
      <c r="A9" s="1">
        <v>0</v>
      </c>
      <c r="B9" s="1" t="s">
        <v>5</v>
      </c>
      <c r="C9" s="1" t="s">
        <v>30</v>
      </c>
      <c r="D9" s="1" t="s">
        <v>65</v>
      </c>
      <c r="E9" s="1">
        <v>0.11273</v>
      </c>
      <c r="F9" s="1">
        <v>0.212396</v>
      </c>
      <c r="G9" s="1" t="s">
        <v>23</v>
      </c>
      <c r="H9" s="1">
        <v>1</v>
      </c>
      <c r="I9" s="1">
        <v>41</v>
      </c>
      <c r="J9" s="1">
        <v>109</v>
      </c>
      <c r="K9" s="1">
        <v>27.777799999999999</v>
      </c>
      <c r="L9" s="1">
        <v>2</v>
      </c>
      <c r="M9" s="1">
        <v>-1</v>
      </c>
      <c r="P9" s="1">
        <v>1</v>
      </c>
      <c r="Q9" s="1">
        <v>1</v>
      </c>
    </row>
    <row r="10" spans="1:17" x14ac:dyDescent="0.6">
      <c r="A10" s="1">
        <v>0</v>
      </c>
      <c r="B10" s="1" t="s">
        <v>5</v>
      </c>
      <c r="C10" s="1" t="s">
        <v>31</v>
      </c>
      <c r="D10" s="1" t="s">
        <v>65</v>
      </c>
      <c r="E10" s="1">
        <v>0.113188</v>
      </c>
      <c r="F10" s="1">
        <v>0.212396</v>
      </c>
      <c r="G10" s="1" t="s">
        <v>23</v>
      </c>
      <c r="H10" s="1">
        <v>1</v>
      </c>
      <c r="I10" s="1">
        <v>41</v>
      </c>
      <c r="J10" s="1">
        <v>109</v>
      </c>
      <c r="K10" s="1">
        <v>27.777799999999999</v>
      </c>
      <c r="L10" s="1">
        <v>2</v>
      </c>
      <c r="M10" s="1">
        <v>-1</v>
      </c>
      <c r="P10" s="1">
        <v>1</v>
      </c>
      <c r="Q10" s="1">
        <v>1</v>
      </c>
    </row>
    <row r="11" spans="1:17" x14ac:dyDescent="0.6">
      <c r="A11" s="1">
        <v>0</v>
      </c>
      <c r="B11" s="1" t="s">
        <v>5</v>
      </c>
      <c r="C11" s="1" t="s">
        <v>32</v>
      </c>
      <c r="D11" s="1" t="s">
        <v>65</v>
      </c>
      <c r="E11" s="1">
        <v>0.112871</v>
      </c>
      <c r="F11" s="1">
        <v>0.212396</v>
      </c>
      <c r="G11" s="1" t="s">
        <v>23</v>
      </c>
      <c r="H11" s="1">
        <v>1</v>
      </c>
      <c r="I11" s="1">
        <v>41</v>
      </c>
      <c r="J11" s="1">
        <v>109</v>
      </c>
      <c r="K11" s="1">
        <v>27.777799999999999</v>
      </c>
      <c r="L11" s="1">
        <v>2</v>
      </c>
      <c r="M11" s="1">
        <v>-1</v>
      </c>
      <c r="P11" s="1">
        <v>1</v>
      </c>
      <c r="Q11" s="1">
        <v>1</v>
      </c>
    </row>
    <row r="12" spans="1:17" x14ac:dyDescent="0.6">
      <c r="A12" s="1">
        <v>0</v>
      </c>
      <c r="B12" s="1" t="s">
        <v>5</v>
      </c>
      <c r="C12" s="1" t="s">
        <v>33</v>
      </c>
      <c r="D12" s="1" t="s">
        <v>65</v>
      </c>
      <c r="E12" s="1">
        <v>0.113398</v>
      </c>
      <c r="F12" s="1">
        <v>0.212396</v>
      </c>
      <c r="G12" s="1" t="s">
        <v>23</v>
      </c>
      <c r="H12" s="1">
        <v>1</v>
      </c>
      <c r="I12" s="1">
        <v>41</v>
      </c>
      <c r="J12" s="1">
        <v>109</v>
      </c>
      <c r="K12" s="1">
        <v>27.777799999999999</v>
      </c>
      <c r="L12" s="1">
        <v>2</v>
      </c>
      <c r="M12" s="1">
        <v>-1</v>
      </c>
      <c r="P12" s="1">
        <v>1</v>
      </c>
      <c r="Q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Rain</vt:lpstr>
      <vt:lpstr>PMP</vt:lpstr>
      <vt:lpstr>25020230PMP</vt:lpstr>
      <vt:lpstr>25020230</vt:lpstr>
      <vt:lpstr>25020230BestFit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2025-12-17T13:49:46Z</dcterms:created>
  <dcterms:modified xsi:type="dcterms:W3CDTF">2025-12-18T15:16:00Z</dcterms:modified>
</cp:coreProperties>
</file>