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HydroTools\tool\PMP\old\"/>
    </mc:Choice>
  </mc:AlternateContent>
  <xr:revisionPtr revIDLastSave="0" documentId="13_ncr:1_{8101E2A9-0EEA-4915-BE5D-58EA8E8E78CA}" xr6:coauthVersionLast="47" xr6:coauthVersionMax="47" xr10:uidLastSave="{00000000-0000-0000-0000-000000000000}"/>
  <bookViews>
    <workbookView xWindow="-98" yWindow="-98" windowWidth="28996" windowHeight="15675" xr2:uid="{47787139-5384-4680-882A-D7262C6BD61D}"/>
  </bookViews>
  <sheets>
    <sheet name="Rain" sheetId="1" r:id="rId1"/>
    <sheet name="PMP" sheetId="2" r:id="rId2"/>
    <sheet name="25020230" sheetId="3" r:id="rId3"/>
    <sheet name="BestFil" sheetId="4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2" l="1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2" i="1"/>
</calcChain>
</file>

<file path=xl/sharedStrings.xml><?xml version="1.0" encoding="utf-8"?>
<sst xmlns="http://schemas.openxmlformats.org/spreadsheetml/2006/main" count="221" uniqueCount="146">
  <si>
    <t>Year / Station</t>
  </si>
  <si>
    <t>id</t>
  </si>
  <si>
    <t>beta</t>
  </si>
  <si>
    <t>semicircular</t>
  </si>
  <si>
    <t>empirical_dist</t>
  </si>
  <si>
    <t>station</t>
  </si>
  <si>
    <t>n</t>
  </si>
  <si>
    <t>25020230_1969_2009</t>
  </si>
  <si>
    <t>Tr</t>
  </si>
  <si>
    <t>Excel-Gumbel</t>
  </si>
  <si>
    <t>R.HydroTools-Gumbel</t>
  </si>
  <si>
    <t>R.HydroTools-Beta</t>
  </si>
  <si>
    <t>R.HydroTools-Johnsonsb</t>
  </si>
  <si>
    <t>R.HydroTools-Anglit</t>
  </si>
  <si>
    <t>p_dist</t>
  </si>
  <si>
    <t>delta</t>
  </si>
  <si>
    <t>deltao</t>
  </si>
  <si>
    <t>eval</t>
  </si>
  <si>
    <t>fit</t>
  </si>
  <si>
    <t>loc</t>
  </si>
  <si>
    <t>scale</t>
  </si>
  <si>
    <t>shape</t>
  </si>
  <si>
    <t>shape1</t>
  </si>
  <si>
    <t>shape2</t>
  </si>
  <si>
    <t>shape3</t>
  </si>
  <si>
    <t>best_fit</t>
  </si>
  <si>
    <t>best_fit_sort</t>
  </si>
  <si>
    <t>emp_blom</t>
  </si>
  <si>
    <t>Δo &gt; Δ</t>
  </si>
  <si>
    <t>emp_california</t>
  </si>
  <si>
    <t>emp_hazen</t>
  </si>
  <si>
    <t>emp_weibull</t>
  </si>
  <si>
    <t>emp_beard</t>
  </si>
  <si>
    <t>emp_chegodayev</t>
  </si>
  <si>
    <t>emp_tukey</t>
  </si>
  <si>
    <t>emp_gringorten</t>
  </si>
  <si>
    <t>emp_jenkinson</t>
  </si>
  <si>
    <t>emp_cunnane</t>
  </si>
  <si>
    <t>emp_adamowski</t>
  </si>
  <si>
    <t>tr</t>
  </si>
  <si>
    <t>prob_l</t>
  </si>
  <si>
    <t>prob_g</t>
  </si>
  <si>
    <t>alpha</t>
  </si>
  <si>
    <t>anglit</t>
  </si>
  <si>
    <t>arcsine</t>
  </si>
  <si>
    <t>argus</t>
  </si>
  <si>
    <t>betaprime</t>
  </si>
  <si>
    <t>bradford</t>
  </si>
  <si>
    <t>burr</t>
  </si>
  <si>
    <t>burr12</t>
  </si>
  <si>
    <t>cauchy</t>
  </si>
  <si>
    <t>chi2</t>
  </si>
  <si>
    <t>cosine</t>
  </si>
  <si>
    <t>crystalball</t>
  </si>
  <si>
    <t>dgamma</t>
  </si>
  <si>
    <t>erlang</t>
  </si>
  <si>
    <t>expon</t>
  </si>
  <si>
    <t>exponnorm</t>
  </si>
  <si>
    <t>exponpow</t>
  </si>
  <si>
    <t>exponweib</t>
  </si>
  <si>
    <t>f</t>
  </si>
  <si>
    <t>fatiguelife</t>
  </si>
  <si>
    <t>fisk</t>
  </si>
  <si>
    <t>foldcauchy</t>
  </si>
  <si>
    <t>foldnorm</t>
  </si>
  <si>
    <t>gamma</t>
  </si>
  <si>
    <t>gausshyper</t>
  </si>
  <si>
    <t>genexpon</t>
  </si>
  <si>
    <t>genextreme</t>
  </si>
  <si>
    <t>gengamma</t>
  </si>
  <si>
    <t>genhalflogistic</t>
  </si>
  <si>
    <t>genhyperbolic</t>
  </si>
  <si>
    <t>geninvgauss</t>
  </si>
  <si>
    <t>genlogistic</t>
  </si>
  <si>
    <t>gennorm</t>
  </si>
  <si>
    <t>genpareto</t>
  </si>
  <si>
    <t>gibrat</t>
  </si>
  <si>
    <t>gompertz</t>
  </si>
  <si>
    <t>gumbel_l</t>
  </si>
  <si>
    <t>gumbel_r</t>
  </si>
  <si>
    <t>halfcauchy</t>
  </si>
  <si>
    <t>halfgennorm</t>
  </si>
  <si>
    <t>halflogistic</t>
  </si>
  <si>
    <t>halfnorm</t>
  </si>
  <si>
    <t>hypsecant</t>
  </si>
  <si>
    <t>invgamma</t>
  </si>
  <si>
    <t>invgauss</t>
  </si>
  <si>
    <t>invweibull</t>
  </si>
  <si>
    <t>johnsonsb</t>
  </si>
  <si>
    <t>johnsonsu</t>
  </si>
  <si>
    <t>kappa3</t>
  </si>
  <si>
    <t>kappa4</t>
  </si>
  <si>
    <t>ksone</t>
  </si>
  <si>
    <t>kstwobign</t>
  </si>
  <si>
    <t>laplace</t>
  </si>
  <si>
    <t>laplace_asymmetric</t>
  </si>
  <si>
    <t>levy</t>
  </si>
  <si>
    <t>levy_l</t>
  </si>
  <si>
    <t>levy_stable</t>
  </si>
  <si>
    <t>loggamma</t>
  </si>
  <si>
    <t>logistic</t>
  </si>
  <si>
    <t>loglaplace</t>
  </si>
  <si>
    <t>lognorm</t>
  </si>
  <si>
    <t>loguniform</t>
  </si>
  <si>
    <t>lomax</t>
  </si>
  <si>
    <t>maxwell</t>
  </si>
  <si>
    <t>mielke</t>
  </si>
  <si>
    <t>moyal</t>
  </si>
  <si>
    <t>nakagami</t>
  </si>
  <si>
    <t>ncf</t>
  </si>
  <si>
    <t>nct</t>
  </si>
  <si>
    <t>ncx2</t>
  </si>
  <si>
    <t>norm</t>
  </si>
  <si>
    <t>norminvgauss</t>
  </si>
  <si>
    <t>pareto</t>
  </si>
  <si>
    <t>pearson3</t>
  </si>
  <si>
    <t>powerlaw</t>
  </si>
  <si>
    <t>powerlognorm</t>
  </si>
  <si>
    <t>powernorm</t>
  </si>
  <si>
    <t>rayleigh</t>
  </si>
  <si>
    <t>rdist</t>
  </si>
  <si>
    <t>recipinvgauss</t>
  </si>
  <si>
    <t>rel_breitwigner</t>
  </si>
  <si>
    <t>rice</t>
  </si>
  <si>
    <t>skewcauchy</t>
  </si>
  <si>
    <t>skewnorm</t>
  </si>
  <si>
    <t>t</t>
  </si>
  <si>
    <t>trapezoid</t>
  </si>
  <si>
    <t>triang</t>
  </si>
  <si>
    <t>truncexpon</t>
  </si>
  <si>
    <t>truncnorm</t>
  </si>
  <si>
    <t>truncpareto</t>
  </si>
  <si>
    <t>truncweibull_min</t>
  </si>
  <si>
    <t>tukeylambda</t>
  </si>
  <si>
    <t>uniform</t>
  </si>
  <si>
    <t>vonmises</t>
  </si>
  <si>
    <t>vonmises_line</t>
  </si>
  <si>
    <t>wald</t>
  </si>
  <si>
    <t>weibull_max</t>
  </si>
  <si>
    <t>weibull_min</t>
  </si>
  <si>
    <t>wrapcauchy</t>
  </si>
  <si>
    <t>zzgumbel</t>
  </si>
  <si>
    <t>zzloggumbel</t>
  </si>
  <si>
    <t>risk_rate</t>
  </si>
  <si>
    <t>inf</t>
  </si>
  <si>
    <t>R.HydroTools-Semicircular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</si>
</sst>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1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PMP!$B$3</c:f>
              <c:strCache>
                <c:ptCount val="1"/>
                <c:pt idx="0">
                  <c:v>2502023-Excel-Gumbel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PMP!$B$4:$B$9</c:f>
              <c:numCache>
                <c:formatCode>General</c:formatCode>
                <c:ptCount val="6"/>
                <c:pt idx="0">
                  <c:v>103</c:v>
                </c:pt>
                <c:pt idx="1">
                  <c:v>132</c:v>
                </c:pt>
                <c:pt idx="2">
                  <c:v>155</c:v>
                </c:pt>
                <c:pt idx="3">
                  <c:v>184</c:v>
                </c:pt>
                <c:pt idx="4">
                  <c:v>205</c:v>
                </c:pt>
                <c:pt idx="5">
                  <c:v>226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A2-4502-9742-A60DED037D90}"/>
            </c:ext>
          </c:extLst>
        </c:ser>
        <c:ser>
          <c:idx val="1"/>
          <c:order val="1"/>
          <c:tx>
            <c:strRef>
              <c:f>PMP!$O$3</c:f>
              <c:strCache>
                <c:ptCount val="1"/>
                <c:pt idx="0">
                  <c:v>25020230-R.HydroTools-Gumbel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PMP!$O$4:$O$9</c:f>
              <c:numCache>
                <c:formatCode>General</c:formatCode>
                <c:ptCount val="6"/>
                <c:pt idx="0">
                  <c:v>122.61199999999999</c:v>
                </c:pt>
                <c:pt idx="1">
                  <c:v>147.001</c:v>
                </c:pt>
                <c:pt idx="2">
                  <c:v>166.86600000000001</c:v>
                </c:pt>
                <c:pt idx="3">
                  <c:v>191.965</c:v>
                </c:pt>
                <c:pt idx="4">
                  <c:v>210.584</c:v>
                </c:pt>
                <c:pt idx="5">
                  <c:v>229.06700000000001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4A2-4502-9742-A60DED037D90}"/>
            </c:ext>
          </c:extLst>
        </c:ser>
        <c:ser>
          <c:idx val="2"/>
          <c:order val="2"/>
          <c:tx>
            <c:strRef>
              <c:f>PMP!$P$3</c:f>
              <c:strCache>
                <c:ptCount val="1"/>
                <c:pt idx="0">
                  <c:v>25020230-R.HydroTools-Beta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PMP!$P$4:$P$9</c:f>
              <c:numCache>
                <c:formatCode>General</c:formatCode>
                <c:ptCount val="6"/>
                <c:pt idx="0">
                  <c:v>116.04600000000001</c:v>
                </c:pt>
                <c:pt idx="1">
                  <c:v>140.715</c:v>
                </c:pt>
                <c:pt idx="2">
                  <c:v>150.77000000000001</c:v>
                </c:pt>
                <c:pt idx="3">
                  <c:v>156.495</c:v>
                </c:pt>
                <c:pt idx="4">
                  <c:v>158.31200000000001</c:v>
                </c:pt>
                <c:pt idx="5">
                  <c:v>159.18700000000001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4A2-4502-9742-A60DED037D90}"/>
            </c:ext>
          </c:extLst>
        </c:ser>
        <c:ser>
          <c:idx val="3"/>
          <c:order val="3"/>
          <c:tx>
            <c:strRef>
              <c:f>PMP!$Q$3</c:f>
              <c:strCache>
                <c:ptCount val="1"/>
                <c:pt idx="0">
                  <c:v>25020230-R.HydroTools-Johnsonsb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PMP!$Q$4:$Q$9</c:f>
              <c:numCache>
                <c:formatCode>General</c:formatCode>
                <c:ptCount val="6"/>
                <c:pt idx="0">
                  <c:v>118.82899999999999</c:v>
                </c:pt>
                <c:pt idx="1">
                  <c:v>141.88900000000001</c:v>
                </c:pt>
                <c:pt idx="2">
                  <c:v>150.74</c:v>
                </c:pt>
                <c:pt idx="3">
                  <c:v>156.07900000000001</c:v>
                </c:pt>
                <c:pt idx="4">
                  <c:v>158.08099999999999</c:v>
                </c:pt>
                <c:pt idx="5">
                  <c:v>159.268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4A2-4502-9742-A60DED037D90}"/>
            </c:ext>
          </c:extLst>
        </c:ser>
        <c:ser>
          <c:idx val="4"/>
          <c:order val="4"/>
          <c:tx>
            <c:strRef>
              <c:f>PMP!$R$3</c:f>
              <c:strCache>
                <c:ptCount val="1"/>
                <c:pt idx="0">
                  <c:v>25020230-R.HydroTools-Anglit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PMP!$R$4:$R$9</c:f>
              <c:numCache>
                <c:formatCode>General</c:formatCode>
                <c:ptCount val="6"/>
                <c:pt idx="0">
                  <c:v>114.28700000000001</c:v>
                </c:pt>
                <c:pt idx="1">
                  <c:v>138.881</c:v>
                </c:pt>
                <c:pt idx="2">
                  <c:v>152.80099999999999</c:v>
                </c:pt>
                <c:pt idx="3">
                  <c:v>164.61099999999999</c:v>
                </c:pt>
                <c:pt idx="4">
                  <c:v>170.44399999999999</c:v>
                </c:pt>
                <c:pt idx="5">
                  <c:v>174.53800000000001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4A2-4502-9742-A60DED037D90}"/>
            </c:ext>
          </c:extLst>
        </c:ser>
        <c:ser>
          <c:idx val="5"/>
          <c:order val="5"/>
          <c:tx>
            <c:strRef>
              <c:f>PMP!$S$3</c:f>
              <c:strCache>
                <c:ptCount val="1"/>
                <c:pt idx="0">
                  <c:v>25020230-R.HydroTools-Semicircular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PMP!$S$4:$S$9</c:f>
              <c:numCache>
                <c:formatCode>General</c:formatCode>
                <c:ptCount val="6"/>
                <c:pt idx="0">
                  <c:v>114.79300000000001</c:v>
                </c:pt>
                <c:pt idx="1">
                  <c:v>140.30500000000001</c:v>
                </c:pt>
                <c:pt idx="2">
                  <c:v>153.39599999999999</c:v>
                </c:pt>
                <c:pt idx="3">
                  <c:v>163.16900000000001</c:v>
                </c:pt>
                <c:pt idx="4">
                  <c:v>167.36500000000001</c:v>
                </c:pt>
                <c:pt idx="5">
                  <c:v>169.98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6E-42B9-A160-D3A373CE2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9679200"/>
        <c:axId val="489674880"/>
      </c:scatterChart>
      <c:valAx>
        <c:axId val="48967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89674880"/>
        <c:crosses val="autoZero"/>
        <c:crossBetween val="midCat"/>
      </c:valAx>
      <c:valAx>
        <c:axId val="489674880"/>
        <c:scaling>
          <c:orientation val="minMax"/>
          <c:min val="1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89679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117311</xdr:colOff>
      <xdr:row>10</xdr:row>
      <xdr:rowOff>82826</xdr:rowOff>
    </xdr:from>
    <xdr:to>
      <xdr:col>12</xdr:col>
      <xdr:colOff>426555</xdr:colOff>
      <xdr:row>22</xdr:row>
      <xdr:rowOff>33130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B77B0-162F-A9D5-023D-32098EA7E1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C9383-2241-4A46-BD2D-60D7F9738A4F}">
  <dimension ref="A1:Q52"/>
  <sheetViews>
    <sheetView showGridLines="0" tabSelected="1" zoomScale="115" zoomScaleNormal="115" workbookViewId="0">
      <pane ySplit="1" topLeftCell="A2" activePane="bottomLeft" state="frozen"/>
      <selection pane="bottomLeft" activeCell="A2" sqref="A2"/>
    </sheetView>
  </sheetViews>
  <sheetFormatPr defaultRowHeight="16.5" x14ac:dyDescent="0.6"/>
  <cols>
    <col min="1" max="1" width="16.59765625" style="1" customWidth="1"/>
    <col min="2" max="2" width="11.46484375" style="1" customWidth="1"/>
    <col min="3" max="16384" width="9.06640625" style="1"/>
  </cols>
  <sheetData>
    <row r="1" spans="1:17" x14ac:dyDescent="0.6">
      <c r="A1" s="1" t="s">
        <v>0</v>
      </c>
      <c r="B1" s="1">
        <v>2502023</v>
      </c>
      <c r="C1" s="1">
        <v>2502026</v>
      </c>
      <c r="D1" s="1">
        <v>2502028</v>
      </c>
      <c r="E1" s="1">
        <v>2502069</v>
      </c>
      <c r="F1" s="1">
        <v>2802008</v>
      </c>
      <c r="G1" s="1">
        <v>2802023</v>
      </c>
      <c r="H1" s="1">
        <v>2802026</v>
      </c>
      <c r="I1" s="1">
        <v>2802044</v>
      </c>
      <c r="J1" s="1">
        <v>2802060</v>
      </c>
      <c r="K1" s="1">
        <v>2802508</v>
      </c>
      <c r="L1" s="1">
        <v>2802509</v>
      </c>
      <c r="M1" s="1">
        <v>2803504</v>
      </c>
      <c r="N1" s="1">
        <v>2804031</v>
      </c>
      <c r="O1" s="1">
        <v>2804035</v>
      </c>
      <c r="P1" s="1">
        <v>2804504</v>
      </c>
    </row>
    <row r="2" spans="1:17" x14ac:dyDescent="0.6">
      <c r="A2" s="1">
        <v>1959</v>
      </c>
      <c r="F2" s="1">
        <v>65</v>
      </c>
      <c r="I2" s="1">
        <v>135</v>
      </c>
      <c r="Q2" s="1" t="str">
        <f>_xlfn.CONCAT(A2,", ",B2)</f>
        <v xml:space="preserve">1959, </v>
      </c>
    </row>
    <row r="3" spans="1:17" x14ac:dyDescent="0.6">
      <c r="A3" s="1">
        <v>1960</v>
      </c>
      <c r="F3" s="1">
        <v>53</v>
      </c>
      <c r="I3" s="1">
        <v>100</v>
      </c>
      <c r="Q3" s="1" t="str">
        <f t="shared" ref="Q3:Q52" si="0">_xlfn.CONCAT(A3,", ",B3)</f>
        <v xml:space="preserve">1960, </v>
      </c>
    </row>
    <row r="4" spans="1:17" x14ac:dyDescent="0.6">
      <c r="A4" s="1">
        <v>1961</v>
      </c>
      <c r="I4" s="1">
        <v>52</v>
      </c>
      <c r="Q4" s="1" t="str">
        <f t="shared" si="0"/>
        <v xml:space="preserve">1961, </v>
      </c>
    </row>
    <row r="5" spans="1:17" x14ac:dyDescent="0.6">
      <c r="A5" s="1">
        <v>1962</v>
      </c>
      <c r="F5" s="1">
        <v>114</v>
      </c>
      <c r="Q5" s="1" t="str">
        <f t="shared" si="0"/>
        <v xml:space="preserve">1962, </v>
      </c>
    </row>
    <row r="6" spans="1:17" x14ac:dyDescent="0.6">
      <c r="A6" s="1">
        <v>1963</v>
      </c>
      <c r="F6" s="1">
        <v>79</v>
      </c>
      <c r="I6" s="1">
        <v>85</v>
      </c>
      <c r="Q6" s="1" t="str">
        <f t="shared" si="0"/>
        <v xml:space="preserve">1963, </v>
      </c>
    </row>
    <row r="7" spans="1:17" x14ac:dyDescent="0.6">
      <c r="A7" s="1">
        <v>1964</v>
      </c>
      <c r="F7" s="1">
        <v>72</v>
      </c>
      <c r="I7" s="1">
        <v>73</v>
      </c>
      <c r="Q7" s="1" t="str">
        <f t="shared" si="0"/>
        <v xml:space="preserve">1964, </v>
      </c>
    </row>
    <row r="8" spans="1:17" x14ac:dyDescent="0.6">
      <c r="A8" s="1">
        <v>1965</v>
      </c>
      <c r="F8" s="1">
        <v>11</v>
      </c>
      <c r="I8" s="1">
        <v>117</v>
      </c>
      <c r="Q8" s="1" t="str">
        <f t="shared" si="0"/>
        <v xml:space="preserve">1965, </v>
      </c>
    </row>
    <row r="9" spans="1:17" x14ac:dyDescent="0.6">
      <c r="A9" s="1">
        <v>1966</v>
      </c>
      <c r="Q9" s="1" t="str">
        <f t="shared" si="0"/>
        <v xml:space="preserve">1966, </v>
      </c>
    </row>
    <row r="10" spans="1:17" x14ac:dyDescent="0.6">
      <c r="A10" s="1">
        <v>1967</v>
      </c>
      <c r="I10" s="1">
        <v>79</v>
      </c>
      <c r="Q10" s="1" t="str">
        <f t="shared" si="0"/>
        <v xml:space="preserve">1967, </v>
      </c>
    </row>
    <row r="11" spans="1:17" x14ac:dyDescent="0.6">
      <c r="A11" s="1">
        <v>1968</v>
      </c>
      <c r="F11" s="1">
        <v>72</v>
      </c>
      <c r="I11" s="1">
        <v>95</v>
      </c>
      <c r="Q11" s="1" t="str">
        <f t="shared" si="0"/>
        <v xml:space="preserve">1968, </v>
      </c>
    </row>
    <row r="12" spans="1:17" x14ac:dyDescent="0.6">
      <c r="A12" s="1">
        <v>1969</v>
      </c>
      <c r="B12" s="1">
        <v>82</v>
      </c>
      <c r="C12" s="1">
        <v>112</v>
      </c>
      <c r="D12" s="1">
        <v>132</v>
      </c>
      <c r="F12" s="1">
        <v>99</v>
      </c>
      <c r="G12" s="1">
        <v>90</v>
      </c>
      <c r="H12" s="1">
        <v>92</v>
      </c>
      <c r="I12" s="1">
        <v>97</v>
      </c>
      <c r="Q12" s="1" t="str">
        <f t="shared" si="0"/>
        <v>1969, 82</v>
      </c>
    </row>
    <row r="13" spans="1:17" x14ac:dyDescent="0.6">
      <c r="A13" s="1">
        <v>1970</v>
      </c>
      <c r="B13" s="1">
        <v>82</v>
      </c>
      <c r="C13" s="1">
        <v>100</v>
      </c>
      <c r="D13" s="1">
        <v>115</v>
      </c>
      <c r="F13" s="1">
        <v>100</v>
      </c>
      <c r="G13" s="1">
        <v>86</v>
      </c>
      <c r="H13" s="1">
        <v>160</v>
      </c>
      <c r="I13" s="1">
        <v>133</v>
      </c>
      <c r="Q13" s="1" t="str">
        <f t="shared" si="0"/>
        <v>1970, 82</v>
      </c>
    </row>
    <row r="14" spans="1:17" x14ac:dyDescent="0.6">
      <c r="A14" s="1">
        <v>1971</v>
      </c>
      <c r="B14" s="1">
        <v>125</v>
      </c>
      <c r="C14" s="1">
        <v>85</v>
      </c>
      <c r="D14" s="1">
        <v>100</v>
      </c>
      <c r="F14" s="1">
        <v>80</v>
      </c>
      <c r="G14" s="1">
        <v>114</v>
      </c>
      <c r="H14" s="1">
        <v>96</v>
      </c>
      <c r="I14" s="1">
        <v>103</v>
      </c>
      <c r="Q14" s="1" t="str">
        <f t="shared" si="0"/>
        <v>1971, 125</v>
      </c>
    </row>
    <row r="15" spans="1:17" x14ac:dyDescent="0.6">
      <c r="A15" s="1">
        <v>1972</v>
      </c>
      <c r="B15" s="1">
        <v>80</v>
      </c>
      <c r="C15" s="1">
        <v>72</v>
      </c>
      <c r="D15" s="1">
        <v>97</v>
      </c>
      <c r="F15" s="1">
        <v>100</v>
      </c>
      <c r="G15" s="1">
        <v>53</v>
      </c>
      <c r="I15" s="1">
        <v>136</v>
      </c>
      <c r="M15" s="1">
        <v>75</v>
      </c>
      <c r="O15" s="1">
        <v>47</v>
      </c>
      <c r="Q15" s="1" t="str">
        <f t="shared" si="0"/>
        <v>1972, 80</v>
      </c>
    </row>
    <row r="16" spans="1:17" x14ac:dyDescent="0.6">
      <c r="A16" s="1">
        <v>1973</v>
      </c>
      <c r="B16" s="1">
        <v>130</v>
      </c>
      <c r="C16" s="1">
        <v>128</v>
      </c>
      <c r="D16" s="1">
        <v>116</v>
      </c>
      <c r="E16" s="1">
        <v>113</v>
      </c>
      <c r="F16" s="1">
        <v>96</v>
      </c>
      <c r="G16" s="1">
        <v>130</v>
      </c>
      <c r="I16" s="1">
        <v>134</v>
      </c>
      <c r="M16" s="1">
        <v>52</v>
      </c>
      <c r="O16" s="1">
        <v>70</v>
      </c>
      <c r="Q16" s="1" t="str">
        <f t="shared" si="0"/>
        <v>1973, 130</v>
      </c>
    </row>
    <row r="17" spans="1:17" x14ac:dyDescent="0.6">
      <c r="A17" s="1">
        <v>1974</v>
      </c>
      <c r="B17" s="1">
        <v>135</v>
      </c>
      <c r="C17" s="1">
        <v>155</v>
      </c>
      <c r="D17" s="1">
        <v>92</v>
      </c>
      <c r="E17" s="1">
        <v>80</v>
      </c>
      <c r="F17" s="1">
        <v>55</v>
      </c>
      <c r="G17" s="1">
        <v>109</v>
      </c>
      <c r="I17" s="1">
        <v>76</v>
      </c>
      <c r="M17" s="1">
        <v>65</v>
      </c>
      <c r="O17" s="1">
        <v>90</v>
      </c>
      <c r="Q17" s="1" t="str">
        <f t="shared" si="0"/>
        <v>1974, 135</v>
      </c>
    </row>
    <row r="18" spans="1:17" x14ac:dyDescent="0.6">
      <c r="A18" s="1">
        <v>1975</v>
      </c>
      <c r="B18" s="1">
        <v>139</v>
      </c>
      <c r="C18" s="1">
        <v>172</v>
      </c>
      <c r="D18" s="1">
        <v>104</v>
      </c>
      <c r="E18" s="1">
        <v>80</v>
      </c>
      <c r="F18" s="1">
        <v>130</v>
      </c>
      <c r="G18" s="1">
        <v>115</v>
      </c>
      <c r="I18" s="1">
        <v>100</v>
      </c>
      <c r="M18" s="1">
        <v>73</v>
      </c>
      <c r="O18" s="1">
        <v>140</v>
      </c>
      <c r="Q18" s="1" t="str">
        <f t="shared" si="0"/>
        <v>1975, 139</v>
      </c>
    </row>
    <row r="19" spans="1:17" x14ac:dyDescent="0.6">
      <c r="A19" s="1">
        <v>1976</v>
      </c>
      <c r="B19" s="1">
        <v>80</v>
      </c>
      <c r="C19" s="1">
        <v>123</v>
      </c>
      <c r="D19" s="1">
        <v>82</v>
      </c>
      <c r="E19" s="1">
        <v>92</v>
      </c>
      <c r="F19" s="1">
        <v>82</v>
      </c>
      <c r="G19" s="1">
        <v>100</v>
      </c>
      <c r="I19" s="1">
        <v>84</v>
      </c>
      <c r="M19" s="1">
        <v>68</v>
      </c>
      <c r="O19" s="1">
        <v>151</v>
      </c>
      <c r="Q19" s="1" t="str">
        <f t="shared" si="0"/>
        <v>1976, 80</v>
      </c>
    </row>
    <row r="20" spans="1:17" x14ac:dyDescent="0.6">
      <c r="A20" s="1">
        <v>1977</v>
      </c>
      <c r="B20" s="1">
        <v>135</v>
      </c>
      <c r="C20" s="1">
        <v>115</v>
      </c>
      <c r="D20" s="1">
        <v>90</v>
      </c>
      <c r="E20" s="1">
        <v>57</v>
      </c>
      <c r="G20" s="1">
        <v>90</v>
      </c>
      <c r="I20" s="1">
        <v>86</v>
      </c>
      <c r="K20" s="1">
        <v>98</v>
      </c>
      <c r="M20" s="1">
        <v>28</v>
      </c>
      <c r="N20" s="1">
        <v>76</v>
      </c>
      <c r="O20" s="1">
        <v>102</v>
      </c>
      <c r="Q20" s="1" t="str">
        <f t="shared" si="0"/>
        <v>1977, 135</v>
      </c>
    </row>
    <row r="21" spans="1:17" x14ac:dyDescent="0.6">
      <c r="A21" s="1">
        <v>1978</v>
      </c>
      <c r="B21" s="1">
        <v>142</v>
      </c>
      <c r="C21" s="1">
        <v>170</v>
      </c>
      <c r="D21" s="1">
        <v>130</v>
      </c>
      <c r="E21" s="1">
        <v>55</v>
      </c>
      <c r="G21" s="1">
        <v>100</v>
      </c>
      <c r="I21" s="1">
        <v>93</v>
      </c>
      <c r="K21" s="1">
        <v>72</v>
      </c>
      <c r="L21" s="1">
        <v>78</v>
      </c>
      <c r="M21" s="1">
        <v>99</v>
      </c>
      <c r="O21" s="1">
        <v>97</v>
      </c>
      <c r="Q21" s="1" t="str">
        <f t="shared" si="0"/>
        <v>1978, 142</v>
      </c>
    </row>
    <row r="22" spans="1:17" x14ac:dyDescent="0.6">
      <c r="A22" s="1">
        <v>1979</v>
      </c>
      <c r="B22" s="1">
        <v>151</v>
      </c>
      <c r="C22" s="1">
        <v>136</v>
      </c>
      <c r="D22" s="1">
        <v>116</v>
      </c>
      <c r="E22" s="1">
        <v>66</v>
      </c>
      <c r="F22" s="1">
        <v>66</v>
      </c>
      <c r="G22" s="1">
        <v>93</v>
      </c>
      <c r="I22" s="1">
        <v>105</v>
      </c>
      <c r="K22" s="1">
        <v>111</v>
      </c>
      <c r="L22" s="1">
        <v>78</v>
      </c>
      <c r="M22" s="1">
        <v>121</v>
      </c>
      <c r="O22" s="1">
        <v>140</v>
      </c>
      <c r="Q22" s="1" t="str">
        <f t="shared" si="0"/>
        <v>1979, 151</v>
      </c>
    </row>
    <row r="23" spans="1:17" x14ac:dyDescent="0.6">
      <c r="A23" s="1">
        <v>1980</v>
      </c>
      <c r="B23" s="1">
        <v>108</v>
      </c>
      <c r="C23" s="1">
        <v>105</v>
      </c>
      <c r="D23" s="1">
        <v>130</v>
      </c>
      <c r="E23" s="1">
        <v>135</v>
      </c>
      <c r="F23" s="1">
        <v>90</v>
      </c>
      <c r="G23" s="1">
        <v>127</v>
      </c>
      <c r="I23" s="1">
        <v>126</v>
      </c>
      <c r="K23" s="1">
        <v>121</v>
      </c>
      <c r="L23" s="1">
        <v>104</v>
      </c>
      <c r="M23" s="1">
        <v>72</v>
      </c>
      <c r="O23" s="1">
        <v>80</v>
      </c>
      <c r="Q23" s="1" t="str">
        <f t="shared" si="0"/>
        <v>1980, 108</v>
      </c>
    </row>
    <row r="24" spans="1:17" x14ac:dyDescent="0.6">
      <c r="A24" s="1">
        <v>1981</v>
      </c>
      <c r="B24" s="1">
        <v>150</v>
      </c>
      <c r="C24" s="1">
        <v>100</v>
      </c>
      <c r="D24" s="1">
        <v>78</v>
      </c>
      <c r="E24" s="1">
        <v>117</v>
      </c>
      <c r="F24" s="1">
        <v>90</v>
      </c>
      <c r="G24" s="1">
        <v>137</v>
      </c>
      <c r="I24" s="1">
        <v>106</v>
      </c>
      <c r="J24" s="1">
        <v>28</v>
      </c>
      <c r="K24" s="1">
        <v>112</v>
      </c>
      <c r="L24" s="1">
        <v>88</v>
      </c>
      <c r="M24" s="1">
        <v>96</v>
      </c>
      <c r="N24" s="1">
        <v>136</v>
      </c>
      <c r="O24" s="1">
        <v>99</v>
      </c>
      <c r="Q24" s="1" t="str">
        <f t="shared" si="0"/>
        <v>1981, 150</v>
      </c>
    </row>
    <row r="25" spans="1:17" x14ac:dyDescent="0.6">
      <c r="A25" s="1">
        <v>1982</v>
      </c>
      <c r="B25" s="1">
        <v>148</v>
      </c>
      <c r="C25" s="1">
        <v>80</v>
      </c>
      <c r="D25" s="1">
        <v>150</v>
      </c>
      <c r="E25" s="1">
        <v>72</v>
      </c>
      <c r="F25" s="1">
        <v>60</v>
      </c>
      <c r="G25" s="1">
        <v>110</v>
      </c>
      <c r="I25" s="1">
        <v>84</v>
      </c>
      <c r="J25" s="1">
        <v>118</v>
      </c>
      <c r="K25" s="1">
        <v>105</v>
      </c>
      <c r="L25" s="1">
        <v>64</v>
      </c>
      <c r="M25" s="1">
        <v>106</v>
      </c>
      <c r="N25" s="1">
        <v>94</v>
      </c>
      <c r="O25" s="1">
        <v>112</v>
      </c>
      <c r="Q25" s="1" t="str">
        <f t="shared" si="0"/>
        <v>1982, 148</v>
      </c>
    </row>
    <row r="26" spans="1:17" x14ac:dyDescent="0.6">
      <c r="A26" s="1">
        <v>1983</v>
      </c>
      <c r="B26" s="1">
        <v>120</v>
      </c>
      <c r="C26" s="1">
        <v>149</v>
      </c>
      <c r="D26" s="1">
        <v>103</v>
      </c>
      <c r="E26" s="1">
        <v>96</v>
      </c>
      <c r="F26" s="1">
        <v>106</v>
      </c>
      <c r="G26" s="1">
        <v>115</v>
      </c>
      <c r="I26" s="1">
        <v>101</v>
      </c>
      <c r="J26" s="1">
        <v>80</v>
      </c>
      <c r="K26" s="1">
        <v>90</v>
      </c>
      <c r="L26" s="1">
        <v>133</v>
      </c>
      <c r="M26" s="1">
        <v>56</v>
      </c>
      <c r="N26" s="1">
        <v>109</v>
      </c>
      <c r="O26" s="1">
        <v>120</v>
      </c>
      <c r="Q26" s="1" t="str">
        <f t="shared" si="0"/>
        <v>1983, 120</v>
      </c>
    </row>
    <row r="27" spans="1:17" x14ac:dyDescent="0.6">
      <c r="A27" s="1">
        <v>1984</v>
      </c>
      <c r="B27" s="1">
        <v>155</v>
      </c>
      <c r="C27" s="1">
        <v>145</v>
      </c>
      <c r="D27" s="1">
        <v>150</v>
      </c>
      <c r="E27" s="1">
        <v>116</v>
      </c>
      <c r="F27" s="1">
        <v>230</v>
      </c>
      <c r="G27" s="1">
        <v>80</v>
      </c>
      <c r="I27" s="1">
        <v>98</v>
      </c>
      <c r="J27" s="1">
        <v>67</v>
      </c>
      <c r="K27" s="1">
        <v>119</v>
      </c>
      <c r="L27" s="1">
        <v>117</v>
      </c>
      <c r="M27" s="1">
        <v>90</v>
      </c>
      <c r="N27" s="1">
        <v>95</v>
      </c>
      <c r="O27" s="1">
        <v>84</v>
      </c>
      <c r="Q27" s="1" t="str">
        <f t="shared" si="0"/>
        <v>1984, 155</v>
      </c>
    </row>
    <row r="28" spans="1:17" x14ac:dyDescent="0.6">
      <c r="A28" s="1">
        <v>1985</v>
      </c>
      <c r="B28" s="1">
        <v>122</v>
      </c>
      <c r="C28" s="1">
        <v>110</v>
      </c>
      <c r="D28" s="1">
        <v>98</v>
      </c>
      <c r="E28" s="1">
        <v>70</v>
      </c>
      <c r="F28" s="1">
        <v>162</v>
      </c>
      <c r="G28" s="1">
        <v>127</v>
      </c>
      <c r="I28" s="1">
        <v>119</v>
      </c>
      <c r="J28" s="1">
        <v>97</v>
      </c>
      <c r="K28" s="1">
        <v>130</v>
      </c>
      <c r="L28" s="1">
        <v>123</v>
      </c>
      <c r="M28" s="1">
        <v>114</v>
      </c>
      <c r="N28" s="1">
        <v>92</v>
      </c>
      <c r="O28" s="1">
        <v>100</v>
      </c>
      <c r="Q28" s="1" t="str">
        <f t="shared" si="0"/>
        <v>1985, 122</v>
      </c>
    </row>
    <row r="29" spans="1:17" x14ac:dyDescent="0.6">
      <c r="A29" s="1">
        <v>1986</v>
      </c>
      <c r="B29" s="1">
        <v>136</v>
      </c>
      <c r="C29" s="1">
        <v>52</v>
      </c>
      <c r="D29" s="1">
        <v>55</v>
      </c>
      <c r="E29" s="1">
        <v>53</v>
      </c>
      <c r="F29" s="1">
        <v>80</v>
      </c>
      <c r="G29" s="1">
        <v>136</v>
      </c>
      <c r="I29" s="1">
        <v>114</v>
      </c>
      <c r="J29" s="1">
        <v>98</v>
      </c>
      <c r="K29" s="1">
        <v>71</v>
      </c>
      <c r="L29" s="1">
        <v>81</v>
      </c>
      <c r="M29" s="1">
        <v>104</v>
      </c>
      <c r="N29" s="1">
        <v>87</v>
      </c>
      <c r="O29" s="1">
        <v>75</v>
      </c>
      <c r="Q29" s="1" t="str">
        <f t="shared" si="0"/>
        <v>1986, 136</v>
      </c>
    </row>
    <row r="30" spans="1:17" x14ac:dyDescent="0.6">
      <c r="A30" s="1">
        <v>1987</v>
      </c>
      <c r="B30" s="1">
        <v>46</v>
      </c>
      <c r="C30" s="1">
        <v>170</v>
      </c>
      <c r="D30" s="1">
        <v>90</v>
      </c>
      <c r="E30" s="1">
        <v>15</v>
      </c>
      <c r="G30" s="1">
        <v>142</v>
      </c>
      <c r="I30" s="1">
        <v>123</v>
      </c>
      <c r="J30" s="1">
        <v>93</v>
      </c>
      <c r="K30" s="1">
        <v>90</v>
      </c>
      <c r="L30" s="1">
        <v>125</v>
      </c>
      <c r="M30" s="1">
        <v>91</v>
      </c>
      <c r="N30" s="1">
        <v>72</v>
      </c>
      <c r="O30" s="1">
        <v>123</v>
      </c>
      <c r="Q30" s="1" t="str">
        <f t="shared" si="0"/>
        <v>1987, 46</v>
      </c>
    </row>
    <row r="31" spans="1:17" x14ac:dyDescent="0.6">
      <c r="A31" s="1">
        <v>1988</v>
      </c>
      <c r="B31" s="1">
        <v>95</v>
      </c>
      <c r="C31" s="1">
        <v>105</v>
      </c>
      <c r="D31" s="1">
        <v>88</v>
      </c>
      <c r="E31" s="1">
        <v>125</v>
      </c>
      <c r="F31" s="1">
        <v>75</v>
      </c>
      <c r="G31" s="1">
        <v>87</v>
      </c>
      <c r="I31" s="1">
        <v>134</v>
      </c>
      <c r="J31" s="1">
        <v>82</v>
      </c>
      <c r="K31" s="1">
        <v>147</v>
      </c>
      <c r="L31" s="1">
        <v>92</v>
      </c>
      <c r="M31" s="1">
        <v>135</v>
      </c>
      <c r="N31" s="1">
        <v>160</v>
      </c>
      <c r="O31" s="1">
        <v>90</v>
      </c>
      <c r="P31" s="1">
        <v>85</v>
      </c>
      <c r="Q31" s="1" t="str">
        <f t="shared" si="0"/>
        <v>1988, 95</v>
      </c>
    </row>
    <row r="32" spans="1:17" x14ac:dyDescent="0.6">
      <c r="A32" s="1">
        <v>1989</v>
      </c>
      <c r="B32" s="1">
        <v>85</v>
      </c>
      <c r="C32" s="1">
        <v>115</v>
      </c>
      <c r="D32" s="1">
        <v>77</v>
      </c>
      <c r="E32" s="1">
        <v>145</v>
      </c>
      <c r="F32" s="1">
        <v>70</v>
      </c>
      <c r="G32" s="1">
        <v>67</v>
      </c>
      <c r="I32" s="1">
        <v>84</v>
      </c>
      <c r="J32" s="1">
        <v>93</v>
      </c>
      <c r="K32" s="1">
        <v>70</v>
      </c>
      <c r="L32" s="1">
        <v>115</v>
      </c>
      <c r="M32" s="1">
        <v>90</v>
      </c>
      <c r="N32" s="1">
        <v>82</v>
      </c>
      <c r="O32" s="1">
        <v>74</v>
      </c>
      <c r="P32" s="1">
        <v>67</v>
      </c>
      <c r="Q32" s="1" t="str">
        <f t="shared" si="0"/>
        <v>1989, 85</v>
      </c>
    </row>
    <row r="33" spans="1:17" x14ac:dyDescent="0.6">
      <c r="A33" s="1">
        <v>1990</v>
      </c>
      <c r="B33" s="1">
        <v>89</v>
      </c>
      <c r="C33" s="1">
        <v>63</v>
      </c>
      <c r="D33" s="1">
        <v>93</v>
      </c>
      <c r="E33" s="1">
        <v>80</v>
      </c>
      <c r="F33" s="1">
        <v>70</v>
      </c>
      <c r="G33" s="1">
        <v>34</v>
      </c>
      <c r="I33" s="1">
        <v>86</v>
      </c>
      <c r="J33" s="1">
        <v>113</v>
      </c>
      <c r="K33" s="1">
        <v>72</v>
      </c>
      <c r="L33" s="1">
        <v>122</v>
      </c>
      <c r="M33" s="1">
        <v>84</v>
      </c>
      <c r="N33" s="1">
        <v>95</v>
      </c>
      <c r="O33" s="1">
        <v>85</v>
      </c>
      <c r="P33" s="1">
        <v>68</v>
      </c>
      <c r="Q33" s="1" t="str">
        <f t="shared" si="0"/>
        <v>1990, 89</v>
      </c>
    </row>
    <row r="34" spans="1:17" x14ac:dyDescent="0.6">
      <c r="A34" s="1">
        <v>1991</v>
      </c>
      <c r="B34" s="1">
        <v>65</v>
      </c>
      <c r="C34" s="1">
        <v>130</v>
      </c>
      <c r="D34" s="1">
        <v>90</v>
      </c>
      <c r="E34" s="1">
        <v>80</v>
      </c>
      <c r="F34" s="1">
        <v>70</v>
      </c>
      <c r="G34" s="1">
        <v>94</v>
      </c>
      <c r="I34" s="1">
        <v>75</v>
      </c>
      <c r="J34" s="1">
        <v>112</v>
      </c>
      <c r="K34" s="1">
        <v>72</v>
      </c>
      <c r="L34" s="1">
        <v>75</v>
      </c>
      <c r="M34" s="1">
        <v>84</v>
      </c>
      <c r="N34" s="1">
        <v>90</v>
      </c>
      <c r="O34" s="1">
        <v>108</v>
      </c>
      <c r="Q34" s="1" t="str">
        <f t="shared" si="0"/>
        <v>1991, 65</v>
      </c>
    </row>
    <row r="35" spans="1:17" x14ac:dyDescent="0.6">
      <c r="A35" s="1">
        <v>1992</v>
      </c>
      <c r="B35" s="1">
        <v>62</v>
      </c>
      <c r="C35" s="1">
        <v>147</v>
      </c>
      <c r="D35" s="1">
        <v>105</v>
      </c>
      <c r="E35" s="1">
        <v>90</v>
      </c>
      <c r="F35" s="1">
        <v>77</v>
      </c>
      <c r="G35" s="1">
        <v>91</v>
      </c>
      <c r="I35" s="1">
        <v>81</v>
      </c>
      <c r="J35" s="1">
        <v>75</v>
      </c>
      <c r="K35" s="1">
        <v>117</v>
      </c>
      <c r="L35" s="1">
        <v>102</v>
      </c>
      <c r="M35" s="1">
        <v>83</v>
      </c>
      <c r="N35" s="1">
        <v>74</v>
      </c>
      <c r="O35" s="1">
        <v>130</v>
      </c>
      <c r="P35" s="1">
        <v>106</v>
      </c>
      <c r="Q35" s="1" t="str">
        <f t="shared" si="0"/>
        <v>1992, 62</v>
      </c>
    </row>
    <row r="36" spans="1:17" x14ac:dyDescent="0.6">
      <c r="A36" s="1">
        <v>1993</v>
      </c>
      <c r="B36" s="1">
        <v>90</v>
      </c>
      <c r="C36" s="1">
        <v>78</v>
      </c>
      <c r="D36" s="1">
        <v>120</v>
      </c>
      <c r="E36" s="1">
        <v>125</v>
      </c>
      <c r="F36" s="1">
        <v>112</v>
      </c>
      <c r="G36" s="1">
        <v>90</v>
      </c>
      <c r="I36" s="1">
        <v>87</v>
      </c>
      <c r="J36" s="1">
        <v>95</v>
      </c>
      <c r="K36" s="1">
        <v>70</v>
      </c>
      <c r="L36" s="1">
        <v>90</v>
      </c>
      <c r="M36" s="1">
        <v>83</v>
      </c>
      <c r="N36" s="1">
        <v>105</v>
      </c>
      <c r="O36" s="1">
        <v>117</v>
      </c>
      <c r="P36" s="1">
        <v>66</v>
      </c>
      <c r="Q36" s="1" t="str">
        <f t="shared" si="0"/>
        <v>1993, 90</v>
      </c>
    </row>
    <row r="37" spans="1:17" x14ac:dyDescent="0.6">
      <c r="A37" s="1">
        <v>1994</v>
      </c>
      <c r="B37" s="1">
        <v>135</v>
      </c>
      <c r="C37" s="1">
        <v>84</v>
      </c>
      <c r="D37" s="1">
        <v>100</v>
      </c>
      <c r="E37" s="1">
        <v>80</v>
      </c>
      <c r="F37" s="1">
        <v>80</v>
      </c>
      <c r="G37" s="1">
        <v>90</v>
      </c>
      <c r="I37" s="1">
        <v>65</v>
      </c>
      <c r="J37" s="1">
        <v>100</v>
      </c>
      <c r="K37" s="1">
        <v>113</v>
      </c>
      <c r="L37" s="1">
        <v>85</v>
      </c>
      <c r="N37" s="1">
        <v>95</v>
      </c>
      <c r="O37" s="1">
        <v>95</v>
      </c>
      <c r="Q37" s="1" t="str">
        <f t="shared" si="0"/>
        <v>1994, 135</v>
      </c>
    </row>
    <row r="38" spans="1:17" x14ac:dyDescent="0.6">
      <c r="A38" s="1">
        <v>1995</v>
      </c>
      <c r="B38" s="1">
        <v>90</v>
      </c>
      <c r="C38" s="1">
        <v>98</v>
      </c>
      <c r="D38" s="1">
        <v>70</v>
      </c>
      <c r="E38" s="1">
        <v>90</v>
      </c>
      <c r="F38" s="1">
        <v>115</v>
      </c>
      <c r="G38" s="1">
        <v>200</v>
      </c>
      <c r="I38" s="1">
        <v>98</v>
      </c>
      <c r="J38" s="1">
        <v>135</v>
      </c>
      <c r="K38" s="1">
        <v>104</v>
      </c>
      <c r="L38" s="1">
        <v>81</v>
      </c>
      <c r="M38" s="1">
        <v>127</v>
      </c>
      <c r="N38" s="1">
        <v>85</v>
      </c>
      <c r="O38" s="1">
        <v>81</v>
      </c>
      <c r="Q38" s="1" t="str">
        <f t="shared" si="0"/>
        <v>1995, 90</v>
      </c>
    </row>
    <row r="39" spans="1:17" x14ac:dyDescent="0.6">
      <c r="A39" s="1">
        <v>1996</v>
      </c>
      <c r="B39" s="1">
        <v>41</v>
      </c>
      <c r="C39" s="1">
        <v>106</v>
      </c>
      <c r="D39" s="1">
        <v>150</v>
      </c>
      <c r="E39" s="1">
        <v>90</v>
      </c>
      <c r="F39" s="1">
        <v>123</v>
      </c>
      <c r="G39" s="1">
        <v>89</v>
      </c>
      <c r="I39" s="1">
        <v>118</v>
      </c>
      <c r="J39" s="1">
        <v>85</v>
      </c>
      <c r="K39" s="1">
        <v>111</v>
      </c>
      <c r="L39" s="1">
        <v>122</v>
      </c>
      <c r="M39" s="1">
        <v>86</v>
      </c>
      <c r="N39" s="1">
        <v>164</v>
      </c>
      <c r="O39" s="1">
        <v>147</v>
      </c>
      <c r="Q39" s="1" t="str">
        <f t="shared" si="0"/>
        <v>1996, 41</v>
      </c>
    </row>
    <row r="40" spans="1:17" x14ac:dyDescent="0.6">
      <c r="A40" s="1">
        <v>1997</v>
      </c>
      <c r="B40" s="1">
        <v>85</v>
      </c>
      <c r="C40" s="1">
        <v>74</v>
      </c>
      <c r="D40" s="1">
        <v>70</v>
      </c>
      <c r="E40" s="1">
        <v>80</v>
      </c>
      <c r="F40" s="1">
        <v>65</v>
      </c>
      <c r="G40" s="1">
        <v>75</v>
      </c>
      <c r="I40" s="1">
        <v>25</v>
      </c>
      <c r="J40" s="1">
        <v>73</v>
      </c>
      <c r="K40" s="1">
        <v>98</v>
      </c>
      <c r="L40" s="1">
        <v>84</v>
      </c>
      <c r="M40" s="1">
        <v>65</v>
      </c>
      <c r="N40" s="1">
        <v>75</v>
      </c>
      <c r="O40" s="1">
        <v>57</v>
      </c>
      <c r="Q40" s="1" t="str">
        <f t="shared" si="0"/>
        <v>1997, 85</v>
      </c>
    </row>
    <row r="41" spans="1:17" x14ac:dyDescent="0.6">
      <c r="A41" s="1">
        <v>1998</v>
      </c>
      <c r="B41" s="1">
        <v>71</v>
      </c>
      <c r="C41" s="1">
        <v>98</v>
      </c>
      <c r="D41" s="1">
        <v>124</v>
      </c>
      <c r="E41" s="1">
        <v>60</v>
      </c>
      <c r="F41" s="1">
        <v>140</v>
      </c>
      <c r="G41" s="1">
        <v>90</v>
      </c>
      <c r="I41" s="1">
        <v>94</v>
      </c>
      <c r="J41" s="1">
        <v>110</v>
      </c>
      <c r="K41" s="1">
        <v>85</v>
      </c>
      <c r="L41" s="1">
        <v>111</v>
      </c>
      <c r="M41" s="1">
        <v>108</v>
      </c>
      <c r="N41" s="1">
        <v>55</v>
      </c>
      <c r="O41" s="1">
        <v>103</v>
      </c>
      <c r="Q41" s="1" t="str">
        <f t="shared" si="0"/>
        <v>1998, 71</v>
      </c>
    </row>
    <row r="42" spans="1:17" x14ac:dyDescent="0.6">
      <c r="A42" s="1">
        <v>1999</v>
      </c>
      <c r="B42" s="1">
        <v>110</v>
      </c>
      <c r="C42" s="1">
        <v>152</v>
      </c>
      <c r="D42" s="1">
        <v>130</v>
      </c>
      <c r="E42" s="1">
        <v>95</v>
      </c>
      <c r="F42" s="1">
        <v>90</v>
      </c>
      <c r="G42" s="1">
        <v>137</v>
      </c>
      <c r="I42" s="1">
        <v>102</v>
      </c>
      <c r="J42" s="1">
        <v>99</v>
      </c>
      <c r="K42" s="1">
        <v>120</v>
      </c>
      <c r="L42" s="1">
        <v>100</v>
      </c>
      <c r="M42" s="1">
        <v>100</v>
      </c>
      <c r="N42" s="1">
        <v>114</v>
      </c>
      <c r="O42" s="1">
        <v>114</v>
      </c>
      <c r="Q42" s="1" t="str">
        <f t="shared" si="0"/>
        <v>1999, 110</v>
      </c>
    </row>
    <row r="43" spans="1:17" x14ac:dyDescent="0.6">
      <c r="A43" s="1">
        <v>2000</v>
      </c>
      <c r="B43" s="1">
        <v>122</v>
      </c>
      <c r="C43" s="1">
        <v>97</v>
      </c>
      <c r="D43" s="1">
        <v>120</v>
      </c>
      <c r="E43" s="1">
        <v>90</v>
      </c>
      <c r="F43" s="1">
        <v>120</v>
      </c>
      <c r="G43" s="1">
        <v>125</v>
      </c>
      <c r="I43" s="1">
        <v>94</v>
      </c>
      <c r="J43" s="1">
        <v>95</v>
      </c>
      <c r="K43" s="1">
        <v>99</v>
      </c>
      <c r="L43" s="1">
        <v>118</v>
      </c>
      <c r="M43" s="1">
        <v>82</v>
      </c>
      <c r="N43" s="1">
        <v>87</v>
      </c>
      <c r="O43" s="1">
        <v>89</v>
      </c>
      <c r="Q43" s="1" t="str">
        <f t="shared" si="0"/>
        <v>2000, 122</v>
      </c>
    </row>
    <row r="44" spans="1:17" x14ac:dyDescent="0.6">
      <c r="A44" s="1">
        <v>2001</v>
      </c>
      <c r="B44" s="1">
        <v>135</v>
      </c>
      <c r="C44" s="1">
        <v>97</v>
      </c>
      <c r="D44" s="1">
        <v>70</v>
      </c>
      <c r="E44" s="1">
        <v>98</v>
      </c>
      <c r="F44" s="1">
        <v>110</v>
      </c>
      <c r="G44" s="1">
        <v>78</v>
      </c>
      <c r="I44" s="1">
        <v>82</v>
      </c>
      <c r="J44" s="1">
        <v>43</v>
      </c>
      <c r="K44" s="1">
        <v>133</v>
      </c>
      <c r="L44" s="1">
        <v>86</v>
      </c>
      <c r="M44" s="1">
        <v>90</v>
      </c>
      <c r="N44" s="1">
        <v>82</v>
      </c>
      <c r="O44" s="1">
        <v>56</v>
      </c>
      <c r="Q44" s="1" t="str">
        <f t="shared" si="0"/>
        <v>2001, 135</v>
      </c>
    </row>
    <row r="45" spans="1:17" x14ac:dyDescent="0.6">
      <c r="A45" s="1">
        <v>2002</v>
      </c>
      <c r="B45" s="1">
        <v>109</v>
      </c>
      <c r="C45" s="1">
        <v>93</v>
      </c>
      <c r="D45" s="1">
        <v>96</v>
      </c>
      <c r="E45" s="1">
        <v>135</v>
      </c>
      <c r="F45" s="1">
        <v>94</v>
      </c>
      <c r="I45" s="1">
        <v>87</v>
      </c>
      <c r="J45" s="1">
        <v>98</v>
      </c>
      <c r="K45" s="1">
        <v>55</v>
      </c>
      <c r="L45" s="1">
        <v>79</v>
      </c>
      <c r="M45" s="1">
        <v>59</v>
      </c>
      <c r="N45" s="1">
        <v>86</v>
      </c>
      <c r="O45" s="1">
        <v>105</v>
      </c>
      <c r="Q45" s="1" t="str">
        <f t="shared" si="0"/>
        <v>2002, 109</v>
      </c>
    </row>
    <row r="46" spans="1:17" x14ac:dyDescent="0.6">
      <c r="A46" s="1">
        <v>2003</v>
      </c>
      <c r="B46" s="1">
        <v>80</v>
      </c>
      <c r="C46" s="1">
        <v>93</v>
      </c>
      <c r="D46" s="1">
        <v>271</v>
      </c>
      <c r="E46" s="1">
        <v>90</v>
      </c>
      <c r="F46" s="1">
        <v>53</v>
      </c>
      <c r="I46" s="1">
        <v>29</v>
      </c>
      <c r="J46" s="1">
        <v>79</v>
      </c>
      <c r="L46" s="1">
        <v>77</v>
      </c>
      <c r="M46" s="1">
        <v>2</v>
      </c>
      <c r="N46" s="1">
        <v>90</v>
      </c>
      <c r="O46" s="1">
        <v>27</v>
      </c>
      <c r="Q46" s="1" t="str">
        <f t="shared" si="0"/>
        <v>2003, 80</v>
      </c>
    </row>
    <row r="47" spans="1:17" x14ac:dyDescent="0.6">
      <c r="A47" s="1">
        <v>2004</v>
      </c>
      <c r="B47" s="1">
        <v>80</v>
      </c>
      <c r="C47" s="1">
        <v>112</v>
      </c>
      <c r="D47" s="1">
        <v>90</v>
      </c>
      <c r="E47" s="1">
        <v>98</v>
      </c>
      <c r="F47" s="1">
        <v>89</v>
      </c>
      <c r="I47" s="1">
        <v>81</v>
      </c>
      <c r="J47" s="1">
        <v>97</v>
      </c>
      <c r="K47" s="1">
        <v>85</v>
      </c>
      <c r="L47" s="1">
        <v>90</v>
      </c>
      <c r="M47" s="1">
        <v>85</v>
      </c>
      <c r="N47" s="1">
        <v>72</v>
      </c>
      <c r="O47" s="1">
        <v>88</v>
      </c>
      <c r="Q47" s="1" t="str">
        <f t="shared" si="0"/>
        <v>2004, 80</v>
      </c>
    </row>
    <row r="48" spans="1:17" x14ac:dyDescent="0.6">
      <c r="A48" s="1">
        <v>2005</v>
      </c>
      <c r="B48" s="1">
        <v>40</v>
      </c>
      <c r="C48" s="1">
        <v>75</v>
      </c>
      <c r="D48" s="1">
        <v>106</v>
      </c>
      <c r="E48" s="1">
        <v>133</v>
      </c>
      <c r="F48" s="1">
        <v>151</v>
      </c>
      <c r="I48" s="1">
        <v>62</v>
      </c>
      <c r="K48" s="1">
        <v>104</v>
      </c>
      <c r="L48" s="1">
        <v>77</v>
      </c>
      <c r="M48" s="1">
        <v>104</v>
      </c>
      <c r="N48" s="1">
        <v>74</v>
      </c>
      <c r="O48" s="1">
        <v>119</v>
      </c>
      <c r="Q48" s="1" t="str">
        <f t="shared" si="0"/>
        <v>2005, 40</v>
      </c>
    </row>
    <row r="49" spans="1:17" x14ac:dyDescent="0.6">
      <c r="A49" s="1">
        <v>2006</v>
      </c>
      <c r="B49" s="1">
        <v>90</v>
      </c>
      <c r="C49" s="1">
        <v>137</v>
      </c>
      <c r="D49" s="1">
        <v>125</v>
      </c>
      <c r="E49" s="1">
        <v>90</v>
      </c>
      <c r="F49" s="1">
        <v>97</v>
      </c>
      <c r="I49" s="1">
        <v>92</v>
      </c>
      <c r="K49" s="1">
        <v>72</v>
      </c>
      <c r="L49" s="1">
        <v>112</v>
      </c>
      <c r="M49" s="1">
        <v>104</v>
      </c>
      <c r="N49" s="1">
        <v>90</v>
      </c>
      <c r="O49" s="1">
        <v>134</v>
      </c>
      <c r="Q49" s="1" t="str">
        <f t="shared" si="0"/>
        <v>2006, 90</v>
      </c>
    </row>
    <row r="50" spans="1:17" x14ac:dyDescent="0.6">
      <c r="A50" s="1">
        <v>2007</v>
      </c>
      <c r="B50" s="1">
        <v>150</v>
      </c>
      <c r="C50" s="1">
        <v>149</v>
      </c>
      <c r="D50" s="1">
        <v>90</v>
      </c>
      <c r="E50" s="1">
        <v>99</v>
      </c>
      <c r="F50" s="1">
        <v>100</v>
      </c>
      <c r="I50" s="1">
        <v>143</v>
      </c>
      <c r="K50" s="1">
        <v>110</v>
      </c>
      <c r="L50" s="1">
        <v>91</v>
      </c>
      <c r="M50" s="1">
        <v>101</v>
      </c>
      <c r="N50" s="1">
        <v>80</v>
      </c>
      <c r="O50" s="1">
        <v>68</v>
      </c>
      <c r="Q50" s="1" t="str">
        <f t="shared" si="0"/>
        <v>2007, 150</v>
      </c>
    </row>
    <row r="51" spans="1:17" x14ac:dyDescent="0.6">
      <c r="A51" s="1">
        <v>2008</v>
      </c>
      <c r="B51" s="1">
        <v>160</v>
      </c>
      <c r="C51" s="1">
        <v>138</v>
      </c>
      <c r="D51" s="1">
        <v>121</v>
      </c>
      <c r="E51" s="1">
        <v>100</v>
      </c>
      <c r="F51" s="1">
        <v>220</v>
      </c>
      <c r="I51" s="1">
        <v>87</v>
      </c>
      <c r="K51" s="1">
        <v>80</v>
      </c>
      <c r="L51" s="1">
        <v>131</v>
      </c>
      <c r="M51" s="1">
        <v>96</v>
      </c>
      <c r="N51" s="1">
        <v>140</v>
      </c>
      <c r="O51" s="1">
        <v>111</v>
      </c>
      <c r="Q51" s="1" t="str">
        <f t="shared" si="0"/>
        <v>2008, 160</v>
      </c>
    </row>
    <row r="52" spans="1:17" x14ac:dyDescent="0.6">
      <c r="A52" s="1">
        <v>2009</v>
      </c>
      <c r="B52" s="1">
        <v>150</v>
      </c>
      <c r="C52" s="1">
        <v>107</v>
      </c>
      <c r="D52" s="1">
        <v>90</v>
      </c>
      <c r="E52" s="1">
        <v>90</v>
      </c>
      <c r="F52" s="1">
        <v>68</v>
      </c>
      <c r="I52" s="1">
        <v>82</v>
      </c>
      <c r="J52" s="1">
        <v>81</v>
      </c>
      <c r="K52" s="1">
        <v>85</v>
      </c>
      <c r="L52" s="1">
        <v>141</v>
      </c>
      <c r="M52" s="1">
        <v>84</v>
      </c>
      <c r="O52" s="1">
        <v>96</v>
      </c>
      <c r="Q52" s="1" t="str">
        <f t="shared" si="0"/>
        <v>2009, 150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EC4ED-A2A6-48CB-9363-E12F4E5CCB23}">
  <dimension ref="A1:S9"/>
  <sheetViews>
    <sheetView showGridLines="0" zoomScale="115" zoomScaleNormal="115" workbookViewId="0">
      <selection activeCell="Q14" sqref="Q14"/>
    </sheetView>
  </sheetViews>
  <sheetFormatPr defaultRowHeight="16.5" x14ac:dyDescent="0.45"/>
  <cols>
    <col min="1" max="1" width="4.9296875" style="3" bestFit="1" customWidth="1"/>
    <col min="2" max="15" width="8.73046875" style="3" customWidth="1"/>
    <col min="16" max="16384" width="9.06640625" style="3"/>
  </cols>
  <sheetData>
    <row r="1" spans="1:19" s="2" customFormat="1" ht="66" x14ac:dyDescent="0.45">
      <c r="B1" s="2" t="s">
        <v>9</v>
      </c>
      <c r="C1" s="2" t="s">
        <v>9</v>
      </c>
      <c r="D1" s="2" t="s">
        <v>9</v>
      </c>
      <c r="E1" s="2" t="s">
        <v>9</v>
      </c>
      <c r="F1" s="2" t="s">
        <v>9</v>
      </c>
      <c r="G1" s="2" t="s">
        <v>9</v>
      </c>
      <c r="H1" s="2" t="s">
        <v>9</v>
      </c>
      <c r="I1" s="2" t="s">
        <v>9</v>
      </c>
      <c r="J1" s="2" t="s">
        <v>9</v>
      </c>
      <c r="K1" s="2" t="s">
        <v>9</v>
      </c>
      <c r="L1" s="2" t="s">
        <v>9</v>
      </c>
      <c r="M1" s="2" t="s">
        <v>9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145</v>
      </c>
    </row>
    <row r="2" spans="1:19" s="2" customFormat="1" x14ac:dyDescent="0.45">
      <c r="B2" s="2">
        <v>2502023</v>
      </c>
      <c r="C2" s="2">
        <v>2502026</v>
      </c>
      <c r="D2" s="2">
        <v>2502028</v>
      </c>
      <c r="E2" s="2">
        <v>2502069</v>
      </c>
      <c r="F2" s="2">
        <v>2802008</v>
      </c>
      <c r="G2" s="2">
        <v>2802023</v>
      </c>
      <c r="H2" s="2">
        <v>2802044</v>
      </c>
      <c r="I2" s="2">
        <v>2802060</v>
      </c>
      <c r="J2" s="2">
        <v>2802508</v>
      </c>
      <c r="K2" s="2">
        <v>2802509</v>
      </c>
      <c r="L2" s="2">
        <v>2803504</v>
      </c>
      <c r="M2" s="2">
        <v>2804031</v>
      </c>
      <c r="N2" s="2">
        <v>2804035</v>
      </c>
      <c r="O2" s="2">
        <v>25020230</v>
      </c>
      <c r="P2" s="2">
        <v>25020230</v>
      </c>
      <c r="Q2" s="2">
        <v>25020230</v>
      </c>
      <c r="R2" s="2">
        <v>25020230</v>
      </c>
      <c r="S2" s="2">
        <v>25020230</v>
      </c>
    </row>
    <row r="3" spans="1:19" s="2" customFormat="1" ht="82.5" x14ac:dyDescent="0.45">
      <c r="A3" s="2" t="s">
        <v>8</v>
      </c>
      <c r="B3" s="2" t="str">
        <f>_xlfn.CONCAT(B2,"-",B1)</f>
        <v>2502023-Excel-Gumbel</v>
      </c>
      <c r="C3" s="2" t="str">
        <f t="shared" ref="C3:S3" si="0">_xlfn.CONCAT(C2,"-",C1)</f>
        <v>2502026-Excel-Gumbel</v>
      </c>
      <c r="D3" s="2" t="str">
        <f t="shared" si="0"/>
        <v>2502028-Excel-Gumbel</v>
      </c>
      <c r="E3" s="2" t="str">
        <f t="shared" si="0"/>
        <v>2502069-Excel-Gumbel</v>
      </c>
      <c r="F3" s="2" t="str">
        <f t="shared" si="0"/>
        <v>2802008-Excel-Gumbel</v>
      </c>
      <c r="G3" s="2" t="str">
        <f t="shared" si="0"/>
        <v>2802023-Excel-Gumbel</v>
      </c>
      <c r="H3" s="2" t="str">
        <f t="shared" si="0"/>
        <v>2802044-Excel-Gumbel</v>
      </c>
      <c r="I3" s="2" t="str">
        <f t="shared" si="0"/>
        <v>2802060-Excel-Gumbel</v>
      </c>
      <c r="J3" s="2" t="str">
        <f t="shared" si="0"/>
        <v>2802508-Excel-Gumbel</v>
      </c>
      <c r="K3" s="2" t="str">
        <f t="shared" si="0"/>
        <v>2802509-Excel-Gumbel</v>
      </c>
      <c r="L3" s="2" t="str">
        <f t="shared" si="0"/>
        <v>2803504-Excel-Gumbel</v>
      </c>
      <c r="M3" s="2" t="str">
        <f t="shared" si="0"/>
        <v>2804031-Excel-Gumbel</v>
      </c>
      <c r="N3" s="2" t="str">
        <f t="shared" si="0"/>
        <v>2804035-Excel-Gumbel</v>
      </c>
      <c r="O3" s="2" t="str">
        <f t="shared" si="0"/>
        <v>25020230-R.HydroTools-Gumbel</v>
      </c>
      <c r="P3" s="2" t="str">
        <f t="shared" si="0"/>
        <v>25020230-R.HydroTools-Beta</v>
      </c>
      <c r="Q3" s="2" t="str">
        <f t="shared" si="0"/>
        <v>25020230-R.HydroTools-Johnsonsb</v>
      </c>
      <c r="R3" s="2" t="str">
        <f t="shared" si="0"/>
        <v>25020230-R.HydroTools-Anglit</v>
      </c>
      <c r="S3" s="2" t="str">
        <f t="shared" si="0"/>
        <v>25020230-R.HydroTools-Semicircular</v>
      </c>
    </row>
    <row r="4" spans="1:19" x14ac:dyDescent="0.6">
      <c r="A4" s="3">
        <v>2.33</v>
      </c>
      <c r="B4" s="3">
        <v>103</v>
      </c>
      <c r="C4" s="3">
        <v>107</v>
      </c>
      <c r="D4" s="3">
        <v>111</v>
      </c>
      <c r="E4" s="3">
        <v>92</v>
      </c>
      <c r="F4" s="3">
        <v>102</v>
      </c>
      <c r="G4" s="3">
        <v>102</v>
      </c>
      <c r="H4" s="3">
        <v>92</v>
      </c>
      <c r="I4" s="3">
        <v>91</v>
      </c>
      <c r="J4" s="3">
        <v>100</v>
      </c>
      <c r="K4" s="3">
        <v>100</v>
      </c>
      <c r="L4" s="3">
        <v>89</v>
      </c>
      <c r="M4" s="3">
        <v>98</v>
      </c>
      <c r="N4" s="3">
        <v>96</v>
      </c>
      <c r="O4" s="3">
        <v>122.61199999999999</v>
      </c>
      <c r="P4" s="1">
        <v>116.04600000000001</v>
      </c>
      <c r="Q4" s="1">
        <v>118.82899999999999</v>
      </c>
      <c r="R4" s="1">
        <v>114.28700000000001</v>
      </c>
      <c r="S4" s="3">
        <v>114.79300000000001</v>
      </c>
    </row>
    <row r="5" spans="1:19" x14ac:dyDescent="0.6">
      <c r="A5" s="3">
        <v>5</v>
      </c>
      <c r="B5" s="3">
        <v>132</v>
      </c>
      <c r="C5" s="3">
        <v>133</v>
      </c>
      <c r="D5" s="3">
        <v>149</v>
      </c>
      <c r="E5" s="3">
        <v>117</v>
      </c>
      <c r="F5" s="3">
        <v>136</v>
      </c>
      <c r="G5" s="3">
        <v>136</v>
      </c>
      <c r="H5" s="3">
        <v>114</v>
      </c>
      <c r="I5" s="3">
        <v>111</v>
      </c>
      <c r="J5" s="3">
        <v>121</v>
      </c>
      <c r="K5" s="3">
        <v>117</v>
      </c>
      <c r="L5" s="3">
        <v>112</v>
      </c>
      <c r="M5" s="3">
        <v>120</v>
      </c>
      <c r="N5" s="3">
        <v>119</v>
      </c>
      <c r="O5" s="3">
        <v>147.001</v>
      </c>
      <c r="P5" s="1">
        <v>140.715</v>
      </c>
      <c r="Q5" s="1">
        <v>141.88900000000001</v>
      </c>
      <c r="R5" s="1">
        <v>138.881</v>
      </c>
      <c r="S5" s="3">
        <v>140.30500000000001</v>
      </c>
    </row>
    <row r="6" spans="1:19" x14ac:dyDescent="0.6">
      <c r="A6" s="3">
        <v>10</v>
      </c>
      <c r="B6" s="3">
        <v>155</v>
      </c>
      <c r="C6" s="3">
        <v>154</v>
      </c>
      <c r="D6" s="3">
        <v>179</v>
      </c>
      <c r="E6" s="3">
        <v>137</v>
      </c>
      <c r="F6" s="3">
        <v>164</v>
      </c>
      <c r="G6" s="3">
        <v>165</v>
      </c>
      <c r="H6" s="3">
        <v>132</v>
      </c>
      <c r="I6" s="3">
        <v>127</v>
      </c>
      <c r="J6" s="3">
        <v>138</v>
      </c>
      <c r="K6" s="3">
        <v>130</v>
      </c>
      <c r="L6" s="3">
        <v>131</v>
      </c>
      <c r="M6" s="3">
        <v>138</v>
      </c>
      <c r="N6" s="3">
        <v>138</v>
      </c>
      <c r="O6" s="3">
        <v>166.86600000000001</v>
      </c>
      <c r="P6" s="1">
        <v>150.77000000000001</v>
      </c>
      <c r="Q6" s="1">
        <v>150.74</v>
      </c>
      <c r="R6" s="1">
        <v>152.80099999999999</v>
      </c>
      <c r="S6" s="3">
        <v>153.39599999999999</v>
      </c>
    </row>
    <row r="7" spans="1:19" x14ac:dyDescent="0.6">
      <c r="A7" s="3">
        <v>25</v>
      </c>
      <c r="B7" s="3">
        <v>184</v>
      </c>
      <c r="C7" s="3">
        <v>181</v>
      </c>
      <c r="D7" s="3">
        <v>218</v>
      </c>
      <c r="E7" s="3">
        <v>162</v>
      </c>
      <c r="F7" s="3">
        <v>199</v>
      </c>
      <c r="G7" s="3">
        <v>201</v>
      </c>
      <c r="H7" s="3">
        <v>155</v>
      </c>
      <c r="I7" s="3">
        <v>148</v>
      </c>
      <c r="J7" s="3">
        <v>159</v>
      </c>
      <c r="K7" s="3">
        <v>148</v>
      </c>
      <c r="L7" s="3">
        <v>155</v>
      </c>
      <c r="M7" s="3">
        <v>161</v>
      </c>
      <c r="N7" s="3">
        <v>161</v>
      </c>
      <c r="O7" s="3">
        <v>191.965</v>
      </c>
      <c r="P7" s="1">
        <v>156.495</v>
      </c>
      <c r="Q7" s="1">
        <v>156.07900000000001</v>
      </c>
      <c r="R7" s="1">
        <v>164.61099999999999</v>
      </c>
      <c r="S7" s="3">
        <v>163.16900000000001</v>
      </c>
    </row>
    <row r="8" spans="1:19" x14ac:dyDescent="0.6">
      <c r="A8" s="3">
        <v>50</v>
      </c>
      <c r="B8" s="3">
        <v>205</v>
      </c>
      <c r="C8" s="3">
        <v>201</v>
      </c>
      <c r="D8" s="3">
        <v>247</v>
      </c>
      <c r="E8" s="3">
        <v>180</v>
      </c>
      <c r="F8" s="3">
        <v>225</v>
      </c>
      <c r="G8" s="3">
        <v>227</v>
      </c>
      <c r="H8" s="3">
        <v>172</v>
      </c>
      <c r="I8" s="3">
        <v>163</v>
      </c>
      <c r="J8" s="3">
        <v>175</v>
      </c>
      <c r="K8" s="3">
        <v>161</v>
      </c>
      <c r="L8" s="3">
        <v>173</v>
      </c>
      <c r="M8" s="3">
        <v>178</v>
      </c>
      <c r="N8" s="3">
        <v>178</v>
      </c>
      <c r="O8" s="3">
        <v>210.584</v>
      </c>
      <c r="P8" s="1">
        <v>158.31200000000001</v>
      </c>
      <c r="Q8" s="1">
        <v>158.08099999999999</v>
      </c>
      <c r="R8" s="1">
        <v>170.44399999999999</v>
      </c>
      <c r="S8" s="3">
        <v>167.36500000000001</v>
      </c>
    </row>
    <row r="9" spans="1:19" x14ac:dyDescent="0.6">
      <c r="A9" s="3">
        <v>100</v>
      </c>
      <c r="B9" s="3">
        <v>226</v>
      </c>
      <c r="C9" s="3">
        <v>220</v>
      </c>
      <c r="D9" s="3">
        <v>276</v>
      </c>
      <c r="E9" s="3">
        <v>199</v>
      </c>
      <c r="F9" s="3">
        <v>251</v>
      </c>
      <c r="G9" s="3">
        <v>254</v>
      </c>
      <c r="H9" s="3">
        <v>189</v>
      </c>
      <c r="I9" s="3">
        <v>178</v>
      </c>
      <c r="J9" s="3">
        <v>190</v>
      </c>
      <c r="K9" s="3">
        <v>174</v>
      </c>
      <c r="L9" s="3">
        <v>190</v>
      </c>
      <c r="M9" s="3">
        <v>195</v>
      </c>
      <c r="N9" s="3">
        <v>196</v>
      </c>
      <c r="O9" s="3">
        <v>229.06700000000001</v>
      </c>
      <c r="P9" s="1">
        <v>159.18700000000001</v>
      </c>
      <c r="Q9" s="1">
        <v>159.268</v>
      </c>
      <c r="R9" s="1">
        <v>174.53800000000001</v>
      </c>
      <c r="S9" s="3">
        <v>169.98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3BD22-A60D-404D-A6C3-12A1448027F8}">
  <dimension ref="A1:DG11"/>
  <sheetViews>
    <sheetView showGridLines="0" zoomScale="145" zoomScaleNormal="145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6.5" x14ac:dyDescent="0.6"/>
  <cols>
    <col min="1" max="1" width="2.19921875" style="1" bestFit="1" customWidth="1"/>
    <col min="2" max="2" width="4.9296875" style="1" bestFit="1" customWidth="1"/>
    <col min="3" max="3" width="9.19921875" style="1" bestFit="1" customWidth="1"/>
    <col min="4" max="4" width="11.265625" style="1" bestFit="1" customWidth="1"/>
    <col min="5" max="9" width="8.1328125" style="1" bestFit="1" customWidth="1"/>
    <col min="10" max="10" width="9.19921875" style="1" bestFit="1" customWidth="1"/>
    <col min="11" max="16" width="8.1328125" style="1" bestFit="1" customWidth="1"/>
    <col min="17" max="17" width="8.73046875" style="1" bestFit="1" customWidth="1"/>
    <col min="18" max="20" width="8.1328125" style="1" bestFit="1" customWidth="1"/>
    <col min="21" max="21" width="10.19921875" style="1" bestFit="1" customWidth="1"/>
    <col min="22" max="22" width="9.33203125" style="1" bestFit="1" customWidth="1"/>
    <col min="23" max="23" width="9.6640625" style="1" bestFit="1" customWidth="1"/>
    <col min="24" max="24" width="8.1328125" style="1" bestFit="1" customWidth="1"/>
    <col min="25" max="25" width="8.796875" style="1" bestFit="1" customWidth="1"/>
    <col min="26" max="26" width="8.1328125" style="1" bestFit="1" customWidth="1"/>
    <col min="27" max="27" width="9.59765625" style="1" bestFit="1" customWidth="1"/>
    <col min="28" max="28" width="8.265625" style="1" bestFit="1" customWidth="1"/>
    <col min="29" max="29" width="8.1328125" style="1" bestFit="1" customWidth="1"/>
    <col min="30" max="30" width="10.06640625" style="1" bestFit="1" customWidth="1"/>
    <col min="31" max="31" width="9" style="1" bestFit="1" customWidth="1"/>
    <col min="32" max="32" width="10.59765625" style="1" bestFit="1" customWidth="1"/>
    <col min="33" max="33" width="10.1328125" style="1" bestFit="1" customWidth="1"/>
    <col min="34" max="34" width="12.59765625" style="1" bestFit="1" customWidth="1"/>
    <col min="35" max="35" width="12.46484375" style="1" bestFit="1" customWidth="1"/>
    <col min="36" max="36" width="10.9296875" style="1" bestFit="1" customWidth="1"/>
    <col min="37" max="37" width="9.59765625" style="1" bestFit="1" customWidth="1"/>
    <col min="38" max="38" width="8.265625" style="1" bestFit="1" customWidth="1"/>
    <col min="39" max="39" width="9.33203125" style="1" bestFit="1" customWidth="1"/>
    <col min="40" max="40" width="8.1328125" style="1" bestFit="1" customWidth="1"/>
    <col min="41" max="41" width="8.796875" style="1" bestFit="1" customWidth="1"/>
    <col min="42" max="42" width="8.265625" style="1" bestFit="1" customWidth="1"/>
    <col min="43" max="43" width="8.46484375" style="1" bestFit="1" customWidth="1"/>
    <col min="44" max="44" width="9.3984375" style="1" bestFit="1" customWidth="1"/>
    <col min="45" max="45" width="11.265625" style="1" bestFit="1" customWidth="1"/>
    <col min="46" max="46" width="9.3984375" style="1" bestFit="1" customWidth="1"/>
    <col min="47" max="47" width="8.1328125" style="1" bestFit="1" customWidth="1"/>
    <col min="48" max="48" width="9" style="1" bestFit="1" customWidth="1"/>
    <col min="49" max="49" width="9.33203125" style="1" bestFit="1" customWidth="1"/>
    <col min="50" max="50" width="8.1328125" style="1" bestFit="1" customWidth="1"/>
    <col min="51" max="51" width="8.796875" style="1" bestFit="1" customWidth="1"/>
    <col min="52" max="52" width="9.19921875" style="1" bestFit="1" customWidth="1"/>
    <col min="53" max="53" width="9.1328125" style="1" bestFit="1" customWidth="1"/>
    <col min="54" max="56" width="8.1328125" style="1" bestFit="1" customWidth="1"/>
    <col min="57" max="57" width="9.06640625" style="1" bestFit="1" customWidth="1"/>
    <col min="58" max="58" width="8.1328125" style="1" bestFit="1" customWidth="1"/>
    <col min="59" max="59" width="16.73046875" style="1" bestFit="1" customWidth="1"/>
    <col min="60" max="60" width="8.53125" style="1" bestFit="1" customWidth="1"/>
    <col min="61" max="61" width="8.1328125" style="1" bestFit="1" customWidth="1"/>
    <col min="62" max="63" width="9.59765625" style="1" bestFit="1" customWidth="1"/>
    <col min="64" max="64" width="8.1328125" style="1" bestFit="1" customWidth="1"/>
    <col min="65" max="65" width="9.06640625" style="1" bestFit="1" customWidth="1"/>
    <col min="66" max="66" width="8.1328125" style="1" bestFit="1" customWidth="1"/>
    <col min="67" max="67" width="9.796875" style="1" bestFit="1" customWidth="1"/>
    <col min="68" max="71" width="8.1328125" style="1" bestFit="1" customWidth="1"/>
    <col min="72" max="72" width="8.6640625" style="1" bestFit="1" customWidth="1"/>
    <col min="73" max="76" width="8.1328125" style="1" bestFit="1" customWidth="1"/>
    <col min="77" max="77" width="12.1328125" style="1" bestFit="1" customWidth="1"/>
    <col min="78" max="78" width="8.1328125" style="1" bestFit="1" customWidth="1"/>
    <col min="79" max="79" width="8.3984375" style="1" bestFit="1" customWidth="1"/>
    <col min="80" max="80" width="8.59765625" style="1" bestFit="1" customWidth="1"/>
    <col min="81" max="81" width="13" style="1" bestFit="1" customWidth="1"/>
    <col min="82" max="82" width="10.33203125" style="1" bestFit="1" customWidth="1"/>
    <col min="83" max="84" width="8.1328125" style="1" bestFit="1" customWidth="1"/>
    <col min="85" max="85" width="11.796875" style="1" bestFit="1" customWidth="1"/>
    <col min="86" max="86" width="13" style="1" bestFit="1" customWidth="1"/>
    <col min="87" max="87" width="8.1328125" style="1" bestFit="1" customWidth="1"/>
    <col min="88" max="89" width="10.3984375" style="1" bestFit="1" customWidth="1"/>
    <col min="90" max="90" width="9.1328125" style="1" bestFit="1" customWidth="1"/>
    <col min="91" max="91" width="8.1328125" style="1" bestFit="1" customWidth="1"/>
    <col min="92" max="92" width="8.59765625" style="1" bestFit="1" customWidth="1"/>
    <col min="93" max="93" width="8.1328125" style="1" bestFit="1" customWidth="1"/>
    <col min="94" max="94" width="10.06640625" style="1" bestFit="1" customWidth="1"/>
    <col min="95" max="95" width="9.3984375" style="1" bestFit="1" customWidth="1"/>
    <col min="96" max="96" width="10.33203125" style="1" bestFit="1" customWidth="1"/>
    <col min="97" max="97" width="14.6640625" style="1" bestFit="1" customWidth="1"/>
    <col min="98" max="98" width="11.265625" style="1" bestFit="1" customWidth="1"/>
    <col min="99" max="99" width="8.1328125" style="1" bestFit="1" customWidth="1"/>
    <col min="100" max="100" width="8.33203125" style="1" bestFit="1" customWidth="1"/>
    <col min="101" max="101" width="12.06640625" style="1" bestFit="1" customWidth="1"/>
    <col min="102" max="102" width="8.1328125" style="1" bestFit="1" customWidth="1"/>
    <col min="103" max="103" width="10.6640625" style="1" bestFit="1" customWidth="1"/>
    <col min="104" max="104" width="10.33203125" style="1" bestFit="1" customWidth="1"/>
    <col min="105" max="105" width="10.46484375" style="1" bestFit="1" customWidth="1"/>
    <col min="106" max="106" width="8.86328125" style="1" bestFit="1" customWidth="1"/>
    <col min="107" max="107" width="11.46484375" style="1" bestFit="1" customWidth="1"/>
    <col min="108" max="108" width="14.46484375" style="1" bestFit="1" customWidth="1"/>
    <col min="109" max="109" width="18.33203125" style="1" bestFit="1" customWidth="1"/>
    <col min="110" max="110" width="2.796875" style="1" bestFit="1" customWidth="1"/>
    <col min="111" max="111" width="9.19921875" style="1" bestFit="1" customWidth="1"/>
    <col min="112" max="16384" width="9.06640625" style="1"/>
  </cols>
  <sheetData>
    <row r="1" spans="1:111" x14ac:dyDescent="0.6">
      <c r="A1" s="1" t="s">
        <v>1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2</v>
      </c>
      <c r="J1" s="1" t="s">
        <v>46</v>
      </c>
      <c r="K1" s="1" t="s">
        <v>47</v>
      </c>
      <c r="L1" s="1" t="s">
        <v>48</v>
      </c>
      <c r="M1" s="1" t="s">
        <v>49</v>
      </c>
      <c r="N1" s="1" t="s">
        <v>50</v>
      </c>
      <c r="O1" s="1" t="s">
        <v>51</v>
      </c>
      <c r="P1" s="1" t="s">
        <v>52</v>
      </c>
      <c r="Q1" s="1" t="s">
        <v>53</v>
      </c>
      <c r="R1" s="1" t="s">
        <v>54</v>
      </c>
      <c r="S1" s="1" t="s">
        <v>55</v>
      </c>
      <c r="T1" s="1" t="s">
        <v>56</v>
      </c>
      <c r="U1" s="1" t="s">
        <v>57</v>
      </c>
      <c r="V1" s="1" t="s">
        <v>58</v>
      </c>
      <c r="W1" s="1" t="s">
        <v>59</v>
      </c>
      <c r="X1" s="1" t="s">
        <v>60</v>
      </c>
      <c r="Y1" s="1" t="s">
        <v>61</v>
      </c>
      <c r="Z1" s="1" t="s">
        <v>62</v>
      </c>
      <c r="AA1" s="1" t="s">
        <v>63</v>
      </c>
      <c r="AB1" s="1" t="s">
        <v>64</v>
      </c>
      <c r="AC1" s="1" t="s">
        <v>65</v>
      </c>
      <c r="AD1" s="1" t="s">
        <v>66</v>
      </c>
      <c r="AE1" s="1" t="s">
        <v>67</v>
      </c>
      <c r="AF1" s="1" t="s">
        <v>68</v>
      </c>
      <c r="AG1" s="1" t="s">
        <v>69</v>
      </c>
      <c r="AH1" s="1" t="s">
        <v>70</v>
      </c>
      <c r="AI1" s="1" t="s">
        <v>71</v>
      </c>
      <c r="AJ1" s="1" t="s">
        <v>72</v>
      </c>
      <c r="AK1" s="1" t="s">
        <v>73</v>
      </c>
      <c r="AL1" s="1" t="s">
        <v>74</v>
      </c>
      <c r="AM1" s="1" t="s">
        <v>75</v>
      </c>
      <c r="AN1" s="1" t="s">
        <v>76</v>
      </c>
      <c r="AO1" s="1" t="s">
        <v>77</v>
      </c>
      <c r="AP1" s="1" t="s">
        <v>78</v>
      </c>
      <c r="AQ1" s="1" t="s">
        <v>79</v>
      </c>
      <c r="AR1" s="1" t="s">
        <v>80</v>
      </c>
      <c r="AS1" s="1" t="s">
        <v>81</v>
      </c>
      <c r="AT1" s="1" t="s">
        <v>82</v>
      </c>
      <c r="AU1" s="1" t="s">
        <v>83</v>
      </c>
      <c r="AV1" s="1" t="s">
        <v>84</v>
      </c>
      <c r="AW1" s="1" t="s">
        <v>85</v>
      </c>
      <c r="AX1" s="1" t="s">
        <v>86</v>
      </c>
      <c r="AY1" s="1" t="s">
        <v>87</v>
      </c>
      <c r="AZ1" s="1" t="s">
        <v>88</v>
      </c>
      <c r="BA1" s="1" t="s">
        <v>89</v>
      </c>
      <c r="BB1" s="1" t="s">
        <v>90</v>
      </c>
      <c r="BC1" s="1" t="s">
        <v>91</v>
      </c>
      <c r="BD1" s="1" t="s">
        <v>92</v>
      </c>
      <c r="BE1" s="1" t="s">
        <v>93</v>
      </c>
      <c r="BF1" s="1" t="s">
        <v>94</v>
      </c>
      <c r="BG1" s="1" t="s">
        <v>95</v>
      </c>
      <c r="BH1" s="1" t="s">
        <v>96</v>
      </c>
      <c r="BI1" s="1" t="s">
        <v>97</v>
      </c>
      <c r="BJ1" s="1" t="s">
        <v>98</v>
      </c>
      <c r="BK1" s="1" t="s">
        <v>99</v>
      </c>
      <c r="BL1" s="1" t="s">
        <v>100</v>
      </c>
      <c r="BM1" s="1" t="s">
        <v>101</v>
      </c>
      <c r="BN1" s="1" t="s">
        <v>102</v>
      </c>
      <c r="BO1" s="1" t="s">
        <v>103</v>
      </c>
      <c r="BP1" s="1" t="s">
        <v>104</v>
      </c>
      <c r="BQ1" s="1" t="s">
        <v>105</v>
      </c>
      <c r="BR1" s="1" t="s">
        <v>106</v>
      </c>
      <c r="BS1" s="1" t="s">
        <v>107</v>
      </c>
      <c r="BT1" s="1" t="s">
        <v>108</v>
      </c>
      <c r="BU1" s="1" t="s">
        <v>109</v>
      </c>
      <c r="BV1" s="1" t="s">
        <v>110</v>
      </c>
      <c r="BW1" s="1" t="s">
        <v>111</v>
      </c>
      <c r="BX1" s="1" t="s">
        <v>112</v>
      </c>
      <c r="BY1" s="1" t="s">
        <v>113</v>
      </c>
      <c r="BZ1" s="1" t="s">
        <v>114</v>
      </c>
      <c r="CA1" s="1" t="s">
        <v>115</v>
      </c>
      <c r="CB1" s="1" t="s">
        <v>116</v>
      </c>
      <c r="CC1" s="1" t="s">
        <v>117</v>
      </c>
      <c r="CD1" s="1" t="s">
        <v>118</v>
      </c>
      <c r="CE1" s="1" t="s">
        <v>119</v>
      </c>
      <c r="CF1" s="1" t="s">
        <v>120</v>
      </c>
      <c r="CG1" s="1" t="s">
        <v>121</v>
      </c>
      <c r="CH1" s="1" t="s">
        <v>122</v>
      </c>
      <c r="CI1" s="1" t="s">
        <v>123</v>
      </c>
      <c r="CJ1" s="1" t="s">
        <v>3</v>
      </c>
      <c r="CK1" s="1" t="s">
        <v>124</v>
      </c>
      <c r="CL1" s="1" t="s">
        <v>125</v>
      </c>
      <c r="CM1" s="1" t="s">
        <v>126</v>
      </c>
      <c r="CN1" s="1" t="s">
        <v>127</v>
      </c>
      <c r="CO1" s="1" t="s">
        <v>128</v>
      </c>
      <c r="CP1" s="1" t="s">
        <v>129</v>
      </c>
      <c r="CQ1" s="1" t="s">
        <v>130</v>
      </c>
      <c r="CR1" s="1" t="s">
        <v>131</v>
      </c>
      <c r="CS1" s="1" t="s">
        <v>132</v>
      </c>
      <c r="CT1" s="1" t="s">
        <v>133</v>
      </c>
      <c r="CU1" s="1" t="s">
        <v>134</v>
      </c>
      <c r="CV1" s="1" t="s">
        <v>135</v>
      </c>
      <c r="CW1" s="1" t="s">
        <v>136</v>
      </c>
      <c r="CX1" s="1" t="s">
        <v>137</v>
      </c>
      <c r="CY1" s="1" t="s">
        <v>138</v>
      </c>
      <c r="CZ1" s="1" t="s">
        <v>139</v>
      </c>
      <c r="DA1" s="1" t="s">
        <v>140</v>
      </c>
      <c r="DB1" s="1" t="s">
        <v>141</v>
      </c>
      <c r="DC1" s="1" t="s">
        <v>142</v>
      </c>
      <c r="DD1" s="1" t="s">
        <v>4</v>
      </c>
      <c r="DE1" s="1" t="s">
        <v>5</v>
      </c>
      <c r="DF1" s="1" t="s">
        <v>6</v>
      </c>
      <c r="DG1" s="1" t="s">
        <v>143</v>
      </c>
    </row>
    <row r="2" spans="1:111" x14ac:dyDescent="0.6">
      <c r="A2" s="1">
        <v>0</v>
      </c>
      <c r="B2" s="1">
        <v>2.33</v>
      </c>
      <c r="C2" s="1">
        <v>0.57081499999999996</v>
      </c>
      <c r="D2" s="1">
        <v>0.42918499999999998</v>
      </c>
      <c r="E2" s="1">
        <v>111.379</v>
      </c>
      <c r="F2" s="1">
        <v>114.28700000000001</v>
      </c>
      <c r="G2" s="1">
        <v>117.78100000000001</v>
      </c>
      <c r="H2" s="1">
        <v>118.01300000000001</v>
      </c>
      <c r="I2" s="1">
        <v>116.04600000000001</v>
      </c>
      <c r="J2" s="1">
        <v>110.43300000000001</v>
      </c>
      <c r="K2" s="1">
        <v>99.137699999999995</v>
      </c>
      <c r="L2" s="1">
        <v>122.631</v>
      </c>
      <c r="M2" s="1">
        <v>88.101299999999995</v>
      </c>
      <c r="N2" s="1">
        <v>115.01900000000001</v>
      </c>
      <c r="O2" s="1">
        <v>112.31699999999999</v>
      </c>
      <c r="P2" s="1">
        <v>111.833</v>
      </c>
      <c r="Q2" s="1">
        <v>113.301</v>
      </c>
      <c r="R2" s="1">
        <v>115.94199999999999</v>
      </c>
      <c r="S2" s="1">
        <v>112.557</v>
      </c>
      <c r="T2" s="1">
        <v>96.941400000000002</v>
      </c>
      <c r="U2" s="1">
        <v>113.301</v>
      </c>
      <c r="V2" s="1">
        <v>40.029200000000003</v>
      </c>
      <c r="W2" s="1">
        <v>45.6708</v>
      </c>
      <c r="X2" s="1">
        <v>113.23399999999999</v>
      </c>
      <c r="Y2" s="1">
        <v>113.119</v>
      </c>
      <c r="Z2" s="1">
        <v>113.9</v>
      </c>
      <c r="AA2" s="1">
        <v>108.92</v>
      </c>
      <c r="AB2" s="1">
        <v>114.572</v>
      </c>
      <c r="AC2" s="1">
        <v>112.726</v>
      </c>
      <c r="AD2" s="1">
        <v>119.681</v>
      </c>
      <c r="AE2" s="1">
        <v>93.846199999999996</v>
      </c>
      <c r="AF2" s="1">
        <v>119.205</v>
      </c>
      <c r="AG2" s="1">
        <v>43.968699999999998</v>
      </c>
      <c r="AH2" s="1">
        <v>125.488</v>
      </c>
      <c r="AI2" s="1">
        <v>121.026</v>
      </c>
      <c r="AJ2" s="1">
        <v>107.1</v>
      </c>
      <c r="AK2" s="1">
        <v>114.27800000000001</v>
      </c>
      <c r="AL2" s="1">
        <v>100</v>
      </c>
      <c r="AM2" s="1">
        <v>113.20699999999999</v>
      </c>
      <c r="AN2" s="1">
        <v>100.283</v>
      </c>
      <c r="AO2" s="1">
        <v>118.83499999999999</v>
      </c>
      <c r="AP2" s="1">
        <v>118.032</v>
      </c>
      <c r="AQ2" s="1">
        <v>107.35299999999999</v>
      </c>
      <c r="AR2" s="1">
        <v>115.962</v>
      </c>
      <c r="AS2" s="1">
        <v>90.125500000000002</v>
      </c>
      <c r="AT2" s="1">
        <v>104.77</v>
      </c>
      <c r="AU2" s="1">
        <v>106.911</v>
      </c>
      <c r="AV2" s="1">
        <v>112.10599999999999</v>
      </c>
      <c r="AW2" s="1">
        <v>110.739</v>
      </c>
      <c r="AX2" s="1">
        <v>108.654</v>
      </c>
      <c r="AY2" s="1">
        <v>107.932</v>
      </c>
      <c r="AZ2" s="1">
        <v>118.82899999999999</v>
      </c>
      <c r="BA2" s="1">
        <v>117.621</v>
      </c>
      <c r="BB2" s="1">
        <v>125.036</v>
      </c>
      <c r="BC2" s="1">
        <v>104.84</v>
      </c>
      <c r="BD2" s="1">
        <v>110.197</v>
      </c>
      <c r="BE2" s="1">
        <v>107.42100000000001</v>
      </c>
      <c r="BF2" s="1">
        <v>110.938</v>
      </c>
      <c r="BG2" s="1">
        <v>112.983</v>
      </c>
      <c r="BH2" s="1">
        <v>163.108</v>
      </c>
      <c r="BI2" s="1">
        <v>119.254</v>
      </c>
      <c r="BJ2" s="1">
        <v>116.01</v>
      </c>
      <c r="BK2" s="1">
        <v>116.357</v>
      </c>
      <c r="BL2" s="1">
        <v>112.589</v>
      </c>
      <c r="BM2" s="1">
        <v>114.03700000000001</v>
      </c>
      <c r="BN2" s="1">
        <v>113.301</v>
      </c>
      <c r="BO2" s="1">
        <v>107.56100000000001</v>
      </c>
      <c r="BP2" s="1">
        <v>145.53800000000001</v>
      </c>
      <c r="BQ2" s="1">
        <v>110.666</v>
      </c>
      <c r="BR2" s="1">
        <v>107.348</v>
      </c>
      <c r="BS2" s="1">
        <v>105.279</v>
      </c>
      <c r="BT2" s="1">
        <v>113.34399999999999</v>
      </c>
      <c r="BU2" s="1">
        <v>110.51</v>
      </c>
      <c r="BV2" s="1">
        <v>113.3</v>
      </c>
      <c r="BW2" s="1">
        <v>62.697800000000001</v>
      </c>
      <c r="BX2" s="1">
        <v>113.301</v>
      </c>
      <c r="BY2" s="1">
        <v>118.297</v>
      </c>
      <c r="BZ2" s="1">
        <v>96.941400000000002</v>
      </c>
      <c r="CA2" s="1">
        <v>114.536</v>
      </c>
      <c r="CB2" s="1">
        <v>87.360100000000003</v>
      </c>
      <c r="CC2" s="1">
        <v>115.205</v>
      </c>
      <c r="CD2" s="1">
        <v>117.34699999999999</v>
      </c>
      <c r="CE2" s="1">
        <v>109.741</v>
      </c>
      <c r="CF2" s="1">
        <v>75.443899999999999</v>
      </c>
      <c r="CG2" s="1">
        <v>111.96</v>
      </c>
      <c r="CH2" s="1">
        <v>134.995</v>
      </c>
      <c r="CI2" s="1">
        <v>116.053</v>
      </c>
      <c r="CJ2" s="1">
        <v>114.79300000000001</v>
      </c>
      <c r="CK2" s="1">
        <v>124.33499999999999</v>
      </c>
      <c r="CL2" s="1">
        <v>123.045</v>
      </c>
      <c r="CM2" s="1">
        <v>113.30200000000001</v>
      </c>
      <c r="CN2" s="1">
        <v>136.79499999999999</v>
      </c>
      <c r="CO2" s="1">
        <v>123.19799999999999</v>
      </c>
      <c r="CP2" s="1">
        <v>98.857299999999995</v>
      </c>
      <c r="CQ2" s="1">
        <v>113.301</v>
      </c>
      <c r="CR2" s="1">
        <v>92.069800000000001</v>
      </c>
      <c r="CS2" s="1">
        <v>104.181</v>
      </c>
      <c r="CT2" s="1">
        <v>108.786</v>
      </c>
      <c r="CU2" s="1">
        <v>108.498</v>
      </c>
      <c r="CV2" s="1">
        <v>3.2704300000000002</v>
      </c>
      <c r="CW2" s="1">
        <v>105.13500000000001</v>
      </c>
      <c r="CX2" s="1">
        <v>100.371</v>
      </c>
      <c r="CY2" s="1">
        <v>159.89500000000001</v>
      </c>
      <c r="CZ2" s="1">
        <v>115.33799999999999</v>
      </c>
      <c r="DA2" s="1">
        <v>108.851</v>
      </c>
      <c r="DB2" s="1">
        <v>122.61199999999999</v>
      </c>
      <c r="DC2" s="1">
        <v>102.22499999999999</v>
      </c>
      <c r="DD2" s="1" t="s">
        <v>38</v>
      </c>
      <c r="DE2" s="1" t="s">
        <v>7</v>
      </c>
      <c r="DF2" s="1">
        <v>41</v>
      </c>
      <c r="DG2" s="1">
        <v>0.729209</v>
      </c>
    </row>
    <row r="3" spans="1:111" x14ac:dyDescent="0.6">
      <c r="A3" s="1">
        <v>1</v>
      </c>
      <c r="B3" s="1">
        <v>5</v>
      </c>
      <c r="C3" s="1">
        <v>0.8</v>
      </c>
      <c r="D3" s="1">
        <v>0.2</v>
      </c>
      <c r="E3" s="1">
        <v>135.06899999999999</v>
      </c>
      <c r="F3" s="1">
        <v>138.881</v>
      </c>
      <c r="G3" s="1">
        <v>145.684</v>
      </c>
      <c r="H3" s="1">
        <v>138.33000000000001</v>
      </c>
      <c r="I3" s="1">
        <v>140.715</v>
      </c>
      <c r="J3" s="1">
        <v>135.857</v>
      </c>
      <c r="K3" s="1">
        <v>129.57900000000001</v>
      </c>
      <c r="L3" s="1">
        <v>142.167</v>
      </c>
      <c r="M3" s="1" t="s">
        <v>144</v>
      </c>
      <c r="N3" s="1">
        <v>145.19300000000001</v>
      </c>
      <c r="O3" s="1">
        <v>135.61000000000001</v>
      </c>
      <c r="P3" s="1">
        <v>134.40100000000001</v>
      </c>
      <c r="Q3" s="1">
        <v>135.54</v>
      </c>
      <c r="R3" s="1">
        <v>133.84100000000001</v>
      </c>
      <c r="S3" s="1">
        <v>135.364</v>
      </c>
      <c r="T3" s="1">
        <v>148.34299999999999</v>
      </c>
      <c r="U3" s="1">
        <v>135.54</v>
      </c>
      <c r="V3" s="1">
        <v>41.716700000000003</v>
      </c>
      <c r="W3" s="1">
        <v>104.214</v>
      </c>
      <c r="X3" s="1">
        <v>135.61199999999999</v>
      </c>
      <c r="Y3" s="1">
        <v>135.874</v>
      </c>
      <c r="Z3" s="1">
        <v>136.191</v>
      </c>
      <c r="AA3" s="1">
        <v>148.76599999999999</v>
      </c>
      <c r="AB3" s="1">
        <v>114.86</v>
      </c>
      <c r="AC3" s="1">
        <v>135.53399999999999</v>
      </c>
      <c r="AD3" s="1">
        <v>143.36600000000001</v>
      </c>
      <c r="AE3" s="1">
        <v>142.45400000000001</v>
      </c>
      <c r="AF3" s="1">
        <v>137.989</v>
      </c>
      <c r="AG3" s="1">
        <v>88.034800000000004</v>
      </c>
      <c r="AH3" s="1">
        <v>146.28700000000001</v>
      </c>
      <c r="AI3" s="1">
        <v>138.953</v>
      </c>
      <c r="AJ3" s="1">
        <v>139.63499999999999</v>
      </c>
      <c r="AK3" s="1">
        <v>136.31800000000001</v>
      </c>
      <c r="AL3" s="1">
        <v>100</v>
      </c>
      <c r="AM3" s="1">
        <v>144.66399999999999</v>
      </c>
      <c r="AN3" s="1">
        <v>117.735</v>
      </c>
      <c r="AO3" s="1">
        <v>137.28</v>
      </c>
      <c r="AP3" s="1">
        <v>134.852</v>
      </c>
      <c r="AQ3" s="1">
        <v>131.44300000000001</v>
      </c>
      <c r="AR3" s="1">
        <v>226.80600000000001</v>
      </c>
      <c r="AS3" s="1">
        <v>197.13200000000001</v>
      </c>
      <c r="AT3" s="1">
        <v>130.56700000000001</v>
      </c>
      <c r="AU3" s="1">
        <v>134.22300000000001</v>
      </c>
      <c r="AV3" s="1">
        <v>131.316</v>
      </c>
      <c r="AW3" s="1">
        <v>134.928</v>
      </c>
      <c r="AX3" s="1">
        <v>135.29599999999999</v>
      </c>
      <c r="AY3" s="1">
        <v>136.96299999999999</v>
      </c>
      <c r="AZ3" s="1">
        <v>141.88900000000001</v>
      </c>
      <c r="BA3" s="1">
        <v>136.72200000000001</v>
      </c>
      <c r="BB3" s="1">
        <v>159.178</v>
      </c>
      <c r="BC3" s="1">
        <v>133.95500000000001</v>
      </c>
      <c r="BD3" s="1">
        <v>143.19999999999999</v>
      </c>
      <c r="BE3" s="1">
        <v>137.79900000000001</v>
      </c>
      <c r="BF3" s="1">
        <v>129.04400000000001</v>
      </c>
      <c r="BG3" s="1">
        <v>134.446</v>
      </c>
      <c r="BH3" s="1">
        <v>678.947</v>
      </c>
      <c r="BI3" s="1">
        <v>146.429</v>
      </c>
      <c r="BJ3" s="1">
        <v>142.06200000000001</v>
      </c>
      <c r="BK3" s="1">
        <v>136.18199999999999</v>
      </c>
      <c r="BL3" s="1">
        <v>132.947</v>
      </c>
      <c r="BM3" s="1">
        <v>142.91900000000001</v>
      </c>
      <c r="BN3" s="1">
        <v>135.54</v>
      </c>
      <c r="BO3" s="1">
        <v>135.41800000000001</v>
      </c>
      <c r="BP3" s="1">
        <v>240.80699999999999</v>
      </c>
      <c r="BQ3" s="1">
        <v>135.136</v>
      </c>
      <c r="BR3" s="1">
        <v>136.44300000000001</v>
      </c>
      <c r="BS3" s="1">
        <v>129.59200000000001</v>
      </c>
      <c r="BT3" s="1">
        <v>135.654</v>
      </c>
      <c r="BU3" s="1">
        <v>135.71</v>
      </c>
      <c r="BV3" s="1">
        <v>135.54300000000001</v>
      </c>
      <c r="BW3" s="1">
        <v>353.13299999999998</v>
      </c>
      <c r="BX3" s="1">
        <v>135.54</v>
      </c>
      <c r="BY3" s="1">
        <v>137.071</v>
      </c>
      <c r="BZ3" s="1">
        <v>148.34299999999999</v>
      </c>
      <c r="CA3" s="1">
        <v>135.85</v>
      </c>
      <c r="CB3" s="1">
        <v>122.88800000000001</v>
      </c>
      <c r="CC3" s="1">
        <v>136.196</v>
      </c>
      <c r="CD3" s="1">
        <v>136.63200000000001</v>
      </c>
      <c r="CE3" s="1">
        <v>134.999</v>
      </c>
      <c r="CF3" s="1">
        <v>92.534199999999998</v>
      </c>
      <c r="CG3" s="1">
        <v>135.34899999999999</v>
      </c>
      <c r="CH3" s="1">
        <v>141.33500000000001</v>
      </c>
      <c r="CI3" s="1">
        <v>135.899</v>
      </c>
      <c r="CJ3" s="1">
        <v>140.30500000000001</v>
      </c>
      <c r="CK3" s="1">
        <v>142.142</v>
      </c>
      <c r="CL3" s="1">
        <v>141.84700000000001</v>
      </c>
      <c r="CM3" s="1">
        <v>135.542</v>
      </c>
      <c r="CN3" s="1">
        <v>156.798</v>
      </c>
      <c r="CO3" s="1">
        <v>142.09</v>
      </c>
      <c r="CP3" s="1">
        <v>128.99100000000001</v>
      </c>
      <c r="CQ3" s="1">
        <v>135.54</v>
      </c>
      <c r="CR3" s="1">
        <v>123.018</v>
      </c>
      <c r="CS3" s="1">
        <v>132.72300000000001</v>
      </c>
      <c r="CT3" s="1">
        <v>136.93799999999999</v>
      </c>
      <c r="CU3" s="1">
        <v>136</v>
      </c>
      <c r="CV3" s="1">
        <v>4.4239699999999997</v>
      </c>
      <c r="CW3" s="1">
        <v>131.55099999999999</v>
      </c>
      <c r="CX3" s="1">
        <v>122.336</v>
      </c>
      <c r="CY3" s="1">
        <v>159.99799999999999</v>
      </c>
      <c r="CZ3" s="1">
        <v>135.964</v>
      </c>
      <c r="DA3" s="1">
        <v>136.494</v>
      </c>
      <c r="DB3" s="1">
        <v>147.001</v>
      </c>
      <c r="DC3" s="1">
        <v>132.39099999999999</v>
      </c>
      <c r="DD3" s="1" t="s">
        <v>38</v>
      </c>
      <c r="DE3" s="1" t="s">
        <v>7</v>
      </c>
      <c r="DF3" s="1">
        <v>41</v>
      </c>
      <c r="DG3" s="1">
        <v>0.67232000000000003</v>
      </c>
    </row>
    <row r="4" spans="1:111" x14ac:dyDescent="0.6">
      <c r="A4" s="1">
        <v>2</v>
      </c>
      <c r="B4" s="1">
        <v>10</v>
      </c>
      <c r="C4" s="1">
        <v>0.9</v>
      </c>
      <c r="D4" s="1">
        <v>0.1</v>
      </c>
      <c r="E4" s="1">
        <v>151.779</v>
      </c>
      <c r="F4" s="1">
        <v>152.80099999999999</v>
      </c>
      <c r="G4" s="1">
        <v>152.41999999999999</v>
      </c>
      <c r="H4" s="1">
        <v>147.82900000000001</v>
      </c>
      <c r="I4" s="1">
        <v>150.77000000000001</v>
      </c>
      <c r="J4" s="1">
        <v>154.33199999999999</v>
      </c>
      <c r="K4" s="1">
        <v>144.309</v>
      </c>
      <c r="L4" s="1">
        <v>149.79900000000001</v>
      </c>
      <c r="M4" s="1" t="s">
        <v>144</v>
      </c>
      <c r="N4" s="1">
        <v>189.827</v>
      </c>
      <c r="O4" s="1">
        <v>151.52500000000001</v>
      </c>
      <c r="P4" s="1">
        <v>148.035</v>
      </c>
      <c r="Q4" s="1">
        <v>150.292</v>
      </c>
      <c r="R4" s="1">
        <v>145.38800000000001</v>
      </c>
      <c r="S4" s="1">
        <v>150.79300000000001</v>
      </c>
      <c r="T4" s="1">
        <v>195.00299999999999</v>
      </c>
      <c r="U4" s="1">
        <v>150.292</v>
      </c>
      <c r="V4" s="1">
        <v>52.665999999999997</v>
      </c>
      <c r="W4" s="1">
        <v>319.39499999999998</v>
      </c>
      <c r="X4" s="1">
        <v>150.49100000000001</v>
      </c>
      <c r="Y4" s="1">
        <v>151.232</v>
      </c>
      <c r="Z4" s="1">
        <v>152.607</v>
      </c>
      <c r="AA4" s="1">
        <v>223.83699999999999</v>
      </c>
      <c r="AB4" s="1">
        <v>115.074</v>
      </c>
      <c r="AC4" s="1">
        <v>150.94900000000001</v>
      </c>
      <c r="AD4" s="1">
        <v>152.501</v>
      </c>
      <c r="AE4" s="1">
        <v>186.578</v>
      </c>
      <c r="AF4" s="1">
        <v>147.20400000000001</v>
      </c>
      <c r="AG4" s="1">
        <v>240.56399999999999</v>
      </c>
      <c r="AH4" s="1">
        <v>153.62799999999999</v>
      </c>
      <c r="AI4" s="1">
        <v>147.61699999999999</v>
      </c>
      <c r="AJ4" s="1">
        <v>165.39699999999999</v>
      </c>
      <c r="AK4" s="1">
        <v>152.41800000000001</v>
      </c>
      <c r="AL4" s="1">
        <v>100</v>
      </c>
      <c r="AM4" s="1">
        <v>154.429</v>
      </c>
      <c r="AN4" s="1">
        <v>137.62799999999999</v>
      </c>
      <c r="AO4" s="1">
        <v>147.54900000000001</v>
      </c>
      <c r="AP4" s="1">
        <v>144.21600000000001</v>
      </c>
      <c r="AQ4" s="1">
        <v>151.06299999999999</v>
      </c>
      <c r="AR4" s="1">
        <v>423.226</v>
      </c>
      <c r="AS4" s="1">
        <v>352.58499999999998</v>
      </c>
      <c r="AT4" s="1">
        <v>151.989</v>
      </c>
      <c r="AU4" s="1">
        <v>154.43299999999999</v>
      </c>
      <c r="AV4" s="1">
        <v>146.65600000000001</v>
      </c>
      <c r="AW4" s="1">
        <v>152.078</v>
      </c>
      <c r="AX4" s="1">
        <v>155.386</v>
      </c>
      <c r="AY4" s="1">
        <v>160.608</v>
      </c>
      <c r="AZ4" s="1">
        <v>150.74</v>
      </c>
      <c r="BA4" s="1">
        <v>147.60300000000001</v>
      </c>
      <c r="BB4" s="1">
        <v>174.07599999999999</v>
      </c>
      <c r="BC4" s="1">
        <v>146.94999999999999</v>
      </c>
      <c r="BD4" s="1">
        <v>157.6</v>
      </c>
      <c r="BE4" s="1">
        <v>160.92699999999999</v>
      </c>
      <c r="BF4" s="1">
        <v>145.47999999999999</v>
      </c>
      <c r="BG4" s="1">
        <v>153.93</v>
      </c>
      <c r="BH4" s="1">
        <v>2654.45</v>
      </c>
      <c r="BI4" s="1">
        <v>152.99</v>
      </c>
      <c r="BJ4" s="1">
        <v>159.34399999999999</v>
      </c>
      <c r="BK4" s="1">
        <v>148.077</v>
      </c>
      <c r="BL4" s="1">
        <v>147.94</v>
      </c>
      <c r="BM4" s="1">
        <v>175.40600000000001</v>
      </c>
      <c r="BN4" s="1">
        <v>150.292</v>
      </c>
      <c r="BO4" s="1">
        <v>147.67699999999999</v>
      </c>
      <c r="BP4" s="1">
        <v>327.29000000000002</v>
      </c>
      <c r="BQ4" s="1">
        <v>152.357</v>
      </c>
      <c r="BR4" s="1">
        <v>160.34899999999999</v>
      </c>
      <c r="BS4" s="1">
        <v>150.761</v>
      </c>
      <c r="BT4" s="1">
        <v>150.47200000000001</v>
      </c>
      <c r="BU4" s="1">
        <v>154.053</v>
      </c>
      <c r="BV4" s="1">
        <v>150.29900000000001</v>
      </c>
      <c r="BW4" s="1">
        <v>560.17399999999998</v>
      </c>
      <c r="BX4" s="1">
        <v>150.292</v>
      </c>
      <c r="BY4" s="1">
        <v>147.547</v>
      </c>
      <c r="BZ4" s="1">
        <v>195.00299999999999</v>
      </c>
      <c r="CA4" s="1">
        <v>149.376</v>
      </c>
      <c r="CB4" s="1">
        <v>140.76499999999999</v>
      </c>
      <c r="CC4" s="1">
        <v>149.40899999999999</v>
      </c>
      <c r="CD4" s="1">
        <v>147.934</v>
      </c>
      <c r="CE4" s="1">
        <v>153.00800000000001</v>
      </c>
      <c r="CF4" s="1">
        <v>94.675700000000006</v>
      </c>
      <c r="CG4" s="1">
        <v>151.51300000000001</v>
      </c>
      <c r="CH4" s="1">
        <v>148.38800000000001</v>
      </c>
      <c r="CI4" s="1">
        <v>149.375</v>
      </c>
      <c r="CJ4" s="1">
        <v>153.39599999999999</v>
      </c>
      <c r="CK4" s="1">
        <v>148.727</v>
      </c>
      <c r="CL4" s="1">
        <v>149.55000000000001</v>
      </c>
      <c r="CM4" s="1">
        <v>150.29599999999999</v>
      </c>
      <c r="CN4" s="1">
        <v>164.61</v>
      </c>
      <c r="CO4" s="1">
        <v>149.47</v>
      </c>
      <c r="CP4" s="1">
        <v>143.84800000000001</v>
      </c>
      <c r="CQ4" s="1">
        <v>150.292</v>
      </c>
      <c r="CR4" s="1">
        <v>139.92699999999999</v>
      </c>
      <c r="CS4" s="1">
        <v>146.012</v>
      </c>
      <c r="CT4" s="1">
        <v>148.857</v>
      </c>
      <c r="CU4" s="1">
        <v>148</v>
      </c>
      <c r="CV4" s="1">
        <v>5.1534599999999999</v>
      </c>
      <c r="CW4" s="1">
        <v>145.185</v>
      </c>
      <c r="CX4" s="1">
        <v>145.64699999999999</v>
      </c>
      <c r="CY4" s="1">
        <v>160</v>
      </c>
      <c r="CZ4" s="1">
        <v>148.64699999999999</v>
      </c>
      <c r="DA4" s="1">
        <v>148.55600000000001</v>
      </c>
      <c r="DB4" s="1">
        <v>166.86600000000001</v>
      </c>
      <c r="DC4" s="1">
        <v>163.42699999999999</v>
      </c>
      <c r="DD4" s="1" t="s">
        <v>38</v>
      </c>
      <c r="DE4" s="1" t="s">
        <v>7</v>
      </c>
      <c r="DF4" s="1">
        <v>41</v>
      </c>
      <c r="DG4" s="1">
        <v>0.65132199999999996</v>
      </c>
    </row>
    <row r="5" spans="1:111" x14ac:dyDescent="0.6">
      <c r="A5" s="1">
        <v>3</v>
      </c>
      <c r="B5" s="1">
        <v>25</v>
      </c>
      <c r="C5" s="1">
        <v>0.96</v>
      </c>
      <c r="D5" s="1">
        <v>0.04</v>
      </c>
      <c r="E5" s="1">
        <v>170.554</v>
      </c>
      <c r="F5" s="1">
        <v>164.61099999999999</v>
      </c>
      <c r="G5" s="1">
        <v>154.36699999999999</v>
      </c>
      <c r="H5" s="1">
        <v>154.57400000000001</v>
      </c>
      <c r="I5" s="1">
        <v>156.495</v>
      </c>
      <c r="J5" s="1">
        <v>175.51300000000001</v>
      </c>
      <c r="K5" s="1">
        <v>153.60400000000001</v>
      </c>
      <c r="L5" s="1">
        <v>154.846</v>
      </c>
      <c r="M5" s="1" t="s">
        <v>144</v>
      </c>
      <c r="N5" s="1">
        <v>316.75400000000002</v>
      </c>
      <c r="O5" s="1">
        <v>168.90700000000001</v>
      </c>
      <c r="P5" s="1">
        <v>160.744</v>
      </c>
      <c r="Q5" s="1">
        <v>166.024</v>
      </c>
      <c r="R5" s="1">
        <v>158.767</v>
      </c>
      <c r="S5" s="1">
        <v>167.512</v>
      </c>
      <c r="T5" s="1">
        <v>256.685</v>
      </c>
      <c r="U5" s="1">
        <v>166.024</v>
      </c>
      <c r="V5" s="1">
        <v>109.09699999999999</v>
      </c>
      <c r="W5" s="1">
        <v>1244.43</v>
      </c>
      <c r="X5" s="1">
        <v>166.386</v>
      </c>
      <c r="Y5" s="1">
        <v>167.84399999999999</v>
      </c>
      <c r="Z5" s="1">
        <v>172.46199999999999</v>
      </c>
      <c r="AA5" s="1">
        <v>467.084</v>
      </c>
      <c r="AB5" s="1">
        <v>115.315</v>
      </c>
      <c r="AC5" s="1">
        <v>167.64</v>
      </c>
      <c r="AD5" s="1">
        <v>157.37700000000001</v>
      </c>
      <c r="AE5" s="1">
        <v>244.90700000000001</v>
      </c>
      <c r="AF5" s="1">
        <v>154.227</v>
      </c>
      <c r="AG5" s="1">
        <v>824.57600000000002</v>
      </c>
      <c r="AH5" s="1">
        <v>157.589</v>
      </c>
      <c r="AI5" s="1">
        <v>154.44399999999999</v>
      </c>
      <c r="AJ5" s="1">
        <v>196.73099999999999</v>
      </c>
      <c r="AK5" s="1">
        <v>171.82</v>
      </c>
      <c r="AL5" s="1">
        <v>100</v>
      </c>
      <c r="AM5" s="1">
        <v>158.53899999999999</v>
      </c>
      <c r="AN5" s="1">
        <v>171.08600000000001</v>
      </c>
      <c r="AO5" s="1">
        <v>157.154</v>
      </c>
      <c r="AP5" s="1">
        <v>152.97499999999999</v>
      </c>
      <c r="AQ5" s="1">
        <v>175.85400000000001</v>
      </c>
      <c r="AR5" s="1">
        <v>1004.75</v>
      </c>
      <c r="AS5" s="1">
        <v>656.95500000000004</v>
      </c>
      <c r="AT5" s="1">
        <v>179.15100000000001</v>
      </c>
      <c r="AU5" s="1">
        <v>177.18</v>
      </c>
      <c r="AV5" s="1">
        <v>166.36600000000001</v>
      </c>
      <c r="AW5" s="1">
        <v>171.41499999999999</v>
      </c>
      <c r="AX5" s="1">
        <v>179.114</v>
      </c>
      <c r="AY5" s="1">
        <v>190.48400000000001</v>
      </c>
      <c r="AZ5" s="1">
        <v>156.07900000000001</v>
      </c>
      <c r="BA5" s="1">
        <v>157.85300000000001</v>
      </c>
      <c r="BB5" s="1">
        <v>183.01400000000001</v>
      </c>
      <c r="BC5" s="1">
        <v>154.82599999999999</v>
      </c>
      <c r="BD5" s="1">
        <v>166.24</v>
      </c>
      <c r="BE5" s="1">
        <v>187.673</v>
      </c>
      <c r="BF5" s="1">
        <v>167.20699999999999</v>
      </c>
      <c r="BG5" s="1">
        <v>179.68700000000001</v>
      </c>
      <c r="BH5" s="1">
        <v>16482.5</v>
      </c>
      <c r="BI5" s="1">
        <v>156.62299999999999</v>
      </c>
      <c r="BJ5" s="1">
        <v>177.773</v>
      </c>
      <c r="BK5" s="1">
        <v>159.809</v>
      </c>
      <c r="BL5" s="1">
        <v>166.07300000000001</v>
      </c>
      <c r="BM5" s="1">
        <v>229.92400000000001</v>
      </c>
      <c r="BN5" s="1">
        <v>166.02500000000001</v>
      </c>
      <c r="BO5" s="1">
        <v>155.06299999999999</v>
      </c>
      <c r="BP5" s="1">
        <v>441.61399999999998</v>
      </c>
      <c r="BQ5" s="1">
        <v>171.41</v>
      </c>
      <c r="BR5" s="1">
        <v>190.82300000000001</v>
      </c>
      <c r="BS5" s="1">
        <v>178.49199999999999</v>
      </c>
      <c r="BT5" s="1">
        <v>166.28800000000001</v>
      </c>
      <c r="BU5" s="1">
        <v>175.07</v>
      </c>
      <c r="BV5" s="1">
        <v>166.035</v>
      </c>
      <c r="BW5" s="1">
        <v>793.58500000000004</v>
      </c>
      <c r="BX5" s="1">
        <v>166.024</v>
      </c>
      <c r="BY5" s="1">
        <v>157.24</v>
      </c>
      <c r="BZ5" s="1">
        <v>256.685</v>
      </c>
      <c r="CA5" s="1">
        <v>163.27099999999999</v>
      </c>
      <c r="CB5" s="1">
        <v>152.14599999999999</v>
      </c>
      <c r="CC5" s="1">
        <v>162.97</v>
      </c>
      <c r="CD5" s="1">
        <v>158.922</v>
      </c>
      <c r="CE5" s="1">
        <v>173.03800000000001</v>
      </c>
      <c r="CF5" s="1">
        <v>94.978700000000003</v>
      </c>
      <c r="CG5" s="1">
        <v>169.33699999999999</v>
      </c>
      <c r="CH5" s="1">
        <v>162.74799999999999</v>
      </c>
      <c r="CI5" s="1">
        <v>163.916</v>
      </c>
      <c r="CJ5" s="1">
        <v>163.16900000000001</v>
      </c>
      <c r="CK5" s="1">
        <v>153.477</v>
      </c>
      <c r="CL5" s="1">
        <v>154.71700000000001</v>
      </c>
      <c r="CM5" s="1">
        <v>166.029</v>
      </c>
      <c r="CN5" s="1">
        <v>169.09100000000001</v>
      </c>
      <c r="CO5" s="1">
        <v>154.53100000000001</v>
      </c>
      <c r="CP5" s="1">
        <v>153.37</v>
      </c>
      <c r="CQ5" s="1">
        <v>166.024</v>
      </c>
      <c r="CR5" s="1">
        <v>151.51599999999999</v>
      </c>
      <c r="CS5" s="1">
        <v>154.31100000000001</v>
      </c>
      <c r="CT5" s="1">
        <v>155.739</v>
      </c>
      <c r="CU5" s="1">
        <v>155.19999999999999</v>
      </c>
      <c r="CV5" s="1">
        <v>5.7056800000000001</v>
      </c>
      <c r="CW5" s="1">
        <v>153.99199999999999</v>
      </c>
      <c r="CX5" s="1">
        <v>180.70599999999999</v>
      </c>
      <c r="CY5" s="1">
        <v>160</v>
      </c>
      <c r="CZ5" s="1">
        <v>161.35900000000001</v>
      </c>
      <c r="DA5" s="1">
        <v>155.79300000000001</v>
      </c>
      <c r="DB5" s="1">
        <v>191.965</v>
      </c>
      <c r="DC5" s="1">
        <v>213.25200000000001</v>
      </c>
      <c r="DD5" s="1" t="s">
        <v>38</v>
      </c>
      <c r="DE5" s="1" t="s">
        <v>7</v>
      </c>
      <c r="DF5" s="1">
        <v>41</v>
      </c>
      <c r="DG5" s="1">
        <v>0.63960300000000003</v>
      </c>
    </row>
    <row r="6" spans="1:111" x14ac:dyDescent="0.6">
      <c r="A6" s="1">
        <v>4</v>
      </c>
      <c r="B6" s="1">
        <v>50</v>
      </c>
      <c r="C6" s="1">
        <v>0.98</v>
      </c>
      <c r="D6" s="1">
        <v>0.02</v>
      </c>
      <c r="E6" s="1">
        <v>183.245</v>
      </c>
      <c r="F6" s="1">
        <v>170.44399999999999</v>
      </c>
      <c r="G6" s="1">
        <v>154.64699999999999</v>
      </c>
      <c r="H6" s="1">
        <v>157.386</v>
      </c>
      <c r="I6" s="1">
        <v>158.31200000000001</v>
      </c>
      <c r="J6" s="1">
        <v>190.035</v>
      </c>
      <c r="K6" s="1">
        <v>156.78200000000001</v>
      </c>
      <c r="L6" s="1">
        <v>157.32400000000001</v>
      </c>
      <c r="M6" s="1" t="s">
        <v>144</v>
      </c>
      <c r="N6" s="1">
        <v>526.07399999999996</v>
      </c>
      <c r="O6" s="1">
        <v>180.363</v>
      </c>
      <c r="P6" s="1">
        <v>167.75700000000001</v>
      </c>
      <c r="Q6" s="1">
        <v>176.18700000000001</v>
      </c>
      <c r="R6" s="1">
        <v>168.15199999999999</v>
      </c>
      <c r="S6" s="1">
        <v>178.459</v>
      </c>
      <c r="T6" s="1">
        <v>303.346</v>
      </c>
      <c r="U6" s="1">
        <v>176.18700000000001</v>
      </c>
      <c r="V6" s="1">
        <v>212.358</v>
      </c>
      <c r="W6" s="1">
        <v>2971.99</v>
      </c>
      <c r="X6" s="1">
        <v>176.67099999999999</v>
      </c>
      <c r="Y6" s="1">
        <v>178.70400000000001</v>
      </c>
      <c r="Z6" s="1">
        <v>186.911</v>
      </c>
      <c r="AA6" s="1">
        <v>883.75400000000002</v>
      </c>
      <c r="AB6" s="1">
        <v>115.47499999999999</v>
      </c>
      <c r="AC6" s="1">
        <v>178.56100000000001</v>
      </c>
      <c r="AD6" s="1">
        <v>158.81399999999999</v>
      </c>
      <c r="AE6" s="1">
        <v>289.03100000000001</v>
      </c>
      <c r="AF6" s="1">
        <v>157.37899999999999</v>
      </c>
      <c r="AG6" s="1">
        <v>1796.76</v>
      </c>
      <c r="AH6" s="1">
        <v>158.828</v>
      </c>
      <c r="AI6" s="1">
        <v>157.727</v>
      </c>
      <c r="AJ6" s="1">
        <v>219.161</v>
      </c>
      <c r="AK6" s="1">
        <v>185.917</v>
      </c>
      <c r="AL6" s="1">
        <v>100</v>
      </c>
      <c r="AM6" s="1">
        <v>159.46899999999999</v>
      </c>
      <c r="AN6" s="1">
        <v>202.71700000000001</v>
      </c>
      <c r="AO6" s="1">
        <v>162.74600000000001</v>
      </c>
      <c r="AP6" s="1">
        <v>158.07400000000001</v>
      </c>
      <c r="AQ6" s="1">
        <v>194.24600000000001</v>
      </c>
      <c r="AR6" s="1">
        <v>1971.41</v>
      </c>
      <c r="AS6" s="1">
        <v>972.26900000000001</v>
      </c>
      <c r="AT6" s="1">
        <v>199.31399999999999</v>
      </c>
      <c r="AU6" s="1">
        <v>192.34399999999999</v>
      </c>
      <c r="AV6" s="1">
        <v>181.184</v>
      </c>
      <c r="AW6" s="1">
        <v>184.517</v>
      </c>
      <c r="AX6" s="1">
        <v>195.78100000000001</v>
      </c>
      <c r="AY6" s="1">
        <v>212.648</v>
      </c>
      <c r="AZ6" s="1">
        <v>158.08099999999999</v>
      </c>
      <c r="BA6" s="1">
        <v>163.81299999999999</v>
      </c>
      <c r="BB6" s="1">
        <v>185.994</v>
      </c>
      <c r="BC6" s="1">
        <v>157.46600000000001</v>
      </c>
      <c r="BD6" s="1">
        <v>169.12</v>
      </c>
      <c r="BE6" s="1">
        <v>205.86600000000001</v>
      </c>
      <c r="BF6" s="1">
        <v>183.643</v>
      </c>
      <c r="BG6" s="1">
        <v>199.17099999999999</v>
      </c>
      <c r="BH6" s="1">
        <v>65868.5</v>
      </c>
      <c r="BI6" s="1">
        <v>158.05799999999999</v>
      </c>
      <c r="BJ6" s="1">
        <v>189.679</v>
      </c>
      <c r="BK6" s="1">
        <v>166.91900000000001</v>
      </c>
      <c r="BL6" s="1">
        <v>179.26900000000001</v>
      </c>
      <c r="BM6" s="1">
        <v>282.14100000000002</v>
      </c>
      <c r="BN6" s="1">
        <v>176.18799999999999</v>
      </c>
      <c r="BO6" s="1">
        <v>157.53</v>
      </c>
      <c r="BP6" s="1">
        <v>528.09699999999998</v>
      </c>
      <c r="BQ6" s="1">
        <v>184.035</v>
      </c>
      <c r="BR6" s="1">
        <v>213.62700000000001</v>
      </c>
      <c r="BS6" s="1">
        <v>199.428</v>
      </c>
      <c r="BT6" s="1">
        <v>176.51499999999999</v>
      </c>
      <c r="BU6" s="1">
        <v>189.458</v>
      </c>
      <c r="BV6" s="1">
        <v>176.20099999999999</v>
      </c>
      <c r="BW6" s="1">
        <v>951.298</v>
      </c>
      <c r="BX6" s="1">
        <v>176.18700000000001</v>
      </c>
      <c r="BY6" s="1">
        <v>162.792</v>
      </c>
      <c r="BZ6" s="1">
        <v>303.346</v>
      </c>
      <c r="CA6" s="1">
        <v>171.96</v>
      </c>
      <c r="CB6" s="1">
        <v>156.047</v>
      </c>
      <c r="CC6" s="1">
        <v>171.48099999999999</v>
      </c>
      <c r="CD6" s="1">
        <v>165.52099999999999</v>
      </c>
      <c r="CE6" s="1">
        <v>186.34</v>
      </c>
      <c r="CF6" s="1">
        <v>94.997600000000006</v>
      </c>
      <c r="CG6" s="1">
        <v>181.179</v>
      </c>
      <c r="CH6" s="1">
        <v>179.28100000000001</v>
      </c>
      <c r="CI6" s="1">
        <v>173.37700000000001</v>
      </c>
      <c r="CJ6" s="1">
        <v>167.36500000000001</v>
      </c>
      <c r="CK6" s="1">
        <v>158.51900000000001</v>
      </c>
      <c r="CL6" s="1">
        <v>157.19800000000001</v>
      </c>
      <c r="CM6" s="1">
        <v>176.19200000000001</v>
      </c>
      <c r="CN6" s="1">
        <v>170.553</v>
      </c>
      <c r="CO6" s="1">
        <v>157.07599999999999</v>
      </c>
      <c r="CP6" s="1">
        <v>156.655</v>
      </c>
      <c r="CQ6" s="1">
        <v>176.18700000000001</v>
      </c>
      <c r="CR6" s="1">
        <v>155.67400000000001</v>
      </c>
      <c r="CS6" s="1">
        <v>157.13900000000001</v>
      </c>
      <c r="CT6" s="1">
        <v>157.93799999999999</v>
      </c>
      <c r="CU6" s="1">
        <v>157.6</v>
      </c>
      <c r="CV6" s="1">
        <v>5.9053800000000001</v>
      </c>
      <c r="CW6" s="1">
        <v>156.99</v>
      </c>
      <c r="CX6" s="1">
        <v>209.87899999999999</v>
      </c>
      <c r="CY6" s="1">
        <v>160</v>
      </c>
      <c r="CZ6" s="1">
        <v>169.161</v>
      </c>
      <c r="DA6" s="1">
        <v>158.20500000000001</v>
      </c>
      <c r="DB6" s="1">
        <v>210.584</v>
      </c>
      <c r="DC6" s="1">
        <v>259.79399999999998</v>
      </c>
      <c r="DD6" s="1" t="s">
        <v>38</v>
      </c>
      <c r="DE6" s="1" t="s">
        <v>7</v>
      </c>
      <c r="DF6" s="1">
        <v>41</v>
      </c>
      <c r="DG6" s="1">
        <v>0.63583000000000001</v>
      </c>
    </row>
    <row r="7" spans="1:111" x14ac:dyDescent="0.6">
      <c r="A7" s="1">
        <v>5</v>
      </c>
      <c r="B7" s="1">
        <v>100</v>
      </c>
      <c r="C7" s="1">
        <v>0.99</v>
      </c>
      <c r="D7" s="1">
        <v>0.01</v>
      </c>
      <c r="E7" s="1">
        <v>195.06</v>
      </c>
      <c r="F7" s="1">
        <v>174.53800000000001</v>
      </c>
      <c r="G7" s="1">
        <v>154.71700000000001</v>
      </c>
      <c r="H7" s="1">
        <v>159.114</v>
      </c>
      <c r="I7" s="1">
        <v>159.18700000000001</v>
      </c>
      <c r="J7" s="1">
        <v>203.67599999999999</v>
      </c>
      <c r="K7" s="1">
        <v>158.386</v>
      </c>
      <c r="L7" s="1">
        <v>159.386</v>
      </c>
      <c r="M7" s="1" t="s">
        <v>144</v>
      </c>
      <c r="N7" s="1">
        <v>943.88900000000001</v>
      </c>
      <c r="O7" s="1">
        <v>190.821</v>
      </c>
      <c r="P7" s="1">
        <v>173.20599999999999</v>
      </c>
      <c r="Q7" s="1">
        <v>185.328</v>
      </c>
      <c r="R7" s="1">
        <v>177.143</v>
      </c>
      <c r="S7" s="1">
        <v>188.404</v>
      </c>
      <c r="T7" s="1">
        <v>350.00700000000001</v>
      </c>
      <c r="U7" s="1">
        <v>185.328</v>
      </c>
      <c r="V7" s="1">
        <v>395.87400000000002</v>
      </c>
      <c r="W7" s="1">
        <v>6345.72</v>
      </c>
      <c r="X7" s="1">
        <v>185.934</v>
      </c>
      <c r="Y7" s="1">
        <v>188.56100000000001</v>
      </c>
      <c r="Z7" s="1">
        <v>201.148</v>
      </c>
      <c r="AA7" s="1">
        <v>1722.19</v>
      </c>
      <c r="AB7" s="1">
        <v>115.622</v>
      </c>
      <c r="AC7" s="1">
        <v>188.47800000000001</v>
      </c>
      <c r="AD7" s="1">
        <v>159.464</v>
      </c>
      <c r="AE7" s="1">
        <v>333.15600000000001</v>
      </c>
      <c r="AF7" s="1">
        <v>159.43199999999999</v>
      </c>
      <c r="AG7" s="1">
        <v>3510.79</v>
      </c>
      <c r="AH7" s="1">
        <v>159.42699999999999</v>
      </c>
      <c r="AI7" s="1">
        <v>160.041</v>
      </c>
      <c r="AJ7" s="1">
        <v>240.839</v>
      </c>
      <c r="AK7" s="1">
        <v>199.798</v>
      </c>
      <c r="AL7" s="1">
        <v>100</v>
      </c>
      <c r="AM7" s="1">
        <v>159.80699999999999</v>
      </c>
      <c r="AN7" s="1">
        <v>240.62899999999999</v>
      </c>
      <c r="AO7" s="1">
        <v>167.423</v>
      </c>
      <c r="AP7" s="1">
        <v>162.339</v>
      </c>
      <c r="AQ7" s="1">
        <v>212.501</v>
      </c>
      <c r="AR7" s="1">
        <v>3903.78</v>
      </c>
      <c r="AS7" s="1">
        <v>1369.78</v>
      </c>
      <c r="AT7" s="1">
        <v>219.33199999999999</v>
      </c>
      <c r="AU7" s="1">
        <v>206.22200000000001</v>
      </c>
      <c r="AV7" s="1">
        <v>195.98699999999999</v>
      </c>
      <c r="AW7" s="1">
        <v>196.73400000000001</v>
      </c>
      <c r="AX7" s="1">
        <v>211.71</v>
      </c>
      <c r="AY7" s="1">
        <v>234.648</v>
      </c>
      <c r="AZ7" s="1">
        <v>159.268</v>
      </c>
      <c r="BA7" s="1">
        <v>168.773</v>
      </c>
      <c r="BB7" s="1">
        <v>187.5</v>
      </c>
      <c r="BC7" s="1">
        <v>158.79</v>
      </c>
      <c r="BD7" s="1">
        <v>170.56</v>
      </c>
      <c r="BE7" s="1">
        <v>222.733</v>
      </c>
      <c r="BF7" s="1">
        <v>200.07900000000001</v>
      </c>
      <c r="BG7" s="1">
        <v>218.655</v>
      </c>
      <c r="BH7" s="1">
        <v>263412</v>
      </c>
      <c r="BI7" s="1">
        <v>158.99199999999999</v>
      </c>
      <c r="BJ7" s="1">
        <v>200.38800000000001</v>
      </c>
      <c r="BK7" s="1">
        <v>173.02799999999999</v>
      </c>
      <c r="BL7" s="1">
        <v>192.27199999999999</v>
      </c>
      <c r="BM7" s="1">
        <v>346.2</v>
      </c>
      <c r="BN7" s="1">
        <v>185.32900000000001</v>
      </c>
      <c r="BO7" s="1">
        <v>158.76499999999999</v>
      </c>
      <c r="BP7" s="1">
        <v>614.58000000000004</v>
      </c>
      <c r="BQ7" s="1">
        <v>195.57499999999999</v>
      </c>
      <c r="BR7" s="1">
        <v>236.429</v>
      </c>
      <c r="BS7" s="1">
        <v>220.357</v>
      </c>
      <c r="BT7" s="1">
        <v>185.71899999999999</v>
      </c>
      <c r="BU7" s="1">
        <v>202.95099999999999</v>
      </c>
      <c r="BV7" s="1">
        <v>185.346</v>
      </c>
      <c r="BW7" s="1">
        <v>1097.8</v>
      </c>
      <c r="BX7" s="1">
        <v>185.328</v>
      </c>
      <c r="BY7" s="1">
        <v>167.363</v>
      </c>
      <c r="BZ7" s="1">
        <v>350.00700000000001</v>
      </c>
      <c r="CA7" s="1">
        <v>179.58600000000001</v>
      </c>
      <c r="CB7" s="1">
        <v>158.017</v>
      </c>
      <c r="CC7" s="1">
        <v>178.99100000000001</v>
      </c>
      <c r="CD7" s="1">
        <v>171.16399999999999</v>
      </c>
      <c r="CE7" s="1">
        <v>198.50700000000001</v>
      </c>
      <c r="CF7" s="1">
        <v>95.000100000000003</v>
      </c>
      <c r="CG7" s="1">
        <v>192.05500000000001</v>
      </c>
      <c r="CH7" s="1">
        <v>202.33500000000001</v>
      </c>
      <c r="CI7" s="1">
        <v>181.923</v>
      </c>
      <c r="CJ7" s="1">
        <v>169.98</v>
      </c>
      <c r="CK7" s="1">
        <v>167.89699999999999</v>
      </c>
      <c r="CL7" s="1">
        <v>159.12700000000001</v>
      </c>
      <c r="CM7" s="1">
        <v>185.334</v>
      </c>
      <c r="CN7" s="1">
        <v>171.27799999999999</v>
      </c>
      <c r="CO7" s="1">
        <v>158.875</v>
      </c>
      <c r="CP7" s="1">
        <v>158.32</v>
      </c>
      <c r="CQ7" s="1">
        <v>185.328</v>
      </c>
      <c r="CR7" s="1">
        <v>157.815</v>
      </c>
      <c r="CS7" s="1">
        <v>158.565</v>
      </c>
      <c r="CT7" s="1">
        <v>159</v>
      </c>
      <c r="CU7" s="1">
        <v>158.80000000000001</v>
      </c>
      <c r="CV7" s="1">
        <v>6.00678</v>
      </c>
      <c r="CW7" s="1">
        <v>158.494</v>
      </c>
      <c r="CX7" s="1">
        <v>240.91900000000001</v>
      </c>
      <c r="CY7" s="1">
        <v>160</v>
      </c>
      <c r="CZ7" s="1">
        <v>175.923</v>
      </c>
      <c r="DA7" s="1">
        <v>159.411</v>
      </c>
      <c r="DB7" s="1">
        <v>229.06700000000001</v>
      </c>
      <c r="DC7" s="1">
        <v>316.03300000000002</v>
      </c>
      <c r="DD7" s="1" t="s">
        <v>38</v>
      </c>
      <c r="DE7" s="1" t="s">
        <v>7</v>
      </c>
      <c r="DF7" s="1">
        <v>41</v>
      </c>
      <c r="DG7" s="1">
        <v>0.63396799999999998</v>
      </c>
    </row>
    <row r="8" spans="1:111" x14ac:dyDescent="0.6">
      <c r="A8" s="1">
        <v>6</v>
      </c>
      <c r="B8" s="1">
        <v>250</v>
      </c>
      <c r="C8" s="1">
        <v>0.996</v>
      </c>
      <c r="D8" s="1">
        <v>4.0000000000000001E-3</v>
      </c>
      <c r="E8" s="1">
        <v>209.70500000000001</v>
      </c>
      <c r="F8" s="1">
        <v>178.15600000000001</v>
      </c>
      <c r="G8" s="1">
        <v>154.73699999999999</v>
      </c>
      <c r="H8" s="1">
        <v>160.43700000000001</v>
      </c>
      <c r="I8" s="1">
        <v>159.69</v>
      </c>
      <c r="J8" s="1">
        <v>220.71199999999999</v>
      </c>
      <c r="K8" s="1">
        <v>159.35300000000001</v>
      </c>
      <c r="L8" s="1">
        <v>161.85400000000001</v>
      </c>
      <c r="M8" s="1" t="s">
        <v>144</v>
      </c>
      <c r="N8" s="1">
        <v>2196.67</v>
      </c>
      <c r="O8" s="1">
        <v>203.50899999999999</v>
      </c>
      <c r="P8" s="1">
        <v>178.64500000000001</v>
      </c>
      <c r="Q8" s="1">
        <v>196.251</v>
      </c>
      <c r="R8" s="1">
        <v>188.607</v>
      </c>
      <c r="S8" s="1">
        <v>200.41</v>
      </c>
      <c r="T8" s="1">
        <v>411.68900000000002</v>
      </c>
      <c r="U8" s="1">
        <v>196.25</v>
      </c>
      <c r="V8" s="1">
        <v>805.64599999999996</v>
      </c>
      <c r="W8" s="1">
        <v>15149.9</v>
      </c>
      <c r="X8" s="1">
        <v>197.01400000000001</v>
      </c>
      <c r="Y8" s="1">
        <v>200.44800000000001</v>
      </c>
      <c r="Z8" s="1">
        <v>219.81899999999999</v>
      </c>
      <c r="AA8" s="1">
        <v>4241.74</v>
      </c>
      <c r="AB8" s="1">
        <v>115.8</v>
      </c>
      <c r="AC8" s="1">
        <v>200.44499999999999</v>
      </c>
      <c r="AD8" s="1">
        <v>159.81200000000001</v>
      </c>
      <c r="AE8" s="1">
        <v>391.48500000000001</v>
      </c>
      <c r="AF8" s="1">
        <v>161.102</v>
      </c>
      <c r="AG8" s="1">
        <v>7494.5</v>
      </c>
      <c r="AH8" s="1">
        <v>159.77699999999999</v>
      </c>
      <c r="AI8" s="1">
        <v>162.13800000000001</v>
      </c>
      <c r="AJ8" s="1">
        <v>268.63900000000001</v>
      </c>
      <c r="AK8" s="1">
        <v>217.99600000000001</v>
      </c>
      <c r="AL8" s="1">
        <v>100</v>
      </c>
      <c r="AM8" s="1">
        <v>159.94900000000001</v>
      </c>
      <c r="AN8" s="1">
        <v>301.80799999999999</v>
      </c>
      <c r="AO8" s="1">
        <v>172.62700000000001</v>
      </c>
      <c r="AP8" s="1">
        <v>167.083</v>
      </c>
      <c r="AQ8" s="1">
        <v>236.53800000000001</v>
      </c>
      <c r="AR8" s="1">
        <v>9700.11</v>
      </c>
      <c r="AS8" s="1">
        <v>2035.21</v>
      </c>
      <c r="AT8" s="1">
        <v>245.68799999999999</v>
      </c>
      <c r="AU8" s="1">
        <v>223.041</v>
      </c>
      <c r="AV8" s="1">
        <v>215.55</v>
      </c>
      <c r="AW8" s="1">
        <v>211.893</v>
      </c>
      <c r="AX8" s="1">
        <v>231.95</v>
      </c>
      <c r="AY8" s="1">
        <v>263.61500000000001</v>
      </c>
      <c r="AZ8" s="1">
        <v>160.18299999999999</v>
      </c>
      <c r="BA8" s="1">
        <v>174.244</v>
      </c>
      <c r="BB8" s="1">
        <v>188.52099999999999</v>
      </c>
      <c r="BC8" s="1">
        <v>159.58600000000001</v>
      </c>
      <c r="BD8" s="1">
        <v>171.42400000000001</v>
      </c>
      <c r="BE8" s="1">
        <v>243.41800000000001</v>
      </c>
      <c r="BF8" s="1">
        <v>221.80600000000001</v>
      </c>
      <c r="BG8" s="1">
        <v>244.41200000000001</v>
      </c>
      <c r="BH8" s="4">
        <v>1646220</v>
      </c>
      <c r="BI8" s="1">
        <v>159.81399999999999</v>
      </c>
      <c r="BJ8" s="1">
        <v>213.18299999999999</v>
      </c>
      <c r="BK8" s="1">
        <v>179.99799999999999</v>
      </c>
      <c r="BL8" s="1">
        <v>209.32400000000001</v>
      </c>
      <c r="BM8" s="1">
        <v>453.69799999999998</v>
      </c>
      <c r="BN8" s="1">
        <v>196.25299999999999</v>
      </c>
      <c r="BO8" s="1">
        <v>159.506</v>
      </c>
      <c r="BP8" s="1">
        <v>728.904</v>
      </c>
      <c r="BQ8" s="1">
        <v>209.565</v>
      </c>
      <c r="BR8" s="1">
        <v>266.70699999999999</v>
      </c>
      <c r="BS8" s="1">
        <v>248.02099999999999</v>
      </c>
      <c r="BT8" s="1">
        <v>196.72300000000001</v>
      </c>
      <c r="BU8" s="1">
        <v>219.767</v>
      </c>
      <c r="BV8" s="1">
        <v>196.27199999999999</v>
      </c>
      <c r="BW8" s="1">
        <v>1278.6199999999999</v>
      </c>
      <c r="BX8" s="1">
        <v>196.251</v>
      </c>
      <c r="BY8" s="1">
        <v>172.35499999999999</v>
      </c>
      <c r="BZ8" s="1">
        <v>411.68900000000002</v>
      </c>
      <c r="CA8" s="1">
        <v>188.464</v>
      </c>
      <c r="CB8" s="1">
        <v>159.20500000000001</v>
      </c>
      <c r="CC8" s="1">
        <v>187.80199999999999</v>
      </c>
      <c r="CD8" s="1">
        <v>177.58099999999999</v>
      </c>
      <c r="CE8" s="1">
        <v>213.26</v>
      </c>
      <c r="CF8" s="1">
        <v>95.000399999999999</v>
      </c>
      <c r="CG8" s="1">
        <v>205.334</v>
      </c>
      <c r="CH8" s="1">
        <v>245.62899999999999</v>
      </c>
      <c r="CI8" s="1">
        <v>192.17099999999999</v>
      </c>
      <c r="CJ8" s="1">
        <v>172.001</v>
      </c>
      <c r="CK8" s="1">
        <v>195.50200000000001</v>
      </c>
      <c r="CL8" s="1">
        <v>161.19399999999999</v>
      </c>
      <c r="CM8" s="1">
        <v>196.25800000000001</v>
      </c>
      <c r="CN8" s="1">
        <v>171.71199999999999</v>
      </c>
      <c r="CO8" s="1">
        <v>160.47200000000001</v>
      </c>
      <c r="CP8" s="1">
        <v>159.32599999999999</v>
      </c>
      <c r="CQ8" s="1">
        <v>196.251</v>
      </c>
      <c r="CR8" s="1">
        <v>159.12100000000001</v>
      </c>
      <c r="CS8" s="1">
        <v>159.42500000000001</v>
      </c>
      <c r="CT8" s="1">
        <v>159.61500000000001</v>
      </c>
      <c r="CU8" s="1">
        <v>159.52000000000001</v>
      </c>
      <c r="CV8" s="1">
        <v>6.0678700000000001</v>
      </c>
      <c r="CW8" s="1">
        <v>159.398</v>
      </c>
      <c r="CX8" s="1">
        <v>284.30599999999998</v>
      </c>
      <c r="CY8" s="1">
        <v>160</v>
      </c>
      <c r="CZ8" s="1">
        <v>183.709</v>
      </c>
      <c r="DA8" s="1">
        <v>160.13499999999999</v>
      </c>
      <c r="DB8" s="1">
        <v>253.40199999999999</v>
      </c>
      <c r="DC8" s="1">
        <v>409.05700000000002</v>
      </c>
      <c r="DD8" s="1" t="s">
        <v>38</v>
      </c>
      <c r="DE8" s="1" t="s">
        <v>7</v>
      </c>
      <c r="DF8" s="1">
        <v>41</v>
      </c>
      <c r="DG8" s="1">
        <v>0.63285800000000003</v>
      </c>
    </row>
    <row r="9" spans="1:111" x14ac:dyDescent="0.6">
      <c r="A9" s="1">
        <v>7</v>
      </c>
      <c r="B9" s="1">
        <v>500</v>
      </c>
      <c r="C9" s="1">
        <v>0.998</v>
      </c>
      <c r="D9" s="1">
        <v>2E-3</v>
      </c>
      <c r="E9" s="1">
        <v>220.22499999999999</v>
      </c>
      <c r="F9" s="1">
        <v>179.976</v>
      </c>
      <c r="G9" s="1">
        <v>154.74</v>
      </c>
      <c r="H9" s="1">
        <v>161.01300000000001</v>
      </c>
      <c r="I9" s="1">
        <v>159.851</v>
      </c>
      <c r="J9" s="1">
        <v>233.02</v>
      </c>
      <c r="K9" s="1">
        <v>159.67699999999999</v>
      </c>
      <c r="L9" s="1">
        <v>163.648</v>
      </c>
      <c r="M9" s="1" t="s">
        <v>144</v>
      </c>
      <c r="N9" s="1">
        <v>4284.43</v>
      </c>
      <c r="O9" s="1">
        <v>212.43899999999999</v>
      </c>
      <c r="P9" s="1">
        <v>181.75899999999999</v>
      </c>
      <c r="Q9" s="1">
        <v>203.83199999999999</v>
      </c>
      <c r="R9" s="1">
        <v>197.042</v>
      </c>
      <c r="S9" s="1">
        <v>208.82300000000001</v>
      </c>
      <c r="T9" s="1">
        <v>458.34899999999999</v>
      </c>
      <c r="U9" s="1">
        <v>203.83199999999999</v>
      </c>
      <c r="V9" s="1">
        <v>1274.18</v>
      </c>
      <c r="W9" s="1">
        <v>27060.400000000001</v>
      </c>
      <c r="X9" s="1">
        <v>204.714</v>
      </c>
      <c r="Y9" s="1">
        <v>208.77</v>
      </c>
      <c r="Z9" s="1">
        <v>233.892</v>
      </c>
      <c r="AA9" s="1">
        <v>8442.41</v>
      </c>
      <c r="AB9" s="1">
        <v>115.925</v>
      </c>
      <c r="AC9" s="1">
        <v>208.82599999999999</v>
      </c>
      <c r="AD9" s="1">
        <v>159.91499999999999</v>
      </c>
      <c r="AE9" s="1">
        <v>435.60899999999998</v>
      </c>
      <c r="AF9" s="1">
        <v>161.875</v>
      </c>
      <c r="AG9" s="1">
        <v>12355.5</v>
      </c>
      <c r="AH9" s="1">
        <v>159.89099999999999</v>
      </c>
      <c r="AI9" s="1">
        <v>163.23599999999999</v>
      </c>
      <c r="AJ9" s="1">
        <v>289.17</v>
      </c>
      <c r="AK9" s="1">
        <v>231.709</v>
      </c>
      <c r="AL9" s="1">
        <v>100</v>
      </c>
      <c r="AM9" s="1">
        <v>159.982</v>
      </c>
      <c r="AN9" s="1">
        <v>357.63799999999998</v>
      </c>
      <c r="AO9" s="1">
        <v>176.017</v>
      </c>
      <c r="AP9" s="1">
        <v>170.17500000000001</v>
      </c>
      <c r="AQ9" s="1">
        <v>254.68700000000001</v>
      </c>
      <c r="AR9" s="1">
        <v>19360.400000000001</v>
      </c>
      <c r="AS9" s="1">
        <v>2654.94</v>
      </c>
      <c r="AT9" s="1">
        <v>265.589</v>
      </c>
      <c r="AU9" s="1">
        <v>234.83799999999999</v>
      </c>
      <c r="AV9" s="1">
        <v>230.34700000000001</v>
      </c>
      <c r="AW9" s="1">
        <v>222.78899999999999</v>
      </c>
      <c r="AX9" s="1">
        <v>246.79599999999999</v>
      </c>
      <c r="AY9" s="1">
        <v>285.48700000000002</v>
      </c>
      <c r="AZ9" s="1">
        <v>160.601</v>
      </c>
      <c r="BA9" s="1">
        <v>177.77199999999999</v>
      </c>
      <c r="BB9" s="1">
        <v>189.01</v>
      </c>
      <c r="BC9" s="1">
        <v>159.852</v>
      </c>
      <c r="BD9" s="1">
        <v>171.71199999999999</v>
      </c>
      <c r="BE9" s="1">
        <v>258.06799999999998</v>
      </c>
      <c r="BF9" s="1">
        <v>238.24100000000001</v>
      </c>
      <c r="BG9" s="1">
        <v>263.89600000000002</v>
      </c>
      <c r="BH9" s="4">
        <v>6584820</v>
      </c>
      <c r="BI9" s="1">
        <v>160.25299999999999</v>
      </c>
      <c r="BJ9" s="1">
        <v>222.065</v>
      </c>
      <c r="BK9" s="1">
        <v>184.64</v>
      </c>
      <c r="BL9" s="1">
        <v>222.17599999999999</v>
      </c>
      <c r="BM9" s="1">
        <v>556.66</v>
      </c>
      <c r="BN9" s="1">
        <v>203.83500000000001</v>
      </c>
      <c r="BO9" s="1">
        <v>159.75299999999999</v>
      </c>
      <c r="BP9" s="1">
        <v>815.38699999999994</v>
      </c>
      <c r="BQ9" s="1">
        <v>219.39099999999999</v>
      </c>
      <c r="BR9" s="1">
        <v>289.76400000000001</v>
      </c>
      <c r="BS9" s="1">
        <v>268.94799999999998</v>
      </c>
      <c r="BT9" s="1">
        <v>204.36600000000001</v>
      </c>
      <c r="BU9" s="1">
        <v>231.886</v>
      </c>
      <c r="BV9" s="1">
        <v>203.857</v>
      </c>
      <c r="BW9" s="1">
        <v>1407.83</v>
      </c>
      <c r="BX9" s="1">
        <v>203.83199999999999</v>
      </c>
      <c r="BY9" s="1">
        <v>175.548</v>
      </c>
      <c r="BZ9" s="1">
        <v>458.34899999999999</v>
      </c>
      <c r="CA9" s="1">
        <v>194.47900000000001</v>
      </c>
      <c r="CB9" s="1">
        <v>159.602</v>
      </c>
      <c r="CC9" s="1">
        <v>193.82599999999999</v>
      </c>
      <c r="CD9" s="1">
        <v>181.846</v>
      </c>
      <c r="CE9" s="1">
        <v>223.62100000000001</v>
      </c>
      <c r="CF9" s="1">
        <v>95.000500000000002</v>
      </c>
      <c r="CG9" s="1">
        <v>214.733</v>
      </c>
      <c r="CH9" s="1">
        <v>290.62700000000001</v>
      </c>
      <c r="CI9" s="1">
        <v>199.30500000000001</v>
      </c>
      <c r="CJ9" s="1">
        <v>172.88499999999999</v>
      </c>
      <c r="CK9" s="1">
        <v>241.33600000000001</v>
      </c>
      <c r="CL9" s="1">
        <v>162.523</v>
      </c>
      <c r="CM9" s="1">
        <v>203.84</v>
      </c>
      <c r="CN9" s="1">
        <v>171.85599999999999</v>
      </c>
      <c r="CO9" s="1">
        <v>161.27699999999999</v>
      </c>
      <c r="CP9" s="1">
        <v>159.66300000000001</v>
      </c>
      <c r="CQ9" s="1">
        <v>203.83199999999999</v>
      </c>
      <c r="CR9" s="1">
        <v>159.56</v>
      </c>
      <c r="CS9" s="1">
        <v>159.71199999999999</v>
      </c>
      <c r="CT9" s="1">
        <v>159.81299999999999</v>
      </c>
      <c r="CU9" s="1">
        <v>159.76</v>
      </c>
      <c r="CV9" s="1">
        <v>6.0882500000000004</v>
      </c>
      <c r="CW9" s="1">
        <v>159.69900000000001</v>
      </c>
      <c r="CX9" s="1">
        <v>318.60000000000002</v>
      </c>
      <c r="CY9" s="1">
        <v>160</v>
      </c>
      <c r="CZ9" s="1">
        <v>188.93600000000001</v>
      </c>
      <c r="DA9" s="1">
        <v>160.376</v>
      </c>
      <c r="DB9" s="1">
        <v>271.77600000000001</v>
      </c>
      <c r="DC9" s="1">
        <v>497.04</v>
      </c>
      <c r="DD9" s="1" t="s">
        <v>38</v>
      </c>
      <c r="DE9" s="1" t="s">
        <v>7</v>
      </c>
      <c r="DF9" s="1">
        <v>41</v>
      </c>
      <c r="DG9" s="1">
        <v>0.63248899999999997</v>
      </c>
    </row>
    <row r="10" spans="1:111" x14ac:dyDescent="0.6">
      <c r="A10" s="1">
        <v>8</v>
      </c>
      <c r="B10" s="1">
        <v>750</v>
      </c>
      <c r="C10" s="1">
        <v>0.99866699999999997</v>
      </c>
      <c r="D10" s="1">
        <v>1.33333E-3</v>
      </c>
      <c r="E10" s="1">
        <v>226.19900000000001</v>
      </c>
      <c r="F10" s="1">
        <v>180.78100000000001</v>
      </c>
      <c r="G10" s="1">
        <v>154.74</v>
      </c>
      <c r="H10" s="1">
        <v>161.244</v>
      </c>
      <c r="I10" s="1">
        <v>159.90199999999999</v>
      </c>
      <c r="J10" s="1">
        <v>240.03</v>
      </c>
      <c r="K10" s="1">
        <v>159.78399999999999</v>
      </c>
      <c r="L10" s="1">
        <v>164.68700000000001</v>
      </c>
      <c r="M10" s="1" t="s">
        <v>144</v>
      </c>
      <c r="N10" s="1">
        <v>6372.14</v>
      </c>
      <c r="O10" s="1">
        <v>217.44399999999999</v>
      </c>
      <c r="P10" s="1">
        <v>183.268</v>
      </c>
      <c r="Q10" s="1">
        <v>208.04400000000001</v>
      </c>
      <c r="R10" s="1">
        <v>201.90100000000001</v>
      </c>
      <c r="S10" s="1">
        <v>213.524</v>
      </c>
      <c r="T10" s="1">
        <v>485.64400000000001</v>
      </c>
      <c r="U10" s="1">
        <v>208.04400000000001</v>
      </c>
      <c r="V10" s="1">
        <v>1622.13</v>
      </c>
      <c r="W10" s="1">
        <v>37035.4</v>
      </c>
      <c r="X10" s="1">
        <v>208.995</v>
      </c>
      <c r="Y10" s="1">
        <v>213.417</v>
      </c>
      <c r="Z10" s="1">
        <v>242.113</v>
      </c>
      <c r="AA10" s="1">
        <v>12643.3</v>
      </c>
      <c r="AB10" s="1">
        <v>115.994</v>
      </c>
      <c r="AC10" s="1">
        <v>213.50800000000001</v>
      </c>
      <c r="AD10" s="1">
        <v>159.947</v>
      </c>
      <c r="AE10" s="1">
        <v>461.42</v>
      </c>
      <c r="AF10" s="1">
        <v>162.19800000000001</v>
      </c>
      <c r="AG10" s="1">
        <v>16165.4</v>
      </c>
      <c r="AH10" s="1">
        <v>159.928</v>
      </c>
      <c r="AI10" s="1">
        <v>163.738</v>
      </c>
      <c r="AJ10" s="1">
        <v>301.017</v>
      </c>
      <c r="AK10" s="1">
        <v>239.721</v>
      </c>
      <c r="AL10" s="1">
        <v>100</v>
      </c>
      <c r="AM10" s="1">
        <v>159.99</v>
      </c>
      <c r="AN10" s="1">
        <v>394.56099999999998</v>
      </c>
      <c r="AO10" s="1">
        <v>177.83</v>
      </c>
      <c r="AP10" s="1">
        <v>171.828</v>
      </c>
      <c r="AQ10" s="1">
        <v>265.29700000000003</v>
      </c>
      <c r="AR10" s="1">
        <v>29020.7</v>
      </c>
      <c r="AS10" s="1">
        <v>3067.61</v>
      </c>
      <c r="AT10" s="1">
        <v>277.22399999999999</v>
      </c>
      <c r="AU10" s="1">
        <v>241.429</v>
      </c>
      <c r="AV10" s="1">
        <v>239.00299999999999</v>
      </c>
      <c r="AW10" s="1">
        <v>228.98</v>
      </c>
      <c r="AX10" s="1">
        <v>255.33099999999999</v>
      </c>
      <c r="AY10" s="1">
        <v>298.274</v>
      </c>
      <c r="AZ10" s="1">
        <v>160.77799999999999</v>
      </c>
      <c r="BA10" s="1">
        <v>179.642</v>
      </c>
      <c r="BB10" s="1">
        <v>189.25</v>
      </c>
      <c r="BC10" s="1">
        <v>159.94</v>
      </c>
      <c r="BD10" s="1">
        <v>171.80799999999999</v>
      </c>
      <c r="BE10" s="1">
        <v>266.298</v>
      </c>
      <c r="BF10" s="1">
        <v>247.85599999999999</v>
      </c>
      <c r="BG10" s="1">
        <v>275.29300000000001</v>
      </c>
      <c r="BH10" s="4">
        <v>14815800</v>
      </c>
      <c r="BI10" s="1">
        <v>160.46100000000001</v>
      </c>
      <c r="BJ10" s="1">
        <v>226.999</v>
      </c>
      <c r="BK10" s="1">
        <v>187.15199999999999</v>
      </c>
      <c r="BL10" s="1">
        <v>229.685</v>
      </c>
      <c r="BM10" s="1">
        <v>627.39800000000002</v>
      </c>
      <c r="BN10" s="1">
        <v>208.047</v>
      </c>
      <c r="BO10" s="1">
        <v>159.83500000000001</v>
      </c>
      <c r="BP10" s="1">
        <v>865.976</v>
      </c>
      <c r="BQ10" s="1">
        <v>224.887</v>
      </c>
      <c r="BR10" s="1">
        <v>303.32</v>
      </c>
      <c r="BS10" s="1">
        <v>281.19</v>
      </c>
      <c r="BT10" s="1">
        <v>208.614</v>
      </c>
      <c r="BU10" s="1">
        <v>238.779</v>
      </c>
      <c r="BV10" s="1">
        <v>208.071</v>
      </c>
      <c r="BW10" s="1">
        <v>1480.91</v>
      </c>
      <c r="BX10" s="1">
        <v>208.04400000000001</v>
      </c>
      <c r="BY10" s="1">
        <v>177.233</v>
      </c>
      <c r="BZ10" s="1">
        <v>485.64400000000001</v>
      </c>
      <c r="CA10" s="1">
        <v>197.76900000000001</v>
      </c>
      <c r="CB10" s="1">
        <v>159.73500000000001</v>
      </c>
      <c r="CC10" s="1">
        <v>197.143</v>
      </c>
      <c r="CD10" s="1">
        <v>184.154</v>
      </c>
      <c r="CE10" s="1">
        <v>229.41499999999999</v>
      </c>
      <c r="CF10" s="1">
        <v>95.000500000000002</v>
      </c>
      <c r="CG10" s="1">
        <v>220.02099999999999</v>
      </c>
      <c r="CH10" s="1">
        <v>322.92899999999997</v>
      </c>
      <c r="CI10" s="1">
        <v>203.274</v>
      </c>
      <c r="CJ10" s="1">
        <v>173.24100000000001</v>
      </c>
      <c r="CK10" s="1">
        <v>287.142</v>
      </c>
      <c r="CL10" s="1">
        <v>163.23400000000001</v>
      </c>
      <c r="CM10" s="1">
        <v>208.05199999999999</v>
      </c>
      <c r="CN10" s="1">
        <v>171.904</v>
      </c>
      <c r="CO10" s="1">
        <v>161.63300000000001</v>
      </c>
      <c r="CP10" s="1">
        <v>159.77500000000001</v>
      </c>
      <c r="CQ10" s="1">
        <v>208.04400000000001</v>
      </c>
      <c r="CR10" s="1">
        <v>159.70599999999999</v>
      </c>
      <c r="CS10" s="1">
        <v>159.80799999999999</v>
      </c>
      <c r="CT10" s="1">
        <v>159.87700000000001</v>
      </c>
      <c r="CU10" s="1">
        <v>159.84</v>
      </c>
      <c r="CV10" s="1">
        <v>6.0950499999999996</v>
      </c>
      <c r="CW10" s="1">
        <v>159.79900000000001</v>
      </c>
      <c r="CX10" s="1">
        <v>339.16199999999998</v>
      </c>
      <c r="CY10" s="1">
        <v>160</v>
      </c>
      <c r="CZ10" s="1">
        <v>191.78100000000001</v>
      </c>
      <c r="DA10" s="1">
        <v>160.45699999999999</v>
      </c>
      <c r="DB10" s="1">
        <v>282.51799999999997</v>
      </c>
      <c r="DC10" s="1">
        <v>556.99699999999996</v>
      </c>
      <c r="DD10" s="1" t="s">
        <v>38</v>
      </c>
      <c r="DE10" s="1" t="s">
        <v>7</v>
      </c>
      <c r="DF10" s="1">
        <v>41</v>
      </c>
      <c r="DG10" s="1">
        <v>0.63236599999999998</v>
      </c>
    </row>
    <row r="11" spans="1:111" x14ac:dyDescent="0.6">
      <c r="A11" s="1">
        <v>9</v>
      </c>
      <c r="B11" s="1">
        <v>1000</v>
      </c>
      <c r="C11" s="1">
        <v>0.999</v>
      </c>
      <c r="D11" s="1">
        <v>1E-3</v>
      </c>
      <c r="E11" s="1">
        <v>230.36799999999999</v>
      </c>
      <c r="F11" s="1">
        <v>181.262</v>
      </c>
      <c r="G11" s="1">
        <v>154.74100000000001</v>
      </c>
      <c r="H11" s="1">
        <v>161.37299999999999</v>
      </c>
      <c r="I11" s="1">
        <v>159.928</v>
      </c>
      <c r="J11" s="1">
        <v>244.93</v>
      </c>
      <c r="K11" s="1">
        <v>159.83799999999999</v>
      </c>
      <c r="L11" s="1">
        <v>165.422</v>
      </c>
      <c r="M11" s="1" t="s">
        <v>144</v>
      </c>
      <c r="N11" s="1">
        <v>8459.85</v>
      </c>
      <c r="O11" s="1">
        <v>220.90700000000001</v>
      </c>
      <c r="P11" s="1">
        <v>184.22</v>
      </c>
      <c r="Q11" s="1">
        <v>210.94399999999999</v>
      </c>
      <c r="R11" s="1">
        <v>205.32</v>
      </c>
      <c r="S11" s="1">
        <v>216.773</v>
      </c>
      <c r="T11" s="1">
        <v>505.01</v>
      </c>
      <c r="U11" s="1">
        <v>210.94300000000001</v>
      </c>
      <c r="V11" s="1">
        <v>1905.13</v>
      </c>
      <c r="W11" s="1">
        <v>45808.6</v>
      </c>
      <c r="X11" s="1">
        <v>211.94300000000001</v>
      </c>
      <c r="Y11" s="1">
        <v>216.62799999999999</v>
      </c>
      <c r="Z11" s="1">
        <v>247.94399999999999</v>
      </c>
      <c r="AA11" s="1">
        <v>16844.3</v>
      </c>
      <c r="AB11" s="1">
        <v>116.042</v>
      </c>
      <c r="AC11" s="1">
        <v>216.74299999999999</v>
      </c>
      <c r="AD11" s="1">
        <v>159.96199999999999</v>
      </c>
      <c r="AE11" s="1">
        <v>479.73399999999998</v>
      </c>
      <c r="AF11" s="1">
        <v>162.38300000000001</v>
      </c>
      <c r="AG11" s="1">
        <v>19381.900000000001</v>
      </c>
      <c r="AH11" s="1">
        <v>159.946</v>
      </c>
      <c r="AI11" s="1">
        <v>164.04499999999999</v>
      </c>
      <c r="AJ11" s="1">
        <v>309.358</v>
      </c>
      <c r="AK11" s="1">
        <v>245.40199999999999</v>
      </c>
      <c r="AL11" s="1">
        <v>100</v>
      </c>
      <c r="AM11" s="1">
        <v>159.99299999999999</v>
      </c>
      <c r="AN11" s="1">
        <v>422.81599999999997</v>
      </c>
      <c r="AO11" s="1">
        <v>179.04900000000001</v>
      </c>
      <c r="AP11" s="1">
        <v>172.94</v>
      </c>
      <c r="AQ11" s="1">
        <v>272.82299999999998</v>
      </c>
      <c r="AR11" s="1">
        <v>38680.9</v>
      </c>
      <c r="AS11" s="1">
        <v>3383.99</v>
      </c>
      <c r="AT11" s="1">
        <v>285.476</v>
      </c>
      <c r="AU11" s="1">
        <v>245.98</v>
      </c>
      <c r="AV11" s="1">
        <v>245.14500000000001</v>
      </c>
      <c r="AW11" s="1">
        <v>233.3</v>
      </c>
      <c r="AX11" s="1">
        <v>261.33</v>
      </c>
      <c r="AY11" s="1">
        <v>307.34399999999999</v>
      </c>
      <c r="AZ11" s="1">
        <v>160.88200000000001</v>
      </c>
      <c r="BA11" s="1">
        <v>180.89500000000001</v>
      </c>
      <c r="BB11" s="1">
        <v>189.40799999999999</v>
      </c>
      <c r="BC11" s="1">
        <v>159.98500000000001</v>
      </c>
      <c r="BD11" s="1">
        <v>171.85599999999999</v>
      </c>
      <c r="BE11" s="1">
        <v>271.99900000000002</v>
      </c>
      <c r="BF11" s="1">
        <v>254.67699999999999</v>
      </c>
      <c r="BG11" s="1">
        <v>283.38</v>
      </c>
      <c r="BH11" s="4">
        <v>26339200</v>
      </c>
      <c r="BI11" s="1">
        <v>160.59200000000001</v>
      </c>
      <c r="BJ11" s="1">
        <v>230.39599999999999</v>
      </c>
      <c r="BK11" s="1">
        <v>188.85599999999999</v>
      </c>
      <c r="BL11" s="1">
        <v>235.01</v>
      </c>
      <c r="BM11" s="1">
        <v>682.97199999999998</v>
      </c>
      <c r="BN11" s="1">
        <v>210.946</v>
      </c>
      <c r="BO11" s="1">
        <v>159.876</v>
      </c>
      <c r="BP11" s="1">
        <v>901.87</v>
      </c>
      <c r="BQ11" s="1">
        <v>228.685</v>
      </c>
      <c r="BR11" s="1">
        <v>312.971</v>
      </c>
      <c r="BS11" s="1">
        <v>289.875</v>
      </c>
      <c r="BT11" s="1">
        <v>211.53899999999999</v>
      </c>
      <c r="BU11" s="1">
        <v>243.59100000000001</v>
      </c>
      <c r="BV11" s="1">
        <v>210.97200000000001</v>
      </c>
      <c r="BW11" s="1">
        <v>1531.77</v>
      </c>
      <c r="BX11" s="1">
        <v>210.94399999999999</v>
      </c>
      <c r="BY11" s="1">
        <v>178.35900000000001</v>
      </c>
      <c r="BZ11" s="1">
        <v>505.01</v>
      </c>
      <c r="CA11" s="1">
        <v>200.012</v>
      </c>
      <c r="CB11" s="1">
        <v>159.80099999999999</v>
      </c>
      <c r="CC11" s="1">
        <v>199.41499999999999</v>
      </c>
      <c r="CD11" s="1">
        <v>185.71799999999999</v>
      </c>
      <c r="CE11" s="1">
        <v>233.41900000000001</v>
      </c>
      <c r="CF11" s="1">
        <v>95.000500000000002</v>
      </c>
      <c r="CG11" s="1">
        <v>223.68799999999999</v>
      </c>
      <c r="CH11" s="1">
        <v>348.93</v>
      </c>
      <c r="CI11" s="1">
        <v>206.00899999999999</v>
      </c>
      <c r="CJ11" s="1">
        <v>173.441</v>
      </c>
      <c r="CK11" s="1">
        <v>332.94</v>
      </c>
      <c r="CL11" s="1">
        <v>163.71299999999999</v>
      </c>
      <c r="CM11" s="1">
        <v>210.952</v>
      </c>
      <c r="CN11" s="1">
        <v>171.928</v>
      </c>
      <c r="CO11" s="1">
        <v>161.846</v>
      </c>
      <c r="CP11" s="1">
        <v>159.83099999999999</v>
      </c>
      <c r="CQ11" s="1">
        <v>210.94399999999999</v>
      </c>
      <c r="CR11" s="1">
        <v>159.78</v>
      </c>
      <c r="CS11" s="1">
        <v>159.85599999999999</v>
      </c>
      <c r="CT11" s="1">
        <v>159.90899999999999</v>
      </c>
      <c r="CU11" s="1">
        <v>159.88</v>
      </c>
      <c r="CV11" s="1">
        <v>6.0984400000000001</v>
      </c>
      <c r="CW11" s="1">
        <v>159.84899999999999</v>
      </c>
      <c r="CX11" s="1">
        <v>353.95299999999997</v>
      </c>
      <c r="CY11" s="1">
        <v>160</v>
      </c>
      <c r="CZ11" s="1">
        <v>193.71600000000001</v>
      </c>
      <c r="DA11" s="1">
        <v>160.49700000000001</v>
      </c>
      <c r="DB11" s="1">
        <v>290.13799999999998</v>
      </c>
      <c r="DC11" s="1">
        <v>603.86300000000006</v>
      </c>
      <c r="DD11" s="1" t="s">
        <v>38</v>
      </c>
      <c r="DE11" s="1" t="s">
        <v>7</v>
      </c>
      <c r="DF11" s="1">
        <v>41</v>
      </c>
      <c r="DG11" s="1">
        <v>0.63230500000000001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F8E49-787B-42A5-8853-3A8AB20BD89C}">
  <dimension ref="A1:Q12"/>
  <sheetViews>
    <sheetView showGridLines="0" zoomScale="145" zoomScaleNormal="145" workbookViewId="0">
      <selection activeCell="D3" sqref="D3"/>
    </sheetView>
  </sheetViews>
  <sheetFormatPr defaultRowHeight="16.5" x14ac:dyDescent="0.6"/>
  <cols>
    <col min="1" max="1" width="3.33203125" style="1" customWidth="1"/>
    <col min="2" max="2" width="18.1328125" style="1" bestFit="1" customWidth="1"/>
    <col min="3" max="3" width="18.3984375" style="1" customWidth="1"/>
    <col min="4" max="4" width="10.33203125" style="1" bestFit="1" customWidth="1"/>
    <col min="5" max="5" width="11.33203125" style="1" customWidth="1"/>
    <col min="6" max="6" width="8.73046875" style="1" bestFit="1" customWidth="1"/>
    <col min="7" max="7" width="6.53125" style="1" bestFit="1" customWidth="1"/>
    <col min="8" max="8" width="2.265625" style="1" bestFit="1" customWidth="1"/>
    <col min="9" max="9" width="2.73046875" style="1" bestFit="1" customWidth="1"/>
    <col min="10" max="11" width="7.73046875" style="1" bestFit="1" customWidth="1"/>
    <col min="12" max="12" width="5.53125" style="1" bestFit="1" customWidth="1"/>
    <col min="13" max="13" width="6.19921875" style="1" bestFit="1" customWidth="1"/>
    <col min="14" max="15" width="6.53125" style="1" bestFit="1" customWidth="1"/>
    <col min="16" max="16" width="6.46484375" style="1" bestFit="1" customWidth="1"/>
    <col min="17" max="17" width="10.33203125" style="1" bestFit="1" customWidth="1"/>
    <col min="18" max="16384" width="9.06640625" style="1"/>
  </cols>
  <sheetData>
    <row r="1" spans="1:17" x14ac:dyDescent="0.6">
      <c r="A1" s="1" t="s">
        <v>1</v>
      </c>
      <c r="B1" s="1" t="s">
        <v>5</v>
      </c>
      <c r="C1" s="1" t="s">
        <v>4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6</v>
      </c>
      <c r="J1" s="1" t="s">
        <v>19</v>
      </c>
      <c r="K1" s="1" t="s">
        <v>20</v>
      </c>
      <c r="L1" s="1" t="s">
        <v>21</v>
      </c>
      <c r="M1" s="1" t="s">
        <v>22</v>
      </c>
      <c r="N1" s="1" t="s">
        <v>23</v>
      </c>
      <c r="O1" s="1" t="s">
        <v>24</v>
      </c>
      <c r="P1" s="1" t="s">
        <v>25</v>
      </c>
      <c r="Q1" s="1" t="s">
        <v>26</v>
      </c>
    </row>
    <row r="2" spans="1:17" x14ac:dyDescent="0.6">
      <c r="A2" s="1">
        <v>0</v>
      </c>
      <c r="B2" s="1" t="s">
        <v>7</v>
      </c>
      <c r="C2" s="1" t="s">
        <v>29</v>
      </c>
      <c r="D2" s="1" t="s">
        <v>2</v>
      </c>
      <c r="E2" s="1">
        <v>9.7888199999999995E-2</v>
      </c>
      <c r="F2" s="1">
        <v>0.212396</v>
      </c>
      <c r="G2" s="1" t="s">
        <v>28</v>
      </c>
      <c r="H2" s="1">
        <v>1</v>
      </c>
      <c r="I2" s="1">
        <v>41</v>
      </c>
      <c r="J2" s="1">
        <v>39.726500000000001</v>
      </c>
      <c r="K2" s="1">
        <v>120.274</v>
      </c>
      <c r="L2" s="1">
        <v>1.1595899999999999</v>
      </c>
      <c r="M2" s="1">
        <v>0.95024799999999998</v>
      </c>
      <c r="P2" s="1">
        <v>1</v>
      </c>
      <c r="Q2" s="1">
        <v>1</v>
      </c>
    </row>
    <row r="3" spans="1:17" x14ac:dyDescent="0.6">
      <c r="A3" s="1">
        <v>0</v>
      </c>
      <c r="B3" s="1" t="s">
        <v>7</v>
      </c>
      <c r="C3" s="1" t="s">
        <v>30</v>
      </c>
      <c r="D3" s="1" t="s">
        <v>3</v>
      </c>
      <c r="E3" s="1">
        <v>8.9522900000000002E-2</v>
      </c>
      <c r="F3" s="1">
        <v>0.212396</v>
      </c>
      <c r="G3" s="1" t="s">
        <v>28</v>
      </c>
      <c r="H3" s="1">
        <v>1</v>
      </c>
      <c r="I3" s="1">
        <v>41</v>
      </c>
      <c r="J3" s="1">
        <v>107.31699999999999</v>
      </c>
      <c r="K3" s="1">
        <v>67.067400000000006</v>
      </c>
      <c r="P3" s="1">
        <v>1</v>
      </c>
      <c r="Q3" s="1">
        <v>1</v>
      </c>
    </row>
    <row r="4" spans="1:17" x14ac:dyDescent="0.6">
      <c r="A4" s="1">
        <v>0</v>
      </c>
      <c r="B4" s="1" t="s">
        <v>7</v>
      </c>
      <c r="C4" s="1" t="s">
        <v>31</v>
      </c>
      <c r="D4" s="1" t="s">
        <v>3</v>
      </c>
      <c r="E4" s="1">
        <v>9.1103900000000002E-2</v>
      </c>
      <c r="F4" s="1">
        <v>0.212396</v>
      </c>
      <c r="G4" s="1" t="s">
        <v>28</v>
      </c>
      <c r="H4" s="1">
        <v>1</v>
      </c>
      <c r="I4" s="1">
        <v>41</v>
      </c>
      <c r="J4" s="1">
        <v>107.31699999999999</v>
      </c>
      <c r="K4" s="1">
        <v>67.067400000000006</v>
      </c>
      <c r="P4" s="1">
        <v>1</v>
      </c>
      <c r="Q4" s="1">
        <v>1</v>
      </c>
    </row>
    <row r="5" spans="1:17" x14ac:dyDescent="0.6">
      <c r="A5" s="1">
        <v>0</v>
      </c>
      <c r="B5" s="1" t="s">
        <v>7</v>
      </c>
      <c r="C5" s="1" t="s">
        <v>32</v>
      </c>
      <c r="D5" s="1" t="s">
        <v>3</v>
      </c>
      <c r="E5" s="1">
        <v>9.0033699999999994E-2</v>
      </c>
      <c r="F5" s="1">
        <v>0.212396</v>
      </c>
      <c r="G5" s="1" t="s">
        <v>28</v>
      </c>
      <c r="H5" s="1">
        <v>1</v>
      </c>
      <c r="I5" s="1">
        <v>41</v>
      </c>
      <c r="J5" s="1">
        <v>107.31699999999999</v>
      </c>
      <c r="K5" s="1">
        <v>67.067400000000006</v>
      </c>
      <c r="P5" s="1">
        <v>1</v>
      </c>
      <c r="Q5" s="1">
        <v>1</v>
      </c>
    </row>
    <row r="6" spans="1:17" x14ac:dyDescent="0.6">
      <c r="A6" s="1">
        <v>0</v>
      </c>
      <c r="B6" s="1" t="s">
        <v>7</v>
      </c>
      <c r="C6" s="1" t="s">
        <v>33</v>
      </c>
      <c r="D6" s="1" t="s">
        <v>3</v>
      </c>
      <c r="E6" s="1">
        <v>9.0068700000000002E-2</v>
      </c>
      <c r="F6" s="1">
        <v>0.212396</v>
      </c>
      <c r="G6" s="1" t="s">
        <v>28</v>
      </c>
      <c r="H6" s="1">
        <v>1</v>
      </c>
      <c r="I6" s="1">
        <v>41</v>
      </c>
      <c r="J6" s="1">
        <v>107.31699999999999</v>
      </c>
      <c r="K6" s="1">
        <v>67.067400000000006</v>
      </c>
      <c r="P6" s="1">
        <v>1</v>
      </c>
      <c r="Q6" s="1">
        <v>1</v>
      </c>
    </row>
    <row r="7" spans="1:17" x14ac:dyDescent="0.6">
      <c r="A7" s="1">
        <v>0</v>
      </c>
      <c r="B7" s="1" t="s">
        <v>7</v>
      </c>
      <c r="C7" s="1" t="s">
        <v>27</v>
      </c>
      <c r="D7" s="1" t="s">
        <v>3</v>
      </c>
      <c r="E7" s="1">
        <v>8.9805200000000002E-2</v>
      </c>
      <c r="F7" s="1">
        <v>0.212396</v>
      </c>
      <c r="G7" s="1" t="s">
        <v>28</v>
      </c>
      <c r="H7" s="1">
        <v>1</v>
      </c>
      <c r="I7" s="1">
        <v>41</v>
      </c>
      <c r="J7" s="1">
        <v>107.31699999999999</v>
      </c>
      <c r="K7" s="1">
        <v>67.067400000000006</v>
      </c>
      <c r="P7" s="1">
        <v>1</v>
      </c>
      <c r="Q7" s="1">
        <v>1</v>
      </c>
    </row>
    <row r="8" spans="1:17" x14ac:dyDescent="0.6">
      <c r="A8" s="1">
        <v>0</v>
      </c>
      <c r="B8" s="1" t="s">
        <v>7</v>
      </c>
      <c r="C8" s="1" t="s">
        <v>34</v>
      </c>
      <c r="D8" s="1" t="s">
        <v>3</v>
      </c>
      <c r="E8" s="1">
        <v>8.9951900000000001E-2</v>
      </c>
      <c r="F8" s="1">
        <v>0.212396</v>
      </c>
      <c r="G8" s="1" t="s">
        <v>28</v>
      </c>
      <c r="H8" s="1">
        <v>1</v>
      </c>
      <c r="I8" s="1">
        <v>41</v>
      </c>
      <c r="J8" s="1">
        <v>107.31699999999999</v>
      </c>
      <c r="K8" s="1">
        <v>67.067400000000006</v>
      </c>
      <c r="P8" s="1">
        <v>1</v>
      </c>
      <c r="Q8" s="1">
        <v>1</v>
      </c>
    </row>
    <row r="9" spans="1:17" x14ac:dyDescent="0.6">
      <c r="A9" s="1">
        <v>0</v>
      </c>
      <c r="B9" s="1" t="s">
        <v>7</v>
      </c>
      <c r="C9" s="1" t="s">
        <v>35</v>
      </c>
      <c r="D9" s="1" t="s">
        <v>3</v>
      </c>
      <c r="E9" s="1">
        <v>8.9575299999999997E-2</v>
      </c>
      <c r="F9" s="1">
        <v>0.212396</v>
      </c>
      <c r="G9" s="1" t="s">
        <v>28</v>
      </c>
      <c r="H9" s="1">
        <v>1</v>
      </c>
      <c r="I9" s="1">
        <v>41</v>
      </c>
      <c r="J9" s="1">
        <v>107.31699999999999</v>
      </c>
      <c r="K9" s="1">
        <v>67.067400000000006</v>
      </c>
      <c r="P9" s="1">
        <v>1</v>
      </c>
      <c r="Q9" s="1">
        <v>1</v>
      </c>
    </row>
    <row r="10" spans="1:17" x14ac:dyDescent="0.6">
      <c r="A10" s="1">
        <v>0</v>
      </c>
      <c r="B10" s="1" t="s">
        <v>7</v>
      </c>
      <c r="C10" s="1" t="s">
        <v>36</v>
      </c>
      <c r="D10" s="1" t="s">
        <v>3</v>
      </c>
      <c r="E10" s="1">
        <v>9.0033699999999994E-2</v>
      </c>
      <c r="F10" s="1">
        <v>0.212396</v>
      </c>
      <c r="G10" s="1" t="s">
        <v>28</v>
      </c>
      <c r="H10" s="1">
        <v>1</v>
      </c>
      <c r="I10" s="1">
        <v>41</v>
      </c>
      <c r="J10" s="1">
        <v>107.31699999999999</v>
      </c>
      <c r="K10" s="1">
        <v>67.067400000000006</v>
      </c>
      <c r="P10" s="1">
        <v>1</v>
      </c>
      <c r="Q10" s="1">
        <v>1</v>
      </c>
    </row>
    <row r="11" spans="1:17" x14ac:dyDescent="0.6">
      <c r="A11" s="1">
        <v>0</v>
      </c>
      <c r="B11" s="1" t="s">
        <v>7</v>
      </c>
      <c r="C11" s="1" t="s">
        <v>37</v>
      </c>
      <c r="D11" s="1" t="s">
        <v>3</v>
      </c>
      <c r="E11" s="1">
        <v>8.9717000000000005E-2</v>
      </c>
      <c r="F11" s="1">
        <v>0.212396</v>
      </c>
      <c r="G11" s="1" t="s">
        <v>28</v>
      </c>
      <c r="H11" s="1">
        <v>1</v>
      </c>
      <c r="I11" s="1">
        <v>41</v>
      </c>
      <c r="J11" s="1">
        <v>107.31699999999999</v>
      </c>
      <c r="K11" s="1">
        <v>67.067400000000006</v>
      </c>
      <c r="P11" s="1">
        <v>1</v>
      </c>
      <c r="Q11" s="1">
        <v>1</v>
      </c>
    </row>
    <row r="12" spans="1:17" x14ac:dyDescent="0.6">
      <c r="A12" s="1">
        <v>0</v>
      </c>
      <c r="B12" s="1" t="s">
        <v>7</v>
      </c>
      <c r="C12" s="1" t="s">
        <v>38</v>
      </c>
      <c r="D12" s="1" t="s">
        <v>3</v>
      </c>
      <c r="E12" s="1">
        <v>9.0243299999999999E-2</v>
      </c>
      <c r="F12" s="1">
        <v>0.212396</v>
      </c>
      <c r="G12" s="1" t="s">
        <v>28</v>
      </c>
      <c r="H12" s="1">
        <v>1</v>
      </c>
      <c r="I12" s="1">
        <v>41</v>
      </c>
      <c r="J12" s="1">
        <v>107.31699999999999</v>
      </c>
      <c r="K12" s="1">
        <v>67.067400000000006</v>
      </c>
      <c r="P12" s="1">
        <v>1</v>
      </c>
      <c r="Q12" s="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Rain</vt:lpstr>
      <vt:lpstr>PMP</vt:lpstr>
      <vt:lpstr>25020230</vt:lpstr>
      <vt:lpstr>BestFil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2025-12-17T13:49:46Z</dcterms:created>
  <dcterms:modified xsi:type="dcterms:W3CDTF">2025-12-18T14:11:36Z</dcterms:modified>
</cp:coreProperties>
</file>