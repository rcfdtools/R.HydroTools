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MP\old\"/>
    </mc:Choice>
  </mc:AlternateContent>
  <xr:revisionPtr revIDLastSave="0" documentId="13_ncr:1_{7801D813-178C-445C-A89F-C66E9D1F3C87}" xr6:coauthVersionLast="47" xr6:coauthVersionMax="47" xr10:uidLastSave="{00000000-0000-0000-0000-000000000000}"/>
  <bookViews>
    <workbookView xWindow="-98" yWindow="-98" windowWidth="28996" windowHeight="15675" activeTab="1" xr2:uid="{F635C8AD-63C0-43AB-AB6C-A895F96E8036}"/>
  </bookViews>
  <sheets>
    <sheet name="California" sheetId="1" r:id="rId1"/>
    <sheet name="Cunnane" sheetId="3" r:id="rId2"/>
    <sheet name="Sheet2" sheetId="2" r:id="rId3"/>
  </sheets>
  <definedNames>
    <definedName name="delta" localSheetId="1">Cunnane!$C$2</definedName>
    <definedName name="delta">California!$C$2</definedName>
    <definedName name="deltao" localSheetId="1">Cunnane!$C$1</definedName>
    <definedName name="deltao">California!$C$1</definedName>
    <definedName name="n" localSheetId="1">Cunnane!$B$2</definedName>
    <definedName name="n">California!$B$2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3" l="1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3" i="3"/>
  <c r="B2" i="3"/>
  <c r="D1" i="3"/>
  <c r="D3" i="1"/>
  <c r="D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5" i="1"/>
  <c r="B2" i="1"/>
  <c r="D2" i="3" l="1"/>
  <c r="D2" i="1"/>
</calcChain>
</file>

<file path=xl/sharedStrings.xml><?xml version="1.0" encoding="utf-8"?>
<sst xmlns="http://schemas.openxmlformats.org/spreadsheetml/2006/main" count="211" uniqueCount="203">
  <si>
    <t>date</t>
  </si>
  <si>
    <t>x</t>
  </si>
  <si>
    <t>m</t>
  </si>
  <si>
    <t>edf_california</t>
  </si>
  <si>
    <t>id</t>
  </si>
  <si>
    <t>Station</t>
  </si>
  <si>
    <t>count</t>
  </si>
  <si>
    <t>mean</t>
  </si>
  <si>
    <t>std</t>
  </si>
  <si>
    <t>zscore</t>
  </si>
  <si>
    <t>Value_initial</t>
  </si>
  <si>
    <t>station</t>
  </si>
  <si>
    <t>alpha</t>
  </si>
  <si>
    <t>alpha_pdf</t>
  </si>
  <si>
    <t>betaprime</t>
  </si>
  <si>
    <t>betaprime_pdf</t>
  </si>
  <si>
    <t>chi2</t>
  </si>
  <si>
    <t>chi2_pdf</t>
  </si>
  <si>
    <t>crystalball</t>
  </si>
  <si>
    <t>crystalball_pdf</t>
  </si>
  <si>
    <t>dgamma</t>
  </si>
  <si>
    <t>dgamma_pdf</t>
  </si>
  <si>
    <t>erlang</t>
  </si>
  <si>
    <t>erlang_pdf</t>
  </si>
  <si>
    <t>expon</t>
  </si>
  <si>
    <t>expon_pdf</t>
  </si>
  <si>
    <t>exponnorm</t>
  </si>
  <si>
    <t>exponnorm_pdf</t>
  </si>
  <si>
    <t>f</t>
  </si>
  <si>
    <t>f_pdf</t>
  </si>
  <si>
    <t>fatiguelife</t>
  </si>
  <si>
    <t>fatiguelife_pdf</t>
  </si>
  <si>
    <t>fisk</t>
  </si>
  <si>
    <t>fisk_pdf</t>
  </si>
  <si>
    <t>gamma</t>
  </si>
  <si>
    <t>gamma_pdf</t>
  </si>
  <si>
    <t>genexpon</t>
  </si>
  <si>
    <t>genexpon_pdf</t>
  </si>
  <si>
    <t>genlogistic</t>
  </si>
  <si>
    <t>genlogistic_pdf</t>
  </si>
  <si>
    <t>gibrat</t>
  </si>
  <si>
    <t>gibrat_pdf</t>
  </si>
  <si>
    <t>gompertz</t>
  </si>
  <si>
    <t>gompertz_pdf</t>
  </si>
  <si>
    <t>gumbel_l</t>
  </si>
  <si>
    <t>gumbel_l_pdf</t>
  </si>
  <si>
    <t>gumbel_r</t>
  </si>
  <si>
    <t>gumbel_r_pdf</t>
  </si>
  <si>
    <t>halflogistic</t>
  </si>
  <si>
    <t>halflogistic_pdf</t>
  </si>
  <si>
    <t>halfnorm</t>
  </si>
  <si>
    <t>halfnorm_pdf</t>
  </si>
  <si>
    <t>hypsecant</t>
  </si>
  <si>
    <t>hypsecant_pdf</t>
  </si>
  <si>
    <t>invgamma</t>
  </si>
  <si>
    <t>invgamma_pdf</t>
  </si>
  <si>
    <t>invgauss</t>
  </si>
  <si>
    <t>invgauss_pdf</t>
  </si>
  <si>
    <t>invweibull</t>
  </si>
  <si>
    <t>invweibull_pdf</t>
  </si>
  <si>
    <t>johnsonsu</t>
  </si>
  <si>
    <t>johnsonsu_pdf</t>
  </si>
  <si>
    <t>kstwobign</t>
  </si>
  <si>
    <t>kstwobign_pdf</t>
  </si>
  <si>
    <t>laplace</t>
  </si>
  <si>
    <t>laplace_pdf</t>
  </si>
  <si>
    <t>laplace_asymmetric</t>
  </si>
  <si>
    <t>laplace_asymmetric_pdf</t>
  </si>
  <si>
    <t>loggamma</t>
  </si>
  <si>
    <t>loggamma_pdf</t>
  </si>
  <si>
    <t>logistic</t>
  </si>
  <si>
    <t>logistic_pdf</t>
  </si>
  <si>
    <t>lognorm</t>
  </si>
  <si>
    <t>lognorm_pdf</t>
  </si>
  <si>
    <t>maxwell</t>
  </si>
  <si>
    <t>maxwell_pdf</t>
  </si>
  <si>
    <t>mielke</t>
  </si>
  <si>
    <t>mielke_pdf</t>
  </si>
  <si>
    <t>moyal</t>
  </si>
  <si>
    <t>moyal_pdf</t>
  </si>
  <si>
    <t>nakagami</t>
  </si>
  <si>
    <t>nakagami_pdf</t>
  </si>
  <si>
    <t>ncf</t>
  </si>
  <si>
    <t>ncf_pdf</t>
  </si>
  <si>
    <t>nct</t>
  </si>
  <si>
    <t>nct_pdf</t>
  </si>
  <si>
    <t>norm</t>
  </si>
  <si>
    <t>norm_pdf</t>
  </si>
  <si>
    <t>pareto</t>
  </si>
  <si>
    <t>pareto_pdf</t>
  </si>
  <si>
    <t>pearson3</t>
  </si>
  <si>
    <t>pearson3_pdf</t>
  </si>
  <si>
    <t>rayleigh</t>
  </si>
  <si>
    <t>rayleigh_pdf</t>
  </si>
  <si>
    <t>recipinvgauss</t>
  </si>
  <si>
    <t>recipinvgauss_pdf</t>
  </si>
  <si>
    <t>rice</t>
  </si>
  <si>
    <t>rice_pdf</t>
  </si>
  <si>
    <t>t</t>
  </si>
  <si>
    <t>t_pdf</t>
  </si>
  <si>
    <t>truncnorm</t>
  </si>
  <si>
    <t>truncnorm_pdf</t>
  </si>
  <si>
    <t>wald</t>
  </si>
  <si>
    <t>wald_pdf</t>
  </si>
  <si>
    <t>weibull_min</t>
  </si>
  <si>
    <t>weibull_min_pdf</t>
  </si>
  <si>
    <t>logalpha</t>
  </si>
  <si>
    <t>logalpha_pdf</t>
  </si>
  <si>
    <t>logbetaprime</t>
  </si>
  <si>
    <t>logbetaprime_pdf</t>
  </si>
  <si>
    <t>logchi2</t>
  </si>
  <si>
    <t>logchi2_pdf</t>
  </si>
  <si>
    <t>logcrystalball</t>
  </si>
  <si>
    <t>logcrystalball_pdf</t>
  </si>
  <si>
    <t>logdgamma</t>
  </si>
  <si>
    <t>logdgamma_pdf</t>
  </si>
  <si>
    <t>logerlang</t>
  </si>
  <si>
    <t>logerlang_pdf</t>
  </si>
  <si>
    <t>logexpon</t>
  </si>
  <si>
    <t>logexpon_pdf</t>
  </si>
  <si>
    <t>logexponnorm</t>
  </si>
  <si>
    <t>logexponnorm_pdf</t>
  </si>
  <si>
    <t>logf</t>
  </si>
  <si>
    <t>logf_pdf</t>
  </si>
  <si>
    <t>logfatiguelife</t>
  </si>
  <si>
    <t>logfatiguelife_pdf</t>
  </si>
  <si>
    <t>logfisk</t>
  </si>
  <si>
    <t>logfisk_pdf</t>
  </si>
  <si>
    <t>loggenexpon</t>
  </si>
  <si>
    <t>loggenexpon_pdf</t>
  </si>
  <si>
    <t>loggenlogistic</t>
  </si>
  <si>
    <t>loggenlogistic_pdf</t>
  </si>
  <si>
    <t>loggibrat</t>
  </si>
  <si>
    <t>loggibrat_pdf</t>
  </si>
  <si>
    <t>loggompertz</t>
  </si>
  <si>
    <t>loggompertz_pdf</t>
  </si>
  <si>
    <t>loggumbel_l</t>
  </si>
  <si>
    <t>loggumbel_l_pdf</t>
  </si>
  <si>
    <t>loggumbel_r</t>
  </si>
  <si>
    <t>loggumbel_r_pdf</t>
  </si>
  <si>
    <t>loghalflogistic</t>
  </si>
  <si>
    <t>loghalflogistic_pdf</t>
  </si>
  <si>
    <t>loghalfnorm</t>
  </si>
  <si>
    <t>loghalfnorm_pdf</t>
  </si>
  <si>
    <t>loghypsecant</t>
  </si>
  <si>
    <t>loghypsecant_pdf</t>
  </si>
  <si>
    <t>loginvgamma</t>
  </si>
  <si>
    <t>loginvgamma_pdf</t>
  </si>
  <si>
    <t>loginvgauss</t>
  </si>
  <si>
    <t>loginvgauss_pdf</t>
  </si>
  <si>
    <t>loginvweibull</t>
  </si>
  <si>
    <t>loginvweibull_pdf</t>
  </si>
  <si>
    <t>logjohnsonsu</t>
  </si>
  <si>
    <t>logjohnsonsu_pdf</t>
  </si>
  <si>
    <t>logkstwobign</t>
  </si>
  <si>
    <t>logkstwobign_pdf</t>
  </si>
  <si>
    <t>loglaplace</t>
  </si>
  <si>
    <t>loglaplace_pdf</t>
  </si>
  <si>
    <t>loglaplace_asymmetric</t>
  </si>
  <si>
    <t>loglaplace_asymmetric_pdf</t>
  </si>
  <si>
    <t>logloggamma</t>
  </si>
  <si>
    <t>logloggamma_pdf</t>
  </si>
  <si>
    <t>loglogistic</t>
  </si>
  <si>
    <t>loglogistic_pdf</t>
  </si>
  <si>
    <t>loglognorm</t>
  </si>
  <si>
    <t>loglognorm_pdf</t>
  </si>
  <si>
    <t>logmaxwell</t>
  </si>
  <si>
    <t>logmaxwell_pdf</t>
  </si>
  <si>
    <t>logmielke</t>
  </si>
  <si>
    <t>logmielke_pdf</t>
  </si>
  <si>
    <t>logmoyal</t>
  </si>
  <si>
    <t>logmoyal_pdf</t>
  </si>
  <si>
    <t>lognakagami</t>
  </si>
  <si>
    <t>lognakagami_pdf</t>
  </si>
  <si>
    <t>logncf</t>
  </si>
  <si>
    <t>logncf_pdf</t>
  </si>
  <si>
    <t>lognct</t>
  </si>
  <si>
    <t>lognct_pdf</t>
  </si>
  <si>
    <t>logpareto</t>
  </si>
  <si>
    <t>logpareto_pdf</t>
  </si>
  <si>
    <t>logpearson3</t>
  </si>
  <si>
    <t>logpearson3_pdf</t>
  </si>
  <si>
    <t>lograyleigh</t>
  </si>
  <si>
    <t>lograyleigh_pdf</t>
  </si>
  <si>
    <t>logrecipinvgauss</t>
  </si>
  <si>
    <t>logrecipinvgauss_pdf</t>
  </si>
  <si>
    <t>logrice</t>
  </si>
  <si>
    <t>logrice_pdf</t>
  </si>
  <si>
    <t>logt</t>
  </si>
  <si>
    <t>logt_pdf</t>
  </si>
  <si>
    <t>logtruncnorm</t>
  </si>
  <si>
    <t>logtruncnorm_pdf</t>
  </si>
  <si>
    <t>logwald</t>
  </si>
  <si>
    <t>logwald_pdf</t>
  </si>
  <si>
    <t>logweibull_min</t>
  </si>
  <si>
    <t>logweibull_min_pdf</t>
  </si>
  <si>
    <t>n</t>
  </si>
  <si>
    <t>edf-cdf</t>
  </si>
  <si>
    <t>Δo &gt; Δ</t>
  </si>
  <si>
    <t>Δo</t>
  </si>
  <si>
    <t>Δ</t>
  </si>
  <si>
    <t>edf_cunnane</t>
  </si>
  <si>
    <t>gumbel_l_cdf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</si>
</sst>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11" fontId="1" fillId="2" borderId="0" xfId="0" applyNumberFormat="1" applyFont="1" applyFill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11" fontId="1" fillId="3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California!$B$4</c:f>
              <c:strCache>
                <c:ptCount val="1"/>
                <c:pt idx="0">
                  <c:v>edf_california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California!$A$5:$A$43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California!$B$5:$B$43</c:f>
              <c:numCache>
                <c:formatCode>General</c:formatCode>
                <c:ptCount val="39"/>
                <c:pt idx="0">
                  <c:v>2.5641025641025599E-2</c:v>
                </c:pt>
                <c:pt idx="1">
                  <c:v>5.1282051282051197E-2</c:v>
                </c:pt>
                <c:pt idx="2">
                  <c:v>7.69230769230769E-2</c:v>
                </c:pt>
                <c:pt idx="3">
                  <c:v>0.10256410256410201</c:v>
                </c:pt>
                <c:pt idx="4">
                  <c:v>0.128205128205128</c:v>
                </c:pt>
                <c:pt idx="5">
                  <c:v>0.15384615384615299</c:v>
                </c:pt>
                <c:pt idx="6">
                  <c:v>0.17948717948717899</c:v>
                </c:pt>
                <c:pt idx="7">
                  <c:v>0.20512820512820501</c:v>
                </c:pt>
                <c:pt idx="8">
                  <c:v>0.23076923076923</c:v>
                </c:pt>
                <c:pt idx="9">
                  <c:v>0.256410256410256</c:v>
                </c:pt>
                <c:pt idx="10">
                  <c:v>0.28205128205128199</c:v>
                </c:pt>
                <c:pt idx="11">
                  <c:v>0.30769230769230699</c:v>
                </c:pt>
                <c:pt idx="12">
                  <c:v>0.33333333333333298</c:v>
                </c:pt>
                <c:pt idx="13">
                  <c:v>0.35897435897435898</c:v>
                </c:pt>
                <c:pt idx="14">
                  <c:v>0.38461538461538403</c:v>
                </c:pt>
                <c:pt idx="15">
                  <c:v>0.41025641025641002</c:v>
                </c:pt>
                <c:pt idx="16">
                  <c:v>0.43589743589743501</c:v>
                </c:pt>
                <c:pt idx="17">
                  <c:v>0.46153846153846101</c:v>
                </c:pt>
                <c:pt idx="18">
                  <c:v>0.487179487179487</c:v>
                </c:pt>
                <c:pt idx="19">
                  <c:v>0.512820512820512</c:v>
                </c:pt>
                <c:pt idx="20">
                  <c:v>0.53846153846153799</c:v>
                </c:pt>
                <c:pt idx="21">
                  <c:v>0.56410256410256399</c:v>
                </c:pt>
                <c:pt idx="22">
                  <c:v>0.58974358974358898</c:v>
                </c:pt>
                <c:pt idx="23">
                  <c:v>0.61538461538461497</c:v>
                </c:pt>
                <c:pt idx="24">
                  <c:v>0.64102564102564097</c:v>
                </c:pt>
                <c:pt idx="25">
                  <c:v>0.66666666666666596</c:v>
                </c:pt>
                <c:pt idx="26">
                  <c:v>0.69230769230769196</c:v>
                </c:pt>
                <c:pt idx="27">
                  <c:v>0.71794871794871795</c:v>
                </c:pt>
                <c:pt idx="28">
                  <c:v>0.74358974358974295</c:v>
                </c:pt>
                <c:pt idx="29">
                  <c:v>0.76923076923076905</c:v>
                </c:pt>
                <c:pt idx="30">
                  <c:v>0.79487179487179405</c:v>
                </c:pt>
                <c:pt idx="31">
                  <c:v>0.82051282051282004</c:v>
                </c:pt>
                <c:pt idx="32">
                  <c:v>0.84615384615384603</c:v>
                </c:pt>
                <c:pt idx="33">
                  <c:v>0.87179487179487103</c:v>
                </c:pt>
                <c:pt idx="34">
                  <c:v>0.89743589743589702</c:v>
                </c:pt>
                <c:pt idx="35">
                  <c:v>0.92307692307692302</c:v>
                </c:pt>
                <c:pt idx="36">
                  <c:v>0.94871794871794801</c:v>
                </c:pt>
                <c:pt idx="37">
                  <c:v>0.97435897435897401</c:v>
                </c:pt>
                <c:pt idx="3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43-45DB-8277-97D289548834}"/>
            </c:ext>
          </c:extLst>
        </c:ser>
        <c:ser>
          <c:idx val="1"/>
          <c:order val="1"/>
          <c:tx>
            <c:strRef>
              <c:f>California!$C$4</c:f>
              <c:strCache>
                <c:ptCount val="1"/>
                <c:pt idx="0">
                  <c:v>gumbel_l_cdf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California!$A$5:$A$43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California!$C$5:$C$43</c:f>
              <c:numCache>
                <c:formatCode>General</c:formatCode>
                <c:ptCount val="39"/>
                <c:pt idx="0">
                  <c:v>5.5239299999999998E-2</c:v>
                </c:pt>
                <c:pt idx="1">
                  <c:v>5.9871399999999998E-2</c:v>
                </c:pt>
                <c:pt idx="2">
                  <c:v>7.2725799999999993E-2</c:v>
                </c:pt>
                <c:pt idx="3">
                  <c:v>0.12116300000000001</c:v>
                </c:pt>
                <c:pt idx="4">
                  <c:v>0.1331</c:v>
                </c:pt>
                <c:pt idx="5">
                  <c:v>0.160276</c:v>
                </c:pt>
                <c:pt idx="6">
                  <c:v>0.17039499999999999</c:v>
                </c:pt>
                <c:pt idx="7">
                  <c:v>0.210422</c:v>
                </c:pt>
                <c:pt idx="8">
                  <c:v>0.210422</c:v>
                </c:pt>
                <c:pt idx="9">
                  <c:v>0.21740399999999999</c:v>
                </c:pt>
                <c:pt idx="10">
                  <c:v>0.22326299999999999</c:v>
                </c:pt>
                <c:pt idx="11">
                  <c:v>0.24376800000000001</c:v>
                </c:pt>
                <c:pt idx="12">
                  <c:v>0.24376800000000001</c:v>
                </c:pt>
                <c:pt idx="13">
                  <c:v>0.27351399999999998</c:v>
                </c:pt>
                <c:pt idx="14">
                  <c:v>0.28139199999999998</c:v>
                </c:pt>
                <c:pt idx="15">
                  <c:v>0.28139199999999998</c:v>
                </c:pt>
                <c:pt idx="16">
                  <c:v>0.28139199999999998</c:v>
                </c:pt>
                <c:pt idx="17">
                  <c:v>0.28944799999999998</c:v>
                </c:pt>
                <c:pt idx="18">
                  <c:v>0.32347900000000002</c:v>
                </c:pt>
                <c:pt idx="19">
                  <c:v>0.33243899999999998</c:v>
                </c:pt>
                <c:pt idx="20">
                  <c:v>0.37008200000000002</c:v>
                </c:pt>
                <c:pt idx="21">
                  <c:v>0.45362799999999998</c:v>
                </c:pt>
                <c:pt idx="22">
                  <c:v>0.46478000000000003</c:v>
                </c:pt>
                <c:pt idx="23">
                  <c:v>0.476074</c:v>
                </c:pt>
                <c:pt idx="24">
                  <c:v>0.476074</c:v>
                </c:pt>
                <c:pt idx="25">
                  <c:v>0.59509000000000001</c:v>
                </c:pt>
                <c:pt idx="26">
                  <c:v>0.59631800000000001</c:v>
                </c:pt>
                <c:pt idx="27">
                  <c:v>0.61971600000000004</c:v>
                </c:pt>
                <c:pt idx="28">
                  <c:v>0.77020599999999995</c:v>
                </c:pt>
                <c:pt idx="29">
                  <c:v>0.77585300000000001</c:v>
                </c:pt>
                <c:pt idx="30">
                  <c:v>0.78700300000000001</c:v>
                </c:pt>
                <c:pt idx="31">
                  <c:v>0.90104399999999996</c:v>
                </c:pt>
                <c:pt idx="32">
                  <c:v>0.91572100000000001</c:v>
                </c:pt>
                <c:pt idx="33">
                  <c:v>0.91572100000000001</c:v>
                </c:pt>
                <c:pt idx="34">
                  <c:v>0.91572100000000001</c:v>
                </c:pt>
                <c:pt idx="35">
                  <c:v>0.91572100000000001</c:v>
                </c:pt>
                <c:pt idx="36">
                  <c:v>0.946357</c:v>
                </c:pt>
                <c:pt idx="37">
                  <c:v>0.96856100000000001</c:v>
                </c:pt>
                <c:pt idx="3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43-45DB-8277-97D289548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621823"/>
        <c:axId val="1763620863"/>
      </c:scatterChart>
      <c:valAx>
        <c:axId val="176362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3620863"/>
        <c:crosses val="autoZero"/>
        <c:crossBetween val="midCat"/>
      </c:valAx>
      <c:valAx>
        <c:axId val="17636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362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Cunnane!$B$4</c:f>
              <c:strCache>
                <c:ptCount val="1"/>
                <c:pt idx="0">
                  <c:v>edf_cunnane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Cunnane!$A$5:$A$43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Cunnane!$B$5:$B$43</c:f>
              <c:numCache>
                <c:formatCode>General</c:formatCode>
                <c:ptCount val="39"/>
                <c:pt idx="0">
                  <c:v>1.53061224489795E-2</c:v>
                </c:pt>
                <c:pt idx="1">
                  <c:v>4.08163265306122E-2</c:v>
                </c:pt>
                <c:pt idx="2">
                  <c:v>6.6326530612244902E-2</c:v>
                </c:pt>
                <c:pt idx="3">
                  <c:v>9.18367346938775E-2</c:v>
                </c:pt>
                <c:pt idx="4">
                  <c:v>0.11734693877551</c:v>
                </c:pt>
                <c:pt idx="5">
                  <c:v>0.14285714285714199</c:v>
                </c:pt>
                <c:pt idx="6">
                  <c:v>0.168367346938775</c:v>
                </c:pt>
                <c:pt idx="7">
                  <c:v>0.19387755102040799</c:v>
                </c:pt>
                <c:pt idx="8">
                  <c:v>0.21938775510204001</c:v>
                </c:pt>
                <c:pt idx="9">
                  <c:v>0.24489795918367299</c:v>
                </c:pt>
                <c:pt idx="10">
                  <c:v>0.27040816326530598</c:v>
                </c:pt>
                <c:pt idx="11">
                  <c:v>0.29591836734693799</c:v>
                </c:pt>
                <c:pt idx="12">
                  <c:v>0.32142857142857101</c:v>
                </c:pt>
                <c:pt idx="13">
                  <c:v>0.34693877551020402</c:v>
                </c:pt>
                <c:pt idx="14">
                  <c:v>0.37244897959183598</c:v>
                </c:pt>
                <c:pt idx="15">
                  <c:v>0.397959183673469</c:v>
                </c:pt>
                <c:pt idx="16">
                  <c:v>0.42346938775510201</c:v>
                </c:pt>
                <c:pt idx="17">
                  <c:v>0.44897959183673403</c:v>
                </c:pt>
                <c:pt idx="18">
                  <c:v>0.47448979591836699</c:v>
                </c:pt>
                <c:pt idx="19">
                  <c:v>0.5</c:v>
                </c:pt>
                <c:pt idx="20">
                  <c:v>0.52551020408163196</c:v>
                </c:pt>
                <c:pt idx="21">
                  <c:v>0.55102040816326503</c:v>
                </c:pt>
                <c:pt idx="22">
                  <c:v>0.57653061224489799</c:v>
                </c:pt>
                <c:pt idx="23">
                  <c:v>0.60204081632652995</c:v>
                </c:pt>
                <c:pt idx="24">
                  <c:v>0.62755102040816302</c:v>
                </c:pt>
                <c:pt idx="25">
                  <c:v>0.65306122448979498</c:v>
                </c:pt>
                <c:pt idx="26">
                  <c:v>0.67857142857142805</c:v>
                </c:pt>
                <c:pt idx="27">
                  <c:v>0.70408163265306101</c:v>
                </c:pt>
                <c:pt idx="28">
                  <c:v>0.72959183673469297</c:v>
                </c:pt>
                <c:pt idx="29">
                  <c:v>0.75510204081632604</c:v>
                </c:pt>
                <c:pt idx="30">
                  <c:v>0.780612244897959</c:v>
                </c:pt>
                <c:pt idx="31">
                  <c:v>0.80612244897959096</c:v>
                </c:pt>
                <c:pt idx="32">
                  <c:v>0.83163265306122403</c:v>
                </c:pt>
                <c:pt idx="33">
                  <c:v>0.85714285714285698</c:v>
                </c:pt>
                <c:pt idx="34">
                  <c:v>0.88265306122448906</c:v>
                </c:pt>
                <c:pt idx="35">
                  <c:v>0.90816326530612201</c:v>
                </c:pt>
                <c:pt idx="36">
                  <c:v>0.93367346938775497</c:v>
                </c:pt>
                <c:pt idx="37">
                  <c:v>0.95918367346938704</c:v>
                </c:pt>
                <c:pt idx="38">
                  <c:v>0.98469387755102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C9-42D5-8806-0E32CEAA6F12}"/>
            </c:ext>
          </c:extLst>
        </c:ser>
        <c:ser>
          <c:idx val="1"/>
          <c:order val="1"/>
          <c:tx>
            <c:strRef>
              <c:f>Cunnane!$C$4</c:f>
              <c:strCache>
                <c:ptCount val="1"/>
                <c:pt idx="0">
                  <c:v>gumbel_l_cdf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Cunnane!$A$5:$A$43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xVal>
          <c:yVal>
            <c:numRef>
              <c:f>Cunnane!$C$5:$C$43</c:f>
              <c:numCache>
                <c:formatCode>General</c:formatCode>
                <c:ptCount val="39"/>
                <c:pt idx="0">
                  <c:v>5.5239299999999998E-2</c:v>
                </c:pt>
                <c:pt idx="1">
                  <c:v>5.9871399999999998E-2</c:v>
                </c:pt>
                <c:pt idx="2">
                  <c:v>7.2725799999999993E-2</c:v>
                </c:pt>
                <c:pt idx="3">
                  <c:v>0.12116300000000001</c:v>
                </c:pt>
                <c:pt idx="4">
                  <c:v>0.1331</c:v>
                </c:pt>
                <c:pt idx="5">
                  <c:v>0.160276</c:v>
                </c:pt>
                <c:pt idx="6">
                  <c:v>0.17039499999999999</c:v>
                </c:pt>
                <c:pt idx="7">
                  <c:v>0.210422</c:v>
                </c:pt>
                <c:pt idx="8">
                  <c:v>0.210422</c:v>
                </c:pt>
                <c:pt idx="9">
                  <c:v>0.21740399999999999</c:v>
                </c:pt>
                <c:pt idx="10">
                  <c:v>0.22326299999999999</c:v>
                </c:pt>
                <c:pt idx="11">
                  <c:v>0.24376800000000001</c:v>
                </c:pt>
                <c:pt idx="12">
                  <c:v>0.24376800000000001</c:v>
                </c:pt>
                <c:pt idx="13">
                  <c:v>0.27351399999999998</c:v>
                </c:pt>
                <c:pt idx="14">
                  <c:v>0.28139199999999998</c:v>
                </c:pt>
                <c:pt idx="15">
                  <c:v>0.28139199999999998</c:v>
                </c:pt>
                <c:pt idx="16">
                  <c:v>0.28139199999999998</c:v>
                </c:pt>
                <c:pt idx="17">
                  <c:v>0.28944799999999998</c:v>
                </c:pt>
                <c:pt idx="18">
                  <c:v>0.32347900000000002</c:v>
                </c:pt>
                <c:pt idx="19">
                  <c:v>0.33243899999999998</c:v>
                </c:pt>
                <c:pt idx="20">
                  <c:v>0.37008200000000002</c:v>
                </c:pt>
                <c:pt idx="21">
                  <c:v>0.45362799999999998</c:v>
                </c:pt>
                <c:pt idx="22">
                  <c:v>0.46478000000000003</c:v>
                </c:pt>
                <c:pt idx="23">
                  <c:v>0.476074</c:v>
                </c:pt>
                <c:pt idx="24">
                  <c:v>0.476074</c:v>
                </c:pt>
                <c:pt idx="25">
                  <c:v>0.59509000000000001</c:v>
                </c:pt>
                <c:pt idx="26">
                  <c:v>0.59631800000000001</c:v>
                </c:pt>
                <c:pt idx="27">
                  <c:v>0.61971600000000004</c:v>
                </c:pt>
                <c:pt idx="28">
                  <c:v>0.77020599999999995</c:v>
                </c:pt>
                <c:pt idx="29">
                  <c:v>0.77585300000000001</c:v>
                </c:pt>
                <c:pt idx="30">
                  <c:v>0.78700300000000001</c:v>
                </c:pt>
                <c:pt idx="31">
                  <c:v>0.90104399999999996</c:v>
                </c:pt>
                <c:pt idx="32">
                  <c:v>0.91572100000000001</c:v>
                </c:pt>
                <c:pt idx="33">
                  <c:v>0.91572100000000001</c:v>
                </c:pt>
                <c:pt idx="34">
                  <c:v>0.91572100000000001</c:v>
                </c:pt>
                <c:pt idx="35">
                  <c:v>0.91572100000000001</c:v>
                </c:pt>
                <c:pt idx="36">
                  <c:v>0.946357</c:v>
                </c:pt>
                <c:pt idx="37">
                  <c:v>0.96856100000000001</c:v>
                </c:pt>
                <c:pt idx="3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C9-42D5-8806-0E32CEAA6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621823"/>
        <c:axId val="1763620863"/>
      </c:scatterChart>
      <c:valAx>
        <c:axId val="176362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3620863"/>
        <c:crosses val="autoZero"/>
        <c:crossBetween val="midCat"/>
      </c:valAx>
      <c:valAx>
        <c:axId val="17636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362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432248</xdr:colOff>
      <xdr:row>4</xdr:row>
      <xdr:rowOff>99390</xdr:rowOff>
    </xdr:from>
    <xdr:to>
      <xdr:col>11</xdr:col>
      <xdr:colOff>285750</xdr:colOff>
      <xdr:row>22</xdr:row>
      <xdr:rowOff>157370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7F48F-4C52-5032-C924-AACBD881D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432248</xdr:colOff>
      <xdr:row>4</xdr:row>
      <xdr:rowOff>99390</xdr:rowOff>
    </xdr:from>
    <xdr:to>
      <xdr:col>11</xdr:col>
      <xdr:colOff>285750</xdr:colOff>
      <xdr:row>22</xdr:row>
      <xdr:rowOff>157370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679CA-3816-4D67-AFF0-938B44C85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0852-7F74-4DBA-9947-33F00D21D012}">
  <dimension ref="A1:D43"/>
  <sheetViews>
    <sheetView showGridLines="0" zoomScale="115" zoomScaleNormal="115" workbookViewId="0">
      <pane ySplit="4" topLeftCell="A5" activePane="bottomLeft" state="frozen"/>
      <selection pane="bottomLeft" activeCell="C4" sqref="C4"/>
    </sheetView>
  </sheetViews>
  <sheetFormatPr defaultRowHeight="16.5" x14ac:dyDescent="0.6"/>
  <cols>
    <col min="1" max="1" width="9.1328125" style="2" bestFit="1" customWidth="1"/>
    <col min="2" max="2" width="11.9296875" style="2" bestFit="1" customWidth="1"/>
    <col min="3" max="3" width="18" style="2" customWidth="1"/>
    <col min="4" max="4" width="9.06640625" style="2"/>
    <col min="5" max="16384" width="9.06640625" style="1"/>
  </cols>
  <sheetData>
    <row r="1" spans="1:4" x14ac:dyDescent="0.6">
      <c r="C1" s="2" t="s">
        <v>199</v>
      </c>
      <c r="D1" s="2">
        <f>IF(n&lt;35, 0.000003848186*n^4-0.00033109622*n^3+0.010220554*n^2-0.141035449935*n+1.07518805168, 1.36/SQRT(n) )</f>
        <v>0.21777428917491851</v>
      </c>
    </row>
    <row r="2" spans="1:4" x14ac:dyDescent="0.6">
      <c r="A2" s="2" t="s">
        <v>196</v>
      </c>
      <c r="B2" s="2">
        <f>COUNT(B4:B43)</f>
        <v>39</v>
      </c>
      <c r="C2" s="2" t="s">
        <v>200</v>
      </c>
      <c r="D2" s="2">
        <f>MAX(D5:D43)</f>
        <v>0.18038151282051201</v>
      </c>
    </row>
    <row r="3" spans="1:4" x14ac:dyDescent="0.6">
      <c r="C3" s="2" t="s">
        <v>198</v>
      </c>
      <c r="D3" s="2">
        <f>IF(deltao&gt;delta,1,0)</f>
        <v>1</v>
      </c>
    </row>
    <row r="4" spans="1:4" x14ac:dyDescent="0.6">
      <c r="A4" s="2" t="s">
        <v>2</v>
      </c>
      <c r="B4" s="2" t="s">
        <v>3</v>
      </c>
      <c r="C4" s="2" t="s">
        <v>202</v>
      </c>
      <c r="D4" s="2" t="s">
        <v>197</v>
      </c>
    </row>
    <row r="5" spans="1:4" x14ac:dyDescent="0.6">
      <c r="A5" s="2">
        <v>1</v>
      </c>
      <c r="B5" s="3">
        <v>2.5641025641025599E-2</v>
      </c>
      <c r="C5" s="2">
        <v>5.5239299999999998E-2</v>
      </c>
      <c r="D5" s="2">
        <f>B5-C5</f>
        <v>-2.95982743589744E-2</v>
      </c>
    </row>
    <row r="6" spans="1:4" x14ac:dyDescent="0.6">
      <c r="A6" s="2">
        <v>2</v>
      </c>
      <c r="B6" s="3">
        <v>5.1282051282051197E-2</v>
      </c>
      <c r="C6" s="2">
        <v>5.9871399999999998E-2</v>
      </c>
      <c r="D6" s="2">
        <f t="shared" ref="D6:D43" si="0">B6-C6</f>
        <v>-8.5893487179488012E-3</v>
      </c>
    </row>
    <row r="7" spans="1:4" x14ac:dyDescent="0.6">
      <c r="A7" s="2">
        <v>3</v>
      </c>
      <c r="B7" s="3">
        <v>7.69230769230769E-2</v>
      </c>
      <c r="C7" s="2">
        <v>7.2725799999999993E-2</v>
      </c>
      <c r="D7" s="2">
        <f t="shared" si="0"/>
        <v>4.1972769230769064E-3</v>
      </c>
    </row>
    <row r="8" spans="1:4" x14ac:dyDescent="0.6">
      <c r="A8" s="2">
        <v>4</v>
      </c>
      <c r="B8" s="3">
        <v>0.10256410256410201</v>
      </c>
      <c r="C8" s="2">
        <v>0.12116300000000001</v>
      </c>
      <c r="D8" s="2">
        <f t="shared" si="0"/>
        <v>-1.8598897435898001E-2</v>
      </c>
    </row>
    <row r="9" spans="1:4" x14ac:dyDescent="0.6">
      <c r="A9" s="2">
        <v>5</v>
      </c>
      <c r="B9" s="3">
        <v>0.128205128205128</v>
      </c>
      <c r="C9" s="2">
        <v>0.1331</v>
      </c>
      <c r="D9" s="2">
        <f t="shared" si="0"/>
        <v>-4.8948717948719966E-3</v>
      </c>
    </row>
    <row r="10" spans="1:4" x14ac:dyDescent="0.6">
      <c r="A10" s="2">
        <v>6</v>
      </c>
      <c r="B10" s="3">
        <v>0.15384615384615299</v>
      </c>
      <c r="C10" s="2">
        <v>0.160276</v>
      </c>
      <c r="D10" s="2">
        <f t="shared" si="0"/>
        <v>-6.4298461538470075E-3</v>
      </c>
    </row>
    <row r="11" spans="1:4" x14ac:dyDescent="0.6">
      <c r="A11" s="2">
        <v>7</v>
      </c>
      <c r="B11" s="3">
        <v>0.17948717948717899</v>
      </c>
      <c r="C11" s="2">
        <v>0.17039499999999999</v>
      </c>
      <c r="D11" s="2">
        <f t="shared" si="0"/>
        <v>9.0921794871789974E-3</v>
      </c>
    </row>
    <row r="12" spans="1:4" x14ac:dyDescent="0.6">
      <c r="A12" s="2">
        <v>8</v>
      </c>
      <c r="B12" s="3">
        <v>0.20512820512820501</v>
      </c>
      <c r="C12" s="2">
        <v>0.210422</v>
      </c>
      <c r="D12" s="2">
        <f t="shared" si="0"/>
        <v>-5.2937948717949879E-3</v>
      </c>
    </row>
    <row r="13" spans="1:4" x14ac:dyDescent="0.6">
      <c r="A13" s="2">
        <v>9</v>
      </c>
      <c r="B13" s="3">
        <v>0.23076923076923</v>
      </c>
      <c r="C13" s="2">
        <v>0.210422</v>
      </c>
      <c r="D13" s="2">
        <f t="shared" si="0"/>
        <v>2.0347230769230007E-2</v>
      </c>
    </row>
    <row r="14" spans="1:4" x14ac:dyDescent="0.6">
      <c r="A14" s="2">
        <v>10</v>
      </c>
      <c r="B14" s="3">
        <v>0.256410256410256</v>
      </c>
      <c r="C14" s="2">
        <v>0.21740399999999999</v>
      </c>
      <c r="D14" s="2">
        <f t="shared" si="0"/>
        <v>3.9006256410256013E-2</v>
      </c>
    </row>
    <row r="15" spans="1:4" x14ac:dyDescent="0.6">
      <c r="A15" s="2">
        <v>11</v>
      </c>
      <c r="B15" s="3">
        <v>0.28205128205128199</v>
      </c>
      <c r="C15" s="2">
        <v>0.22326299999999999</v>
      </c>
      <c r="D15" s="2">
        <f t="shared" si="0"/>
        <v>5.8788282051282004E-2</v>
      </c>
    </row>
    <row r="16" spans="1:4" x14ac:dyDescent="0.6">
      <c r="A16" s="2">
        <v>12</v>
      </c>
      <c r="B16" s="3">
        <v>0.30769230769230699</v>
      </c>
      <c r="C16" s="2">
        <v>0.24376800000000001</v>
      </c>
      <c r="D16" s="2">
        <f t="shared" si="0"/>
        <v>6.3924307692306975E-2</v>
      </c>
    </row>
    <row r="17" spans="1:4" x14ac:dyDescent="0.6">
      <c r="A17" s="2">
        <v>13</v>
      </c>
      <c r="B17" s="3">
        <v>0.33333333333333298</v>
      </c>
      <c r="C17" s="2">
        <v>0.24376800000000001</v>
      </c>
      <c r="D17" s="2">
        <f t="shared" si="0"/>
        <v>8.9565333333332969E-2</v>
      </c>
    </row>
    <row r="18" spans="1:4" x14ac:dyDescent="0.6">
      <c r="A18" s="2">
        <v>14</v>
      </c>
      <c r="B18" s="3">
        <v>0.35897435897435898</v>
      </c>
      <c r="C18" s="2">
        <v>0.27351399999999998</v>
      </c>
      <c r="D18" s="2">
        <f t="shared" si="0"/>
        <v>8.5460358974358996E-2</v>
      </c>
    </row>
    <row r="19" spans="1:4" x14ac:dyDescent="0.6">
      <c r="A19" s="2">
        <v>15</v>
      </c>
      <c r="B19" s="3">
        <v>0.38461538461538403</v>
      </c>
      <c r="C19" s="2">
        <v>0.28139199999999998</v>
      </c>
      <c r="D19" s="2">
        <f t="shared" si="0"/>
        <v>0.10322338461538405</v>
      </c>
    </row>
    <row r="20" spans="1:4" x14ac:dyDescent="0.6">
      <c r="A20" s="2">
        <v>16</v>
      </c>
      <c r="B20" s="3">
        <v>0.41025641025641002</v>
      </c>
      <c r="C20" s="2">
        <v>0.28139199999999998</v>
      </c>
      <c r="D20" s="2">
        <f t="shared" si="0"/>
        <v>0.12886441025641004</v>
      </c>
    </row>
    <row r="21" spans="1:4" x14ac:dyDescent="0.6">
      <c r="A21" s="2">
        <v>17</v>
      </c>
      <c r="B21" s="3">
        <v>0.43589743589743501</v>
      </c>
      <c r="C21" s="2">
        <v>0.28139199999999998</v>
      </c>
      <c r="D21" s="2">
        <f t="shared" si="0"/>
        <v>0.15450543589743504</v>
      </c>
    </row>
    <row r="22" spans="1:4" x14ac:dyDescent="0.6">
      <c r="A22" s="2">
        <v>18</v>
      </c>
      <c r="B22" s="3">
        <v>0.46153846153846101</v>
      </c>
      <c r="C22" s="2">
        <v>0.28944799999999998</v>
      </c>
      <c r="D22" s="2">
        <f t="shared" si="0"/>
        <v>0.17209046153846103</v>
      </c>
    </row>
    <row r="23" spans="1:4" x14ac:dyDescent="0.6">
      <c r="A23" s="2">
        <v>19</v>
      </c>
      <c r="B23" s="3">
        <v>0.487179487179487</v>
      </c>
      <c r="C23" s="2">
        <v>0.32347900000000002</v>
      </c>
      <c r="D23" s="2">
        <f t="shared" si="0"/>
        <v>0.16370048717948699</v>
      </c>
    </row>
    <row r="24" spans="1:4" x14ac:dyDescent="0.6">
      <c r="A24" s="2">
        <v>20</v>
      </c>
      <c r="B24" s="3">
        <v>0.512820512820512</v>
      </c>
      <c r="C24" s="2">
        <v>0.33243899999999998</v>
      </c>
      <c r="D24" s="2">
        <f t="shared" si="0"/>
        <v>0.18038151282051201</v>
      </c>
    </row>
    <row r="25" spans="1:4" x14ac:dyDescent="0.6">
      <c r="A25" s="2">
        <v>21</v>
      </c>
      <c r="B25" s="3">
        <v>0.53846153846153799</v>
      </c>
      <c r="C25" s="2">
        <v>0.37008200000000002</v>
      </c>
      <c r="D25" s="2">
        <f t="shared" si="0"/>
        <v>0.16837953846153797</v>
      </c>
    </row>
    <row r="26" spans="1:4" x14ac:dyDescent="0.6">
      <c r="A26" s="2">
        <v>22</v>
      </c>
      <c r="B26" s="3">
        <v>0.56410256410256399</v>
      </c>
      <c r="C26" s="2">
        <v>0.45362799999999998</v>
      </c>
      <c r="D26" s="2">
        <f t="shared" si="0"/>
        <v>0.11047456410256401</v>
      </c>
    </row>
    <row r="27" spans="1:4" x14ac:dyDescent="0.6">
      <c r="A27" s="2">
        <v>23</v>
      </c>
      <c r="B27" s="3">
        <v>0.58974358974358898</v>
      </c>
      <c r="C27" s="2">
        <v>0.46478000000000003</v>
      </c>
      <c r="D27" s="2">
        <f t="shared" si="0"/>
        <v>0.12496358974358895</v>
      </c>
    </row>
    <row r="28" spans="1:4" x14ac:dyDescent="0.6">
      <c r="A28" s="2">
        <v>24</v>
      </c>
      <c r="B28" s="3">
        <v>0.61538461538461497</v>
      </c>
      <c r="C28" s="2">
        <v>0.476074</v>
      </c>
      <c r="D28" s="2">
        <f t="shared" si="0"/>
        <v>0.13931061538461498</v>
      </c>
    </row>
    <row r="29" spans="1:4" x14ac:dyDescent="0.6">
      <c r="A29" s="2">
        <v>25</v>
      </c>
      <c r="B29" s="3">
        <v>0.64102564102564097</v>
      </c>
      <c r="C29" s="2">
        <v>0.476074</v>
      </c>
      <c r="D29" s="2">
        <f t="shared" si="0"/>
        <v>0.16495164102564097</v>
      </c>
    </row>
    <row r="30" spans="1:4" x14ac:dyDescent="0.6">
      <c r="A30" s="2">
        <v>26</v>
      </c>
      <c r="B30" s="3">
        <v>0.66666666666666596</v>
      </c>
      <c r="C30" s="2">
        <v>0.59509000000000001</v>
      </c>
      <c r="D30" s="2">
        <f t="shared" si="0"/>
        <v>7.1576666666665956E-2</v>
      </c>
    </row>
    <row r="31" spans="1:4" x14ac:dyDescent="0.6">
      <c r="A31" s="2">
        <v>27</v>
      </c>
      <c r="B31" s="3">
        <v>0.69230769230769196</v>
      </c>
      <c r="C31" s="2">
        <v>0.59631800000000001</v>
      </c>
      <c r="D31" s="2">
        <f t="shared" si="0"/>
        <v>9.5989692307691943E-2</v>
      </c>
    </row>
    <row r="32" spans="1:4" x14ac:dyDescent="0.6">
      <c r="A32" s="2">
        <v>28</v>
      </c>
      <c r="B32" s="3">
        <v>0.71794871794871795</v>
      </c>
      <c r="C32" s="2">
        <v>0.61971600000000004</v>
      </c>
      <c r="D32" s="2">
        <f t="shared" si="0"/>
        <v>9.8232717948717907E-2</v>
      </c>
    </row>
    <row r="33" spans="1:4" x14ac:dyDescent="0.6">
      <c r="A33" s="2">
        <v>29</v>
      </c>
      <c r="B33" s="3">
        <v>0.74358974358974295</v>
      </c>
      <c r="C33" s="2">
        <v>0.77020599999999995</v>
      </c>
      <c r="D33" s="2">
        <f t="shared" si="0"/>
        <v>-2.6616256410257E-2</v>
      </c>
    </row>
    <row r="34" spans="1:4" x14ac:dyDescent="0.6">
      <c r="A34" s="2">
        <v>30</v>
      </c>
      <c r="B34" s="3">
        <v>0.76923076923076905</v>
      </c>
      <c r="C34" s="2">
        <v>0.77585300000000001</v>
      </c>
      <c r="D34" s="2">
        <f t="shared" si="0"/>
        <v>-6.6222307692309634E-3</v>
      </c>
    </row>
    <row r="35" spans="1:4" x14ac:dyDescent="0.6">
      <c r="A35" s="2">
        <v>31</v>
      </c>
      <c r="B35" s="3">
        <v>0.79487179487179405</v>
      </c>
      <c r="C35" s="2">
        <v>0.78700300000000001</v>
      </c>
      <c r="D35" s="2">
        <f t="shared" si="0"/>
        <v>7.8687948717940381E-3</v>
      </c>
    </row>
    <row r="36" spans="1:4" x14ac:dyDescent="0.6">
      <c r="A36" s="2">
        <v>32</v>
      </c>
      <c r="B36" s="3">
        <v>0.82051282051282004</v>
      </c>
      <c r="C36" s="2">
        <v>0.90104399999999996</v>
      </c>
      <c r="D36" s="2">
        <f t="shared" si="0"/>
        <v>-8.0531179487179916E-2</v>
      </c>
    </row>
    <row r="37" spans="1:4" x14ac:dyDescent="0.6">
      <c r="A37" s="2">
        <v>33</v>
      </c>
      <c r="B37" s="3">
        <v>0.84615384615384603</v>
      </c>
      <c r="C37" s="2">
        <v>0.91572100000000001</v>
      </c>
      <c r="D37" s="2">
        <f t="shared" si="0"/>
        <v>-6.9567153846153973E-2</v>
      </c>
    </row>
    <row r="38" spans="1:4" x14ac:dyDescent="0.6">
      <c r="A38" s="2">
        <v>34</v>
      </c>
      <c r="B38" s="3">
        <v>0.87179487179487103</v>
      </c>
      <c r="C38" s="2">
        <v>0.91572100000000001</v>
      </c>
      <c r="D38" s="2">
        <f t="shared" si="0"/>
        <v>-4.3926128205128978E-2</v>
      </c>
    </row>
    <row r="39" spans="1:4" x14ac:dyDescent="0.6">
      <c r="A39" s="2">
        <v>35</v>
      </c>
      <c r="B39" s="3">
        <v>0.89743589743589702</v>
      </c>
      <c r="C39" s="2">
        <v>0.91572100000000001</v>
      </c>
      <c r="D39" s="2">
        <f t="shared" si="0"/>
        <v>-1.8285102564102984E-2</v>
      </c>
    </row>
    <row r="40" spans="1:4" x14ac:dyDescent="0.6">
      <c r="A40" s="2">
        <v>36</v>
      </c>
      <c r="B40" s="3">
        <v>0.92307692307692302</v>
      </c>
      <c r="C40" s="2">
        <v>0.91572100000000001</v>
      </c>
      <c r="D40" s="2">
        <f t="shared" si="0"/>
        <v>7.35592307692301E-3</v>
      </c>
    </row>
    <row r="41" spans="1:4" x14ac:dyDescent="0.6">
      <c r="A41" s="2">
        <v>37</v>
      </c>
      <c r="B41" s="3">
        <v>0.94871794871794801</v>
      </c>
      <c r="C41" s="2">
        <v>0.946357</v>
      </c>
      <c r="D41" s="2">
        <f t="shared" si="0"/>
        <v>2.3609487179480082E-3</v>
      </c>
    </row>
    <row r="42" spans="1:4" x14ac:dyDescent="0.6">
      <c r="A42" s="2">
        <v>38</v>
      </c>
      <c r="B42" s="3">
        <v>0.97435897435897401</v>
      </c>
      <c r="C42" s="2">
        <v>0.96856100000000001</v>
      </c>
      <c r="D42" s="2">
        <f t="shared" si="0"/>
        <v>5.7979743589740007E-3</v>
      </c>
    </row>
    <row r="43" spans="1:4" x14ac:dyDescent="0.6">
      <c r="A43" s="2">
        <v>39</v>
      </c>
      <c r="B43" s="3">
        <v>1</v>
      </c>
      <c r="C43" s="2">
        <v>1</v>
      </c>
      <c r="D43" s="2">
        <f t="shared" si="0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611F-EE2A-4B27-A0D2-AE9EB8C9040C}">
  <dimension ref="A1:D43"/>
  <sheetViews>
    <sheetView showGridLines="0" tabSelected="1" zoomScale="115" zoomScaleNormal="115" workbookViewId="0">
      <pane ySplit="4" topLeftCell="A5" activePane="bottomLeft" state="frozen"/>
      <selection pane="bottomLeft" activeCell="F39" sqref="F39"/>
    </sheetView>
  </sheetViews>
  <sheetFormatPr defaultRowHeight="16.5" x14ac:dyDescent="0.6"/>
  <cols>
    <col min="1" max="1" width="9.1328125" style="2" bestFit="1" customWidth="1"/>
    <col min="2" max="2" width="11.9296875" style="2" bestFit="1" customWidth="1"/>
    <col min="3" max="3" width="17.3984375" style="2" customWidth="1"/>
    <col min="4" max="4" width="13.796875" style="2" customWidth="1"/>
    <col min="5" max="16384" width="9.06640625" style="1"/>
  </cols>
  <sheetData>
    <row r="1" spans="1:4" x14ac:dyDescent="0.6">
      <c r="C1" s="2" t="s">
        <v>199</v>
      </c>
      <c r="D1" s="2">
        <f>IF(n&lt;35, 0.000003848186*n^4-0.00033109622*n^3+0.010220554*n^2-0.141035449935*n+1.07518805168, 1.36/SQRT(n) )</f>
        <v>0.21777428917491851</v>
      </c>
    </row>
    <row r="2" spans="1:4" x14ac:dyDescent="0.6">
      <c r="A2" s="2" t="s">
        <v>196</v>
      </c>
      <c r="B2" s="2">
        <f>COUNT(B4:B43)</f>
        <v>39</v>
      </c>
      <c r="C2" s="2" t="s">
        <v>200</v>
      </c>
      <c r="D2" s="2">
        <f>MAX(D5:D43)</f>
        <v>0.16756100000000002</v>
      </c>
    </row>
    <row r="3" spans="1:4" x14ac:dyDescent="0.6">
      <c r="C3" s="2" t="s">
        <v>198</v>
      </c>
      <c r="D3" s="2">
        <f>IF(deltao&gt;delta,1,0)</f>
        <v>1</v>
      </c>
    </row>
    <row r="4" spans="1:4" x14ac:dyDescent="0.6">
      <c r="A4" s="2" t="s">
        <v>2</v>
      </c>
      <c r="B4" s="2" t="s">
        <v>201</v>
      </c>
      <c r="C4" s="2" t="s">
        <v>202</v>
      </c>
      <c r="D4" s="2" t="s">
        <v>197</v>
      </c>
    </row>
    <row r="5" spans="1:4" x14ac:dyDescent="0.6">
      <c r="A5" s="2">
        <v>1</v>
      </c>
      <c r="B5" s="1">
        <v>1.53061224489795E-2</v>
      </c>
      <c r="C5" s="2">
        <v>5.5239299999999998E-2</v>
      </c>
      <c r="D5" s="2">
        <f>B5-C5</f>
        <v>-3.99331775510205E-2</v>
      </c>
    </row>
    <row r="6" spans="1:4" x14ac:dyDescent="0.6">
      <c r="A6" s="2">
        <v>2</v>
      </c>
      <c r="B6" s="1">
        <v>4.08163265306122E-2</v>
      </c>
      <c r="C6" s="2">
        <v>5.9871399999999998E-2</v>
      </c>
      <c r="D6" s="2">
        <f t="shared" ref="D6:D43" si="0">B6-C6</f>
        <v>-1.9055073469387798E-2</v>
      </c>
    </row>
    <row r="7" spans="1:4" x14ac:dyDescent="0.6">
      <c r="A7" s="2">
        <v>3</v>
      </c>
      <c r="B7" s="1">
        <v>6.6326530612244902E-2</v>
      </c>
      <c r="C7" s="2">
        <v>7.2725799999999993E-2</v>
      </c>
      <c r="D7" s="2">
        <f t="shared" si="0"/>
        <v>-6.399269387755091E-3</v>
      </c>
    </row>
    <row r="8" spans="1:4" x14ac:dyDescent="0.6">
      <c r="A8" s="2">
        <v>4</v>
      </c>
      <c r="B8" s="1">
        <v>9.18367346938775E-2</v>
      </c>
      <c r="C8" s="2">
        <v>0.12116300000000001</v>
      </c>
      <c r="D8" s="2">
        <f t="shared" si="0"/>
        <v>-2.9326265306122506E-2</v>
      </c>
    </row>
    <row r="9" spans="1:4" x14ac:dyDescent="0.6">
      <c r="A9" s="2">
        <v>5</v>
      </c>
      <c r="B9" s="1">
        <v>0.11734693877551</v>
      </c>
      <c r="C9" s="2">
        <v>0.1331</v>
      </c>
      <c r="D9" s="2">
        <f t="shared" si="0"/>
        <v>-1.5753061224489995E-2</v>
      </c>
    </row>
    <row r="10" spans="1:4" x14ac:dyDescent="0.6">
      <c r="A10" s="2">
        <v>6</v>
      </c>
      <c r="B10" s="1">
        <v>0.14285714285714199</v>
      </c>
      <c r="C10" s="2">
        <v>0.160276</v>
      </c>
      <c r="D10" s="2">
        <f t="shared" si="0"/>
        <v>-1.7418857142858013E-2</v>
      </c>
    </row>
    <row r="11" spans="1:4" x14ac:dyDescent="0.6">
      <c r="A11" s="2">
        <v>7</v>
      </c>
      <c r="B11" s="1">
        <v>0.168367346938775</v>
      </c>
      <c r="C11" s="2">
        <v>0.17039499999999999</v>
      </c>
      <c r="D11" s="2">
        <f t="shared" si="0"/>
        <v>-2.0276530612249877E-3</v>
      </c>
    </row>
    <row r="12" spans="1:4" x14ac:dyDescent="0.6">
      <c r="A12" s="2">
        <v>8</v>
      </c>
      <c r="B12" s="1">
        <v>0.19387755102040799</v>
      </c>
      <c r="C12" s="2">
        <v>0.210422</v>
      </c>
      <c r="D12" s="2">
        <f t="shared" si="0"/>
        <v>-1.6544448979592008E-2</v>
      </c>
    </row>
    <row r="13" spans="1:4" x14ac:dyDescent="0.6">
      <c r="A13" s="2">
        <v>9</v>
      </c>
      <c r="B13" s="1">
        <v>0.21938775510204001</v>
      </c>
      <c r="C13" s="2">
        <v>0.210422</v>
      </c>
      <c r="D13" s="2">
        <f t="shared" si="0"/>
        <v>8.9657551020400073E-3</v>
      </c>
    </row>
    <row r="14" spans="1:4" x14ac:dyDescent="0.6">
      <c r="A14" s="2">
        <v>10</v>
      </c>
      <c r="B14" s="1">
        <v>0.24489795918367299</v>
      </c>
      <c r="C14" s="2">
        <v>0.21740399999999999</v>
      </c>
      <c r="D14" s="2">
        <f t="shared" si="0"/>
        <v>2.7493959183673006E-2</v>
      </c>
    </row>
    <row r="15" spans="1:4" x14ac:dyDescent="0.6">
      <c r="A15" s="2">
        <v>11</v>
      </c>
      <c r="B15" s="1">
        <v>0.27040816326530598</v>
      </c>
      <c r="C15" s="2">
        <v>0.22326299999999999</v>
      </c>
      <c r="D15" s="2">
        <f t="shared" si="0"/>
        <v>4.7145163265305989E-2</v>
      </c>
    </row>
    <row r="16" spans="1:4" x14ac:dyDescent="0.6">
      <c r="A16" s="2">
        <v>12</v>
      </c>
      <c r="B16" s="1">
        <v>0.29591836734693799</v>
      </c>
      <c r="C16" s="2">
        <v>0.24376800000000001</v>
      </c>
      <c r="D16" s="2">
        <f t="shared" si="0"/>
        <v>5.2150367346937981E-2</v>
      </c>
    </row>
    <row r="17" spans="1:4" x14ac:dyDescent="0.6">
      <c r="A17" s="2">
        <v>13</v>
      </c>
      <c r="B17" s="1">
        <v>0.32142857142857101</v>
      </c>
      <c r="C17" s="2">
        <v>0.24376800000000001</v>
      </c>
      <c r="D17" s="2">
        <f t="shared" si="0"/>
        <v>7.7660571428570996E-2</v>
      </c>
    </row>
    <row r="18" spans="1:4" x14ac:dyDescent="0.6">
      <c r="A18" s="2">
        <v>14</v>
      </c>
      <c r="B18" s="1">
        <v>0.34693877551020402</v>
      </c>
      <c r="C18" s="2">
        <v>0.27351399999999998</v>
      </c>
      <c r="D18" s="2">
        <f t="shared" si="0"/>
        <v>7.3424775510204043E-2</v>
      </c>
    </row>
    <row r="19" spans="1:4" x14ac:dyDescent="0.6">
      <c r="A19" s="2">
        <v>15</v>
      </c>
      <c r="B19" s="1">
        <v>0.37244897959183598</v>
      </c>
      <c r="C19" s="2">
        <v>0.28139199999999998</v>
      </c>
      <c r="D19" s="2">
        <f t="shared" si="0"/>
        <v>9.1056979591836007E-2</v>
      </c>
    </row>
    <row r="20" spans="1:4" x14ac:dyDescent="0.6">
      <c r="A20" s="2">
        <v>16</v>
      </c>
      <c r="B20" s="1">
        <v>0.397959183673469</v>
      </c>
      <c r="C20" s="2">
        <v>0.28139199999999998</v>
      </c>
      <c r="D20" s="2">
        <f t="shared" si="0"/>
        <v>0.11656718367346902</v>
      </c>
    </row>
    <row r="21" spans="1:4" x14ac:dyDescent="0.6">
      <c r="A21" s="2">
        <v>17</v>
      </c>
      <c r="B21" s="1">
        <v>0.42346938775510201</v>
      </c>
      <c r="C21" s="2">
        <v>0.28139199999999998</v>
      </c>
      <c r="D21" s="2">
        <f t="shared" si="0"/>
        <v>0.14207738775510204</v>
      </c>
    </row>
    <row r="22" spans="1:4" x14ac:dyDescent="0.6">
      <c r="A22" s="2">
        <v>18</v>
      </c>
      <c r="B22" s="1">
        <v>0.44897959183673403</v>
      </c>
      <c r="C22" s="2">
        <v>0.28944799999999998</v>
      </c>
      <c r="D22" s="2">
        <f t="shared" si="0"/>
        <v>0.15953159183673404</v>
      </c>
    </row>
    <row r="23" spans="1:4" x14ac:dyDescent="0.6">
      <c r="A23" s="2">
        <v>19</v>
      </c>
      <c r="B23" s="1">
        <v>0.47448979591836699</v>
      </c>
      <c r="C23" s="2">
        <v>0.32347900000000002</v>
      </c>
      <c r="D23" s="2">
        <f t="shared" si="0"/>
        <v>0.15101079591836697</v>
      </c>
    </row>
    <row r="24" spans="1:4" x14ac:dyDescent="0.6">
      <c r="A24" s="2">
        <v>20</v>
      </c>
      <c r="B24" s="1">
        <v>0.5</v>
      </c>
      <c r="C24" s="2">
        <v>0.33243899999999998</v>
      </c>
      <c r="D24" s="2">
        <f t="shared" si="0"/>
        <v>0.16756100000000002</v>
      </c>
    </row>
    <row r="25" spans="1:4" x14ac:dyDescent="0.6">
      <c r="A25" s="2">
        <v>21</v>
      </c>
      <c r="B25" s="1">
        <v>0.52551020408163196</v>
      </c>
      <c r="C25" s="2">
        <v>0.37008200000000002</v>
      </c>
      <c r="D25" s="2">
        <f t="shared" si="0"/>
        <v>0.15542820408163194</v>
      </c>
    </row>
    <row r="26" spans="1:4" x14ac:dyDescent="0.6">
      <c r="A26" s="2">
        <v>22</v>
      </c>
      <c r="B26" s="1">
        <v>0.55102040816326503</v>
      </c>
      <c r="C26" s="2">
        <v>0.45362799999999998</v>
      </c>
      <c r="D26" s="2">
        <f t="shared" si="0"/>
        <v>9.7392408163265054E-2</v>
      </c>
    </row>
    <row r="27" spans="1:4" x14ac:dyDescent="0.6">
      <c r="A27" s="2">
        <v>23</v>
      </c>
      <c r="B27" s="1">
        <v>0.57653061224489799</v>
      </c>
      <c r="C27" s="2">
        <v>0.46478000000000003</v>
      </c>
      <c r="D27" s="2">
        <f t="shared" si="0"/>
        <v>0.11175061224489796</v>
      </c>
    </row>
    <row r="28" spans="1:4" x14ac:dyDescent="0.6">
      <c r="A28" s="2">
        <v>24</v>
      </c>
      <c r="B28" s="1">
        <v>0.60204081632652995</v>
      </c>
      <c r="C28" s="2">
        <v>0.476074</v>
      </c>
      <c r="D28" s="2">
        <f t="shared" si="0"/>
        <v>0.12596681632652995</v>
      </c>
    </row>
    <row r="29" spans="1:4" x14ac:dyDescent="0.6">
      <c r="A29" s="2">
        <v>25</v>
      </c>
      <c r="B29" s="1">
        <v>0.62755102040816302</v>
      </c>
      <c r="C29" s="2">
        <v>0.476074</v>
      </c>
      <c r="D29" s="2">
        <f t="shared" si="0"/>
        <v>0.15147702040816302</v>
      </c>
    </row>
    <row r="30" spans="1:4" x14ac:dyDescent="0.6">
      <c r="A30" s="2">
        <v>26</v>
      </c>
      <c r="B30" s="1">
        <v>0.65306122448979498</v>
      </c>
      <c r="C30" s="2">
        <v>0.59509000000000001</v>
      </c>
      <c r="D30" s="2">
        <f t="shared" si="0"/>
        <v>5.797122448979497E-2</v>
      </c>
    </row>
    <row r="31" spans="1:4" x14ac:dyDescent="0.6">
      <c r="A31" s="2">
        <v>27</v>
      </c>
      <c r="B31" s="1">
        <v>0.67857142857142805</v>
      </c>
      <c r="C31" s="2">
        <v>0.59631800000000001</v>
      </c>
      <c r="D31" s="2">
        <f t="shared" si="0"/>
        <v>8.2253428571428033E-2</v>
      </c>
    </row>
    <row r="32" spans="1:4" x14ac:dyDescent="0.6">
      <c r="A32" s="2">
        <v>28</v>
      </c>
      <c r="B32" s="1">
        <v>0.70408163265306101</v>
      </c>
      <c r="C32" s="2">
        <v>0.61971600000000004</v>
      </c>
      <c r="D32" s="2">
        <f t="shared" si="0"/>
        <v>8.4365632653060962E-2</v>
      </c>
    </row>
    <row r="33" spans="1:4" x14ac:dyDescent="0.6">
      <c r="A33" s="2">
        <v>29</v>
      </c>
      <c r="B33" s="1">
        <v>0.72959183673469297</v>
      </c>
      <c r="C33" s="2">
        <v>0.77020599999999995</v>
      </c>
      <c r="D33" s="2">
        <f t="shared" si="0"/>
        <v>-4.061416326530698E-2</v>
      </c>
    </row>
    <row r="34" spans="1:4" x14ac:dyDescent="0.6">
      <c r="A34" s="2">
        <v>30</v>
      </c>
      <c r="B34" s="1">
        <v>0.75510204081632604</v>
      </c>
      <c r="C34" s="2">
        <v>0.77585300000000001</v>
      </c>
      <c r="D34" s="2">
        <f t="shared" si="0"/>
        <v>-2.0750959183673978E-2</v>
      </c>
    </row>
    <row r="35" spans="1:4" x14ac:dyDescent="0.6">
      <c r="A35" s="2">
        <v>31</v>
      </c>
      <c r="B35" s="1">
        <v>0.780612244897959</v>
      </c>
      <c r="C35" s="2">
        <v>0.78700300000000001</v>
      </c>
      <c r="D35" s="2">
        <f t="shared" si="0"/>
        <v>-6.3907551020410125E-3</v>
      </c>
    </row>
    <row r="36" spans="1:4" x14ac:dyDescent="0.6">
      <c r="A36" s="2">
        <v>32</v>
      </c>
      <c r="B36" s="1">
        <v>0.80612244897959096</v>
      </c>
      <c r="C36" s="2">
        <v>0.90104399999999996</v>
      </c>
      <c r="D36" s="2">
        <f t="shared" si="0"/>
        <v>-9.4921551020409001E-2</v>
      </c>
    </row>
    <row r="37" spans="1:4" x14ac:dyDescent="0.6">
      <c r="A37" s="2">
        <v>33</v>
      </c>
      <c r="B37" s="1">
        <v>0.83163265306122403</v>
      </c>
      <c r="C37" s="2">
        <v>0.91572100000000001</v>
      </c>
      <c r="D37" s="2">
        <f t="shared" si="0"/>
        <v>-8.4088346938775982E-2</v>
      </c>
    </row>
    <row r="38" spans="1:4" x14ac:dyDescent="0.6">
      <c r="A38" s="2">
        <v>34</v>
      </c>
      <c r="B38" s="1">
        <v>0.85714285714285698</v>
      </c>
      <c r="C38" s="2">
        <v>0.91572100000000001</v>
      </c>
      <c r="D38" s="2">
        <f t="shared" si="0"/>
        <v>-5.8578142857143023E-2</v>
      </c>
    </row>
    <row r="39" spans="1:4" x14ac:dyDescent="0.6">
      <c r="A39" s="2">
        <v>35</v>
      </c>
      <c r="B39" s="1">
        <v>0.88265306122448906</v>
      </c>
      <c r="C39" s="2">
        <v>0.91572100000000001</v>
      </c>
      <c r="D39" s="2">
        <f t="shared" si="0"/>
        <v>-3.3067938775510952E-2</v>
      </c>
    </row>
    <row r="40" spans="1:4" x14ac:dyDescent="0.6">
      <c r="A40" s="2">
        <v>36</v>
      </c>
      <c r="B40" s="1">
        <v>0.90816326530612201</v>
      </c>
      <c r="C40" s="2">
        <v>0.91572100000000001</v>
      </c>
      <c r="D40" s="2">
        <f t="shared" si="0"/>
        <v>-7.5577346938779932E-3</v>
      </c>
    </row>
    <row r="41" spans="1:4" x14ac:dyDescent="0.6">
      <c r="A41" s="2">
        <v>37</v>
      </c>
      <c r="B41" s="1">
        <v>0.93367346938775497</v>
      </c>
      <c r="C41" s="2">
        <v>0.946357</v>
      </c>
      <c r="D41" s="2">
        <f t="shared" si="0"/>
        <v>-1.2683530612245031E-2</v>
      </c>
    </row>
    <row r="42" spans="1:4" x14ac:dyDescent="0.6">
      <c r="A42" s="2">
        <v>38</v>
      </c>
      <c r="B42" s="1">
        <v>0.95918367346938704</v>
      </c>
      <c r="C42" s="2">
        <v>0.96856100000000001</v>
      </c>
      <c r="D42" s="2">
        <f t="shared" si="0"/>
        <v>-9.3773265306129616E-3</v>
      </c>
    </row>
    <row r="43" spans="1:4" x14ac:dyDescent="0.6">
      <c r="A43" s="2">
        <v>39</v>
      </c>
      <c r="B43" s="1">
        <v>0.98469387755102</v>
      </c>
      <c r="C43" s="2">
        <v>1</v>
      </c>
      <c r="D43" s="2">
        <f t="shared" si="0"/>
        <v>-1.5306122448979997E-2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4B25-45DB-419F-8647-FF5FCC331844}">
  <dimension ref="A1:GM40"/>
  <sheetViews>
    <sheetView workbookViewId="0">
      <pane xSplit="11" ySplit="1" topLeftCell="AK2" activePane="bottomRight" state="frozen"/>
      <selection pane="topRight" activeCell="L1" sqref="L1"/>
      <selection pane="bottomLeft" activeCell="A2" sqref="A2"/>
      <selection pane="bottomRight" activeCell="AR1" sqref="AR1"/>
    </sheetView>
  </sheetViews>
  <sheetFormatPr defaultRowHeight="16.5" x14ac:dyDescent="0.6"/>
  <cols>
    <col min="1" max="12" width="9.1328125" style="1" bestFit="1" customWidth="1"/>
    <col min="13" max="13" width="10.796875" style="1" bestFit="1" customWidth="1"/>
    <col min="14" max="14" width="9.1328125" style="1" bestFit="1" customWidth="1"/>
    <col min="15" max="15" width="10.796875" style="1" bestFit="1" customWidth="1"/>
    <col min="16" max="16" width="9.1328125" style="1" bestFit="1" customWidth="1"/>
    <col min="17" max="17" width="10.796875" style="1" bestFit="1" customWidth="1"/>
    <col min="18" max="18" width="9.1328125" style="1" bestFit="1" customWidth="1"/>
    <col min="19" max="19" width="10.1328125" style="1" bestFit="1" customWidth="1"/>
    <col min="20" max="20" width="9.1328125" style="1" bestFit="1" customWidth="1"/>
    <col min="21" max="21" width="10.1328125" style="1" bestFit="1" customWidth="1"/>
    <col min="22" max="22" width="9.1328125" style="1" bestFit="1" customWidth="1"/>
    <col min="23" max="23" width="10.796875" style="1" bestFit="1" customWidth="1"/>
    <col min="24" max="24" width="9.1328125" style="1" bestFit="1" customWidth="1"/>
    <col min="25" max="25" width="11" style="1" bestFit="1" customWidth="1"/>
    <col min="26" max="26" width="9.1328125" style="1" bestFit="1" customWidth="1"/>
    <col min="27" max="27" width="10.796875" style="1" bestFit="1" customWidth="1"/>
    <col min="28" max="28" width="9.1328125" style="1" bestFit="1" customWidth="1"/>
    <col min="29" max="29" width="11.06640625" style="1" bestFit="1" customWidth="1"/>
    <col min="30" max="30" width="9.1328125" style="1" bestFit="1" customWidth="1"/>
    <col min="31" max="31" width="11.06640625" style="1" bestFit="1" customWidth="1"/>
    <col min="32" max="32" width="9.1328125" style="1" bestFit="1" customWidth="1"/>
    <col min="33" max="33" width="11.1328125" style="1" bestFit="1" customWidth="1"/>
    <col min="34" max="34" width="9.1328125" style="1" bestFit="1" customWidth="1"/>
    <col min="35" max="35" width="10.796875" style="1" bestFit="1" customWidth="1"/>
    <col min="36" max="36" width="9.1328125" style="1" bestFit="1" customWidth="1"/>
    <col min="37" max="37" width="11" style="1" bestFit="1" customWidth="1"/>
    <col min="38" max="38" width="9.1328125" style="1" bestFit="1" customWidth="1"/>
    <col min="39" max="39" width="10.796875" style="1" bestFit="1" customWidth="1"/>
    <col min="40" max="40" width="9.1328125" style="1" bestFit="1" customWidth="1"/>
    <col min="41" max="41" width="10.796875" style="1" bestFit="1" customWidth="1"/>
    <col min="42" max="42" width="9.1328125" style="1" bestFit="1" customWidth="1"/>
    <col min="43" max="43" width="11.1328125" style="1" bestFit="1" customWidth="1"/>
    <col min="44" max="44" width="9.1328125" style="1" bestFit="1" customWidth="1"/>
    <col min="45" max="46" width="10.1328125" style="1" bestFit="1" customWidth="1"/>
    <col min="47" max="47" width="11.1328125" style="1" bestFit="1" customWidth="1"/>
    <col min="48" max="48" width="9.1328125" style="1" bestFit="1" customWidth="1"/>
    <col min="49" max="49" width="10.796875" style="1" bestFit="1" customWidth="1"/>
    <col min="50" max="50" width="9.1328125" style="1" bestFit="1" customWidth="1"/>
    <col min="51" max="51" width="10.796875" style="1" bestFit="1" customWidth="1"/>
    <col min="52" max="52" width="9.1328125" style="1" bestFit="1" customWidth="1"/>
    <col min="53" max="53" width="10.796875" style="1" bestFit="1" customWidth="1"/>
    <col min="54" max="54" width="9.1328125" style="1" bestFit="1" customWidth="1"/>
    <col min="55" max="55" width="10.46484375" style="1" bestFit="1" customWidth="1"/>
    <col min="56" max="56" width="9.1328125" style="1" bestFit="1" customWidth="1"/>
    <col min="57" max="57" width="10.796875" style="1" bestFit="1" customWidth="1"/>
    <col min="58" max="58" width="10.1328125" style="1" bestFit="1" customWidth="1"/>
    <col min="59" max="59" width="10.73046875" style="1" bestFit="1" customWidth="1"/>
    <col min="60" max="60" width="9.1328125" style="1" bestFit="1" customWidth="1"/>
    <col min="61" max="62" width="10.1328125" style="1" bestFit="1" customWidth="1"/>
    <col min="63" max="63" width="11.06640625" style="1" bestFit="1" customWidth="1"/>
    <col min="64" max="64" width="9.1328125" style="1" bestFit="1" customWidth="1"/>
    <col min="65" max="65" width="10.796875" style="1" bestFit="1" customWidth="1"/>
    <col min="66" max="66" width="9.1328125" style="1" bestFit="1" customWidth="1"/>
    <col min="67" max="67" width="10.1328125" style="1" bestFit="1" customWidth="1"/>
    <col min="68" max="68" width="9.9296875" style="1" bestFit="1" customWidth="1"/>
    <col min="69" max="70" width="9.1328125" style="1" bestFit="1" customWidth="1"/>
    <col min="71" max="71" width="10.46484375" style="1" bestFit="1" customWidth="1"/>
    <col min="72" max="72" width="10.06640625" style="1" bestFit="1" customWidth="1"/>
    <col min="73" max="74" width="9.1328125" style="1" bestFit="1" customWidth="1"/>
    <col min="75" max="75" width="10.796875" style="1" bestFit="1" customWidth="1"/>
    <col min="76" max="76" width="9.1328125" style="1" bestFit="1" customWidth="1"/>
    <col min="77" max="77" width="11.1328125" style="1" bestFit="1" customWidth="1"/>
    <col min="78" max="78" width="11.06640625" style="1" bestFit="1" customWidth="1"/>
    <col min="79" max="79" width="11.1328125" style="1" bestFit="1" customWidth="1"/>
    <col min="80" max="80" width="9.1328125" style="1" bestFit="1" customWidth="1"/>
    <col min="81" max="81" width="10.73046875" style="1" bestFit="1" customWidth="1"/>
    <col min="82" max="82" width="9.1328125" style="1" bestFit="1" customWidth="1"/>
    <col min="83" max="83" width="10.1328125" style="1" bestFit="1" customWidth="1"/>
    <col min="84" max="84" width="9.1328125" style="1" bestFit="1" customWidth="1"/>
    <col min="85" max="85" width="11.1328125" style="1" bestFit="1" customWidth="1"/>
    <col min="86" max="86" width="9.1328125" style="1" bestFit="1" customWidth="1"/>
    <col min="87" max="87" width="10.1328125" style="1" bestFit="1" customWidth="1"/>
    <col min="88" max="88" width="9.1328125" style="1" bestFit="1" customWidth="1"/>
    <col min="89" max="89" width="11" style="1" bestFit="1" customWidth="1"/>
    <col min="90" max="90" width="9.1328125" style="1" bestFit="1" customWidth="1"/>
    <col min="91" max="91" width="11.1328125" style="1" bestFit="1" customWidth="1"/>
    <col min="92" max="92" width="10.1328125" style="1" bestFit="1" customWidth="1"/>
    <col min="93" max="93" width="10.796875" style="1" bestFit="1" customWidth="1"/>
    <col min="94" max="94" width="9.1328125" style="1" bestFit="1" customWidth="1"/>
    <col min="95" max="95" width="10.73046875" style="1" bestFit="1" customWidth="1"/>
    <col min="96" max="96" width="9.73046875" style="1" bestFit="1" customWidth="1"/>
    <col min="97" max="97" width="10.796875" style="1" bestFit="1" customWidth="1"/>
    <col min="98" max="98" width="9.1328125" style="1" bestFit="1" customWidth="1"/>
    <col min="99" max="99" width="10.46484375" style="1" bestFit="1" customWidth="1"/>
    <col min="100" max="100" width="9.1328125" style="1" bestFit="1" customWidth="1"/>
    <col min="101" max="101" width="10.1328125" style="1" bestFit="1" customWidth="1"/>
    <col min="102" max="102" width="9.46484375" style="1" bestFit="1" customWidth="1"/>
    <col min="103" max="103" width="11" style="1" bestFit="1" customWidth="1"/>
    <col min="104" max="104" width="10.06640625" style="1" bestFit="1" customWidth="1"/>
    <col min="105" max="105" width="10.1328125" style="1" bestFit="1" customWidth="1"/>
    <col min="106" max="106" width="10.06640625" style="1" bestFit="1" customWidth="1"/>
    <col min="107" max="111" width="9.1328125" style="1" bestFit="1" customWidth="1"/>
    <col min="112" max="112" width="10.06640625" style="1" bestFit="1" customWidth="1"/>
    <col min="113" max="113" width="9.1328125" style="1" bestFit="1" customWidth="1"/>
    <col min="114" max="114" width="10.1328125" style="1" bestFit="1" customWidth="1"/>
    <col min="115" max="115" width="9.1328125" style="1" bestFit="1" customWidth="1"/>
    <col min="116" max="116" width="10.06640625" style="1" bestFit="1" customWidth="1"/>
    <col min="117" max="119" width="9.1328125" style="1" bestFit="1" customWidth="1"/>
    <col min="120" max="120" width="10.06640625" style="1" bestFit="1" customWidth="1"/>
    <col min="121" max="121" width="9.1328125" style="1" bestFit="1" customWidth="1"/>
    <col min="122" max="122" width="9.73046875" style="1" bestFit="1" customWidth="1"/>
    <col min="123" max="123" width="9.1328125" style="1" bestFit="1" customWidth="1"/>
    <col min="124" max="124" width="9.796875" style="1" bestFit="1" customWidth="1"/>
    <col min="125" max="125" width="9.1328125" style="1" bestFit="1" customWidth="1"/>
    <col min="126" max="126" width="10.1328125" style="1" bestFit="1" customWidth="1"/>
    <col min="127" max="127" width="9.1328125" style="1" bestFit="1" customWidth="1"/>
    <col min="128" max="128" width="9.3984375" style="1" bestFit="1" customWidth="1"/>
    <col min="129" max="133" width="9.1328125" style="1" bestFit="1" customWidth="1"/>
    <col min="134" max="134" width="10.06640625" style="1" bestFit="1" customWidth="1"/>
    <col min="135" max="136" width="9.1328125" style="1" bestFit="1" customWidth="1"/>
    <col min="137" max="137" width="10.06640625" style="1" bestFit="1" customWidth="1"/>
    <col min="138" max="138" width="9.796875" style="1" bestFit="1" customWidth="1"/>
    <col min="139" max="139" width="11.1328125" style="1" bestFit="1" customWidth="1"/>
    <col min="140" max="145" width="9.1328125" style="1" bestFit="1" customWidth="1"/>
    <col min="146" max="146" width="9.796875" style="1" bestFit="1" customWidth="1"/>
    <col min="147" max="147" width="9.1328125" style="1" bestFit="1" customWidth="1"/>
    <col min="148" max="148" width="10.06640625" style="1" bestFit="1" customWidth="1"/>
    <col min="149" max="149" width="9.1328125" style="1" bestFit="1" customWidth="1"/>
    <col min="150" max="150" width="9.46484375" style="1" bestFit="1" customWidth="1"/>
    <col min="151" max="153" width="9.1328125" style="1" bestFit="1" customWidth="1"/>
    <col min="154" max="154" width="10" style="1" bestFit="1" customWidth="1"/>
    <col min="155" max="161" width="9.1328125" style="1" bestFit="1" customWidth="1"/>
    <col min="162" max="162" width="10.1328125" style="1" bestFit="1" customWidth="1"/>
    <col min="163" max="163" width="9.1328125" style="1" bestFit="1" customWidth="1"/>
    <col min="164" max="164" width="9.73046875" style="1" bestFit="1" customWidth="1"/>
    <col min="165" max="165" width="9.1328125" style="1" bestFit="1" customWidth="1"/>
    <col min="166" max="166" width="10.06640625" style="1" bestFit="1" customWidth="1"/>
    <col min="167" max="171" width="9.1328125" style="1" bestFit="1" customWidth="1"/>
    <col min="172" max="172" width="10" style="1" bestFit="1" customWidth="1"/>
    <col min="173" max="173" width="9.1328125" style="1" bestFit="1" customWidth="1"/>
    <col min="174" max="174" width="10.1328125" style="1" bestFit="1" customWidth="1"/>
    <col min="175" max="175" width="9.1328125" style="1" bestFit="1" customWidth="1"/>
    <col min="176" max="176" width="10.06640625" style="1" bestFit="1" customWidth="1"/>
    <col min="177" max="183" width="9.1328125" style="1" bestFit="1" customWidth="1"/>
    <col min="184" max="184" width="9.46484375" style="1" bestFit="1" customWidth="1"/>
    <col min="185" max="185" width="9.1328125" style="1" bestFit="1" customWidth="1"/>
    <col min="186" max="186" width="10.06640625" style="1" bestFit="1" customWidth="1"/>
    <col min="187" max="187" width="9.1328125" style="1" bestFit="1" customWidth="1"/>
    <col min="188" max="188" width="9.73046875" style="1" bestFit="1" customWidth="1"/>
    <col min="189" max="195" width="9.1328125" style="1" bestFit="1" customWidth="1"/>
    <col min="196" max="16384" width="9.06640625" style="1"/>
  </cols>
  <sheetData>
    <row r="1" spans="1:195" ht="49.5" x14ac:dyDescent="0.6">
      <c r="A1" s="4" t="s">
        <v>4</v>
      </c>
      <c r="B1" s="4" t="s">
        <v>5</v>
      </c>
      <c r="C1" s="4" t="s">
        <v>0</v>
      </c>
      <c r="D1" s="4" t="s">
        <v>1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2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  <c r="CU1" s="4" t="s">
        <v>99</v>
      </c>
      <c r="CV1" s="4" t="s">
        <v>100</v>
      </c>
      <c r="CW1" s="4" t="s">
        <v>101</v>
      </c>
      <c r="CX1" s="4" t="s">
        <v>102</v>
      </c>
      <c r="CY1" s="4" t="s">
        <v>103</v>
      </c>
      <c r="CZ1" s="4" t="s">
        <v>104</v>
      </c>
      <c r="DA1" s="4" t="s">
        <v>105</v>
      </c>
      <c r="DB1" s="4" t="s">
        <v>106</v>
      </c>
      <c r="DC1" s="4" t="s">
        <v>107</v>
      </c>
      <c r="DD1" s="4" t="s">
        <v>108</v>
      </c>
      <c r="DE1" s="4" t="s">
        <v>109</v>
      </c>
      <c r="DF1" s="4" t="s">
        <v>110</v>
      </c>
      <c r="DG1" s="4" t="s">
        <v>111</v>
      </c>
      <c r="DH1" s="4" t="s">
        <v>112</v>
      </c>
      <c r="DI1" s="4" t="s">
        <v>113</v>
      </c>
      <c r="DJ1" s="4" t="s">
        <v>114</v>
      </c>
      <c r="DK1" s="4" t="s">
        <v>115</v>
      </c>
      <c r="DL1" s="4" t="s">
        <v>116</v>
      </c>
      <c r="DM1" s="4" t="s">
        <v>117</v>
      </c>
      <c r="DN1" s="4" t="s">
        <v>118</v>
      </c>
      <c r="DO1" s="4" t="s">
        <v>119</v>
      </c>
      <c r="DP1" s="4" t="s">
        <v>120</v>
      </c>
      <c r="DQ1" s="4" t="s">
        <v>121</v>
      </c>
      <c r="DR1" s="4" t="s">
        <v>122</v>
      </c>
      <c r="DS1" s="4" t="s">
        <v>123</v>
      </c>
      <c r="DT1" s="4" t="s">
        <v>124</v>
      </c>
      <c r="DU1" s="4" t="s">
        <v>125</v>
      </c>
      <c r="DV1" s="4" t="s">
        <v>126</v>
      </c>
      <c r="DW1" s="4" t="s">
        <v>127</v>
      </c>
      <c r="DX1" s="4" t="s">
        <v>128</v>
      </c>
      <c r="DY1" s="4" t="s">
        <v>129</v>
      </c>
      <c r="DZ1" s="4" t="s">
        <v>130</v>
      </c>
      <c r="EA1" s="4" t="s">
        <v>131</v>
      </c>
      <c r="EB1" s="4" t="s">
        <v>132</v>
      </c>
      <c r="EC1" s="4" t="s">
        <v>133</v>
      </c>
      <c r="ED1" s="4" t="s">
        <v>134</v>
      </c>
      <c r="EE1" s="4" t="s">
        <v>135</v>
      </c>
      <c r="EF1" s="4" t="s">
        <v>136</v>
      </c>
      <c r="EG1" s="4" t="s">
        <v>137</v>
      </c>
      <c r="EH1" s="4" t="s">
        <v>138</v>
      </c>
      <c r="EI1" s="4" t="s">
        <v>139</v>
      </c>
      <c r="EJ1" s="4" t="s">
        <v>140</v>
      </c>
      <c r="EK1" s="4" t="s">
        <v>141</v>
      </c>
      <c r="EL1" s="4" t="s">
        <v>142</v>
      </c>
      <c r="EM1" s="4" t="s">
        <v>143</v>
      </c>
      <c r="EN1" s="4" t="s">
        <v>144</v>
      </c>
      <c r="EO1" s="4" t="s">
        <v>145</v>
      </c>
      <c r="EP1" s="4" t="s">
        <v>146</v>
      </c>
      <c r="EQ1" s="4" t="s">
        <v>147</v>
      </c>
      <c r="ER1" s="4" t="s">
        <v>148</v>
      </c>
      <c r="ES1" s="4" t="s">
        <v>149</v>
      </c>
      <c r="ET1" s="4" t="s">
        <v>150</v>
      </c>
      <c r="EU1" s="4" t="s">
        <v>151</v>
      </c>
      <c r="EV1" s="4" t="s">
        <v>152</v>
      </c>
      <c r="EW1" s="4" t="s">
        <v>153</v>
      </c>
      <c r="EX1" s="4" t="s">
        <v>154</v>
      </c>
      <c r="EY1" s="4" t="s">
        <v>155</v>
      </c>
      <c r="EZ1" s="4" t="s">
        <v>156</v>
      </c>
      <c r="FA1" s="4" t="s">
        <v>157</v>
      </c>
      <c r="FB1" s="4" t="s">
        <v>158</v>
      </c>
      <c r="FC1" s="4" t="s">
        <v>159</v>
      </c>
      <c r="FD1" s="4" t="s">
        <v>160</v>
      </c>
      <c r="FE1" s="4" t="s">
        <v>161</v>
      </c>
      <c r="FF1" s="4" t="s">
        <v>162</v>
      </c>
      <c r="FG1" s="4" t="s">
        <v>163</v>
      </c>
      <c r="FH1" s="4" t="s">
        <v>164</v>
      </c>
      <c r="FI1" s="4" t="s">
        <v>165</v>
      </c>
      <c r="FJ1" s="4" t="s">
        <v>166</v>
      </c>
      <c r="FK1" s="4" t="s">
        <v>167</v>
      </c>
      <c r="FL1" s="4" t="s">
        <v>168</v>
      </c>
      <c r="FM1" s="4" t="s">
        <v>169</v>
      </c>
      <c r="FN1" s="4" t="s">
        <v>170</v>
      </c>
      <c r="FO1" s="4" t="s">
        <v>171</v>
      </c>
      <c r="FP1" s="4" t="s">
        <v>172</v>
      </c>
      <c r="FQ1" s="4" t="s">
        <v>173</v>
      </c>
      <c r="FR1" s="4" t="s">
        <v>174</v>
      </c>
      <c r="FS1" s="4" t="s">
        <v>175</v>
      </c>
      <c r="FT1" s="4" t="s">
        <v>176</v>
      </c>
      <c r="FU1" s="4" t="s">
        <v>177</v>
      </c>
      <c r="FV1" s="4" t="s">
        <v>178</v>
      </c>
      <c r="FW1" s="4" t="s">
        <v>179</v>
      </c>
      <c r="FX1" s="4" t="s">
        <v>180</v>
      </c>
      <c r="FY1" s="4" t="s">
        <v>181</v>
      </c>
      <c r="FZ1" s="4" t="s">
        <v>182</v>
      </c>
      <c r="GA1" s="4" t="s">
        <v>183</v>
      </c>
      <c r="GB1" s="4" t="s">
        <v>184</v>
      </c>
      <c r="GC1" s="4" t="s">
        <v>185</v>
      </c>
      <c r="GD1" s="4" t="s">
        <v>186</v>
      </c>
      <c r="GE1" s="4" t="s">
        <v>187</v>
      </c>
      <c r="GF1" s="4" t="s">
        <v>188</v>
      </c>
      <c r="GG1" s="4" t="s">
        <v>189</v>
      </c>
      <c r="GH1" s="4" t="s">
        <v>190</v>
      </c>
      <c r="GI1" s="4" t="s">
        <v>191</v>
      </c>
      <c r="GJ1" s="4" t="s">
        <v>192</v>
      </c>
      <c r="GK1" s="4" t="s">
        <v>193</v>
      </c>
      <c r="GL1" s="4" t="s">
        <v>194</v>
      </c>
      <c r="GM1" s="4" t="s">
        <v>195</v>
      </c>
    </row>
    <row r="2" spans="1:195" x14ac:dyDescent="0.6">
      <c r="A2" s="5">
        <v>0</v>
      </c>
      <c r="B2" s="5">
        <v>25020230</v>
      </c>
      <c r="C2" s="5">
        <v>1996</v>
      </c>
      <c r="D2" s="5">
        <v>37.527299999999997</v>
      </c>
      <c r="E2" s="5">
        <v>39</v>
      </c>
      <c r="F2" s="5">
        <v>105.801</v>
      </c>
      <c r="G2" s="5">
        <v>38.727499999999999</v>
      </c>
      <c r="H2" s="5">
        <v>-1.76292</v>
      </c>
      <c r="I2" s="5">
        <v>37.527299999999997</v>
      </c>
      <c r="J2" s="5">
        <v>25020230</v>
      </c>
      <c r="K2" s="5">
        <v>1</v>
      </c>
      <c r="L2" s="5">
        <v>1.5085400000000001E-2</v>
      </c>
      <c r="M2" s="5">
        <v>1.57658E-3</v>
      </c>
      <c r="N2" s="5">
        <v>1.2817200000000001E-2</v>
      </c>
      <c r="O2" s="5">
        <v>1.6198899999999999E-3</v>
      </c>
      <c r="P2" s="5">
        <v>1.37695E-2</v>
      </c>
      <c r="Q2" s="5">
        <v>1.6305899999999999E-3</v>
      </c>
      <c r="R2" s="5">
        <v>3.7052500000000002E-2</v>
      </c>
      <c r="S2" s="5">
        <v>2.1178899999999999E-3</v>
      </c>
      <c r="T2" s="5">
        <v>3.7595900000000002E-2</v>
      </c>
      <c r="U2" s="5">
        <v>1.87973E-3</v>
      </c>
      <c r="V2" s="5">
        <v>1.3769399999999999E-2</v>
      </c>
      <c r="W2" s="5">
        <v>1.6305899999999999E-3</v>
      </c>
      <c r="X2" s="5">
        <v>0</v>
      </c>
      <c r="Y2" s="5">
        <v>1.4647E-2</v>
      </c>
      <c r="Z2" s="5">
        <v>1.94808E-2</v>
      </c>
      <c r="AA2" s="5">
        <v>1.6105799999999999E-3</v>
      </c>
      <c r="AB2" s="5">
        <v>1.3769200000000001E-2</v>
      </c>
      <c r="AC2" s="5">
        <v>1.6299699999999999E-3</v>
      </c>
      <c r="AD2" s="5">
        <v>1.4297199999999999E-2</v>
      </c>
      <c r="AE2" s="5">
        <v>1.6040099999999999E-3</v>
      </c>
      <c r="AF2" s="5">
        <v>1.9204300000000001E-2</v>
      </c>
      <c r="AG2" s="5">
        <v>1.5221E-3</v>
      </c>
      <c r="AH2" s="5">
        <v>1.37695E-2</v>
      </c>
      <c r="AI2" s="5">
        <v>1.6305899999999999E-3</v>
      </c>
      <c r="AJ2" s="6">
        <v>1.95377E-8</v>
      </c>
      <c r="AK2" s="5">
        <v>1.31743E-2</v>
      </c>
      <c r="AL2" s="5">
        <v>1.6877300000000001E-2</v>
      </c>
      <c r="AM2" s="5">
        <v>1.46714E-3</v>
      </c>
      <c r="AN2" s="5">
        <v>0</v>
      </c>
      <c r="AO2" s="5">
        <v>0</v>
      </c>
      <c r="AP2" s="6">
        <v>2.8463099999999999E-5</v>
      </c>
      <c r="AQ2" s="5">
        <v>6.0783399999999998E-3</v>
      </c>
      <c r="AR2" s="5">
        <v>5.5239299999999998E-2</v>
      </c>
      <c r="AS2" s="5">
        <v>1.80113E-3</v>
      </c>
      <c r="AT2" s="5">
        <v>3.8966399999999998E-3</v>
      </c>
      <c r="AU2" s="5">
        <v>7.2526000000000003E-4</v>
      </c>
      <c r="AV2" s="5">
        <v>0</v>
      </c>
      <c r="AW2" s="5">
        <v>0</v>
      </c>
      <c r="AX2" s="5">
        <v>0</v>
      </c>
      <c r="AY2" s="5">
        <v>0</v>
      </c>
      <c r="AZ2" s="5">
        <v>3.8458100000000002E-2</v>
      </c>
      <c r="BA2" s="5">
        <v>1.57642E-3</v>
      </c>
      <c r="BB2" s="5">
        <v>1.4756399999999999E-2</v>
      </c>
      <c r="BC2" s="5">
        <v>1.5843599999999999E-3</v>
      </c>
      <c r="BD2" s="5">
        <v>1.3266E-2</v>
      </c>
      <c r="BE2" s="5">
        <v>1.5660800000000001E-3</v>
      </c>
      <c r="BF2" s="5">
        <v>9.5406199999999997E-3</v>
      </c>
      <c r="BG2" s="5">
        <v>1.3565599999999999E-3</v>
      </c>
      <c r="BH2" s="5">
        <v>3.8381999999999999E-2</v>
      </c>
      <c r="BI2" s="5">
        <v>2.1600399999999998E-3</v>
      </c>
      <c r="BJ2" s="5">
        <v>8.6666399999999998E-3</v>
      </c>
      <c r="BK2" s="5">
        <v>1.5140100000000001E-3</v>
      </c>
      <c r="BL2" s="5">
        <v>3.9999699999999999E-2</v>
      </c>
      <c r="BM2" s="5">
        <v>1.47977E-3</v>
      </c>
      <c r="BN2" s="5">
        <v>2.15418E-2</v>
      </c>
      <c r="BO2" s="5">
        <v>1.21718E-3</v>
      </c>
      <c r="BP2" s="5">
        <v>4.6235E-3</v>
      </c>
      <c r="BQ2" s="5">
        <v>3.8406799999999998E-2</v>
      </c>
      <c r="BR2" s="5">
        <v>3.7710300000000002E-2</v>
      </c>
      <c r="BS2" s="5">
        <v>1.72178E-3</v>
      </c>
      <c r="BT2" s="5">
        <v>5.4873200000000004E-3</v>
      </c>
      <c r="BU2" s="5">
        <v>4.1258599999999999E-2</v>
      </c>
      <c r="BV2" s="5">
        <v>1.54191E-2</v>
      </c>
      <c r="BW2" s="5">
        <v>2.00987E-3</v>
      </c>
      <c r="BX2" s="5">
        <v>1.8563E-2</v>
      </c>
      <c r="BY2" s="5">
        <v>1.71916E-3</v>
      </c>
      <c r="BZ2" s="5">
        <v>1.17279E-4</v>
      </c>
      <c r="CA2" s="6">
        <v>5.3609200000000002E-5</v>
      </c>
      <c r="CB2" s="5">
        <v>1.0409399999999999E-2</v>
      </c>
      <c r="CC2" s="5">
        <v>1.9120700000000001E-3</v>
      </c>
      <c r="CD2" s="5">
        <v>0.24743999999999999</v>
      </c>
      <c r="CE2" s="5">
        <v>6.2758400000000004E-3</v>
      </c>
      <c r="CF2" s="5">
        <v>1.6953300000000001E-2</v>
      </c>
      <c r="CG2" s="5">
        <v>1.5321499999999999E-3</v>
      </c>
      <c r="CH2" s="5">
        <v>3.7052500000000002E-2</v>
      </c>
      <c r="CI2" s="5">
        <v>2.1178899999999999E-3</v>
      </c>
      <c r="CJ2" s="5">
        <v>0</v>
      </c>
      <c r="CK2" s="5">
        <v>1.4647E-2</v>
      </c>
      <c r="CL2" s="5">
        <v>1.0626E-2</v>
      </c>
      <c r="CM2" s="5">
        <v>1.4792900000000001E-3</v>
      </c>
      <c r="CN2" s="5">
        <v>3.46043E-3</v>
      </c>
      <c r="CO2" s="5">
        <v>1.42201E-3</v>
      </c>
      <c r="CP2" s="5">
        <v>1.4302499999999999E-2</v>
      </c>
      <c r="CQ2" s="5">
        <v>1.6054999999999999E-3</v>
      </c>
      <c r="CR2" s="5">
        <v>9.2273100000000007E-3</v>
      </c>
      <c r="CS2" s="5">
        <v>2.1173799999999999E-3</v>
      </c>
      <c r="CT2" s="5">
        <v>4.3816300000000002E-2</v>
      </c>
      <c r="CU2" s="5">
        <v>2.1653900000000001E-3</v>
      </c>
      <c r="CV2" s="5">
        <v>3.7052500000000002E-2</v>
      </c>
      <c r="CW2" s="5">
        <v>2.1178899999999999E-3</v>
      </c>
      <c r="CX2" s="5">
        <v>0</v>
      </c>
      <c r="CY2" s="5">
        <v>0</v>
      </c>
      <c r="CZ2" s="5">
        <v>9.3762800000000007E-3</v>
      </c>
      <c r="DA2" s="5">
        <v>2.0205499999999999E-3</v>
      </c>
      <c r="DB2" s="5">
        <v>4.4615200000000001E-3</v>
      </c>
      <c r="DC2" s="5">
        <v>3.8818800000000001E-2</v>
      </c>
      <c r="DD2" s="5">
        <v>1.6521399999999999E-2</v>
      </c>
      <c r="DE2" s="5">
        <v>9.5263E-2</v>
      </c>
      <c r="DF2" s="6">
        <v>4.9857600000000004E-9</v>
      </c>
      <c r="DG2" s="6">
        <v>5991300</v>
      </c>
      <c r="DH2" s="5">
        <v>5.4872499999999999E-3</v>
      </c>
      <c r="DI2" s="5">
        <v>4.1258200000000002E-2</v>
      </c>
      <c r="DJ2" s="5">
        <v>6.4354399999999997E-3</v>
      </c>
      <c r="DK2" s="5">
        <v>3.3428199999999998E-2</v>
      </c>
      <c r="DL2" s="5">
        <v>4.7465900000000002E-3</v>
      </c>
      <c r="DM2" s="5">
        <v>3.9183700000000002E-2</v>
      </c>
      <c r="DN2" s="5">
        <v>0</v>
      </c>
      <c r="DO2" s="5">
        <v>1.0327299999999999</v>
      </c>
      <c r="DP2" s="5">
        <v>5.48738E-3</v>
      </c>
      <c r="DQ2" s="5">
        <v>4.1258900000000001E-2</v>
      </c>
      <c r="DR2" s="5">
        <v>5.4580999999999996E-3</v>
      </c>
      <c r="DS2" s="5">
        <v>4.1162200000000003E-2</v>
      </c>
      <c r="DT2" s="5">
        <v>5.1686600000000003E-3</v>
      </c>
      <c r="DU2" s="5">
        <v>3.9621900000000002E-2</v>
      </c>
      <c r="DV2" s="5">
        <v>9.4395799999999995E-3</v>
      </c>
      <c r="DW2" s="5">
        <v>4.4145400000000001E-2</v>
      </c>
      <c r="DX2" s="5">
        <v>1.57014E-3</v>
      </c>
      <c r="DY2" s="5">
        <v>0.105395</v>
      </c>
      <c r="DZ2" s="5">
        <v>1.84929E-2</v>
      </c>
      <c r="EA2" s="5">
        <v>6.5010899999999996E-2</v>
      </c>
      <c r="EB2" s="5">
        <v>0</v>
      </c>
      <c r="EC2" s="5">
        <v>0</v>
      </c>
      <c r="ED2" s="6">
        <v>1.5710799999999999E-5</v>
      </c>
      <c r="EE2" s="5">
        <v>0.14191899999999999</v>
      </c>
      <c r="EF2" s="5">
        <v>2.12771E-2</v>
      </c>
      <c r="EG2" s="5">
        <v>7.0913699999999996E-2</v>
      </c>
      <c r="EH2" s="6">
        <v>4.3082399999999999E-7</v>
      </c>
      <c r="EI2" s="6">
        <v>2.1274400000000001E-5</v>
      </c>
      <c r="EJ2" s="5">
        <v>0</v>
      </c>
      <c r="EK2" s="5">
        <v>0</v>
      </c>
      <c r="EL2" s="5">
        <v>0</v>
      </c>
      <c r="EM2" s="5">
        <v>0</v>
      </c>
      <c r="EN2" s="5">
        <v>1.1713400000000001E-2</v>
      </c>
      <c r="EO2" s="5">
        <v>4.8319800000000003E-2</v>
      </c>
      <c r="EP2" s="5">
        <v>4.1368899999999998E-3</v>
      </c>
      <c r="EQ2" s="5">
        <v>3.7351500000000003E-2</v>
      </c>
      <c r="ER2" s="5">
        <v>3.7356199999999998E-3</v>
      </c>
      <c r="ES2" s="5">
        <v>3.5627600000000002E-2</v>
      </c>
      <c r="ET2" s="5">
        <v>1.90661E-3</v>
      </c>
      <c r="EU2" s="5">
        <v>2.8491599999999999E-2</v>
      </c>
      <c r="EV2" s="5">
        <v>1.5476699999999999E-2</v>
      </c>
      <c r="EW2" s="5">
        <v>6.2799099999999997E-2</v>
      </c>
      <c r="EX2" s="5">
        <v>2.07931E-3</v>
      </c>
      <c r="EY2" s="5">
        <v>3.9386699999999997E-2</v>
      </c>
      <c r="EZ2" s="5">
        <v>1.37021E-2</v>
      </c>
      <c r="FA2" s="5">
        <v>5.0900599999999997E-2</v>
      </c>
      <c r="FB2" s="5">
        <v>1.22684E-2</v>
      </c>
      <c r="FC2" s="5">
        <v>4.9569799999999997E-2</v>
      </c>
      <c r="FD2" s="5">
        <v>1.3043000000000001E-2</v>
      </c>
      <c r="FE2" s="5">
        <v>6.2167199999999999E-2</v>
      </c>
      <c r="FF2" s="5">
        <v>9.8205600000000007E-3</v>
      </c>
      <c r="FG2" s="5">
        <v>4.6329799999999997E-2</v>
      </c>
      <c r="FH2" s="5">
        <v>5.4871399999999997E-3</v>
      </c>
      <c r="FI2" s="5">
        <v>4.12579E-2</v>
      </c>
      <c r="FJ2" s="5">
        <v>0</v>
      </c>
      <c r="FK2" s="5">
        <v>0</v>
      </c>
      <c r="FL2" s="5">
        <v>1.8054500000000001E-2</v>
      </c>
      <c r="FM2" s="5">
        <v>6.9445300000000001E-2</v>
      </c>
      <c r="FN2" s="6">
        <v>4.0828299999999999E-19</v>
      </c>
      <c r="FO2" s="6">
        <v>9.6255699999999995E-17</v>
      </c>
      <c r="FP2" s="5">
        <v>5.5147499999999997E-3</v>
      </c>
      <c r="FQ2" s="5">
        <v>4.1450800000000003E-2</v>
      </c>
      <c r="FR2" s="5">
        <v>5.5972299999999999E-3</v>
      </c>
      <c r="FS2" s="5">
        <v>4.2269399999999999E-2</v>
      </c>
      <c r="FT2" s="5">
        <v>5.5357799999999997E-3</v>
      </c>
      <c r="FU2" s="5">
        <v>4.2241899999999999E-2</v>
      </c>
      <c r="FV2" s="5">
        <v>0</v>
      </c>
      <c r="FW2" s="5">
        <v>1.0327299999999999</v>
      </c>
      <c r="FX2" s="5">
        <v>1.32087E-2</v>
      </c>
      <c r="FY2" s="5">
        <v>6.4231099999999999E-2</v>
      </c>
      <c r="FZ2" s="5">
        <v>0</v>
      </c>
      <c r="GA2" s="5">
        <v>0</v>
      </c>
      <c r="GB2" s="5">
        <v>3.6861099999999998E-3</v>
      </c>
      <c r="GC2" s="5">
        <v>3.3515099999999999E-2</v>
      </c>
      <c r="GD2" s="5">
        <v>5.4812000000000003E-3</v>
      </c>
      <c r="GE2" s="5">
        <v>4.1226400000000003E-2</v>
      </c>
      <c r="GF2" s="5">
        <v>7.9299100000000001E-3</v>
      </c>
      <c r="GG2" s="5">
        <v>4.9669699999999997E-2</v>
      </c>
      <c r="GH2" s="6">
        <v>1.3217800000000001E-5</v>
      </c>
      <c r="GI2" s="5">
        <v>0.88498100000000002</v>
      </c>
      <c r="GJ2" s="5">
        <v>0</v>
      </c>
      <c r="GK2" s="5">
        <v>0</v>
      </c>
      <c r="GL2" s="5">
        <v>1.17614E-2</v>
      </c>
      <c r="GM2" s="5">
        <v>6.6195699999999996E-2</v>
      </c>
    </row>
    <row r="3" spans="1:195" x14ac:dyDescent="0.6">
      <c r="A3" s="7">
        <v>1</v>
      </c>
      <c r="B3" s="7">
        <v>25020230</v>
      </c>
      <c r="C3" s="7">
        <v>2005</v>
      </c>
      <c r="D3" s="7">
        <v>40</v>
      </c>
      <c r="E3" s="7">
        <v>39</v>
      </c>
      <c r="F3" s="7">
        <v>105.801</v>
      </c>
      <c r="G3" s="7">
        <v>38.727499999999999</v>
      </c>
      <c r="H3" s="7">
        <v>-1.6990700000000001</v>
      </c>
      <c r="I3" s="7">
        <v>40</v>
      </c>
      <c r="J3" s="7">
        <v>25020230</v>
      </c>
      <c r="K3" s="7">
        <v>2</v>
      </c>
      <c r="L3" s="7">
        <v>1.9400299999999999E-2</v>
      </c>
      <c r="M3" s="7">
        <v>1.92078E-3</v>
      </c>
      <c r="N3" s="7">
        <v>1.73051E-2</v>
      </c>
      <c r="O3" s="7">
        <v>2.01812E-3</v>
      </c>
      <c r="P3" s="7">
        <v>1.8262E-2</v>
      </c>
      <c r="Q3" s="7">
        <v>2.0107100000000002E-3</v>
      </c>
      <c r="R3" s="7">
        <v>4.2599900000000003E-2</v>
      </c>
      <c r="S3" s="7">
        <v>2.37228E-3</v>
      </c>
      <c r="T3" s="7">
        <v>4.25274E-2</v>
      </c>
      <c r="U3" s="7">
        <v>2.11319E-3</v>
      </c>
      <c r="V3" s="7">
        <v>1.8262E-2</v>
      </c>
      <c r="W3" s="7">
        <v>2.0107100000000002E-3</v>
      </c>
      <c r="X3" s="7">
        <v>3.5569299999999998E-2</v>
      </c>
      <c r="Y3" s="7">
        <v>1.4126E-2</v>
      </c>
      <c r="Z3" s="7">
        <v>2.3817100000000001E-2</v>
      </c>
      <c r="AA3" s="7">
        <v>1.90266E-3</v>
      </c>
      <c r="AB3" s="7">
        <v>1.8260100000000001E-2</v>
      </c>
      <c r="AC3" s="7">
        <v>2.00993E-3</v>
      </c>
      <c r="AD3" s="7">
        <v>1.87055E-2</v>
      </c>
      <c r="AE3" s="7">
        <v>1.9690799999999998E-3</v>
      </c>
      <c r="AF3" s="7">
        <v>2.3292799999999999E-2</v>
      </c>
      <c r="AG3" s="7">
        <v>1.7904900000000001E-3</v>
      </c>
      <c r="AH3" s="7">
        <v>1.8262E-2</v>
      </c>
      <c r="AI3" s="7">
        <v>2.0107100000000002E-3</v>
      </c>
      <c r="AJ3" s="7">
        <v>3.3253499999999998E-2</v>
      </c>
      <c r="AK3" s="7">
        <v>1.35884E-2</v>
      </c>
      <c r="AL3" s="7">
        <v>2.08618E-2</v>
      </c>
      <c r="AM3" s="7">
        <v>1.7625900000000001E-3</v>
      </c>
      <c r="AN3" s="7">
        <v>0</v>
      </c>
      <c r="AO3" s="7">
        <v>0</v>
      </c>
      <c r="AP3" s="7">
        <v>1.52035E-2</v>
      </c>
      <c r="AQ3" s="7">
        <v>6.1956800000000003E-3</v>
      </c>
      <c r="AR3" s="7">
        <v>5.9871399999999998E-2</v>
      </c>
      <c r="AS3" s="7">
        <v>1.9473299999999999E-3</v>
      </c>
      <c r="AT3" s="7">
        <v>6.0603499999999999E-3</v>
      </c>
      <c r="AU3" s="7">
        <v>1.0381800000000001E-3</v>
      </c>
      <c r="AV3" s="7">
        <v>0</v>
      </c>
      <c r="AW3" s="7">
        <v>0</v>
      </c>
      <c r="AX3" s="7">
        <v>0</v>
      </c>
      <c r="AY3" s="7">
        <v>0</v>
      </c>
      <c r="AZ3" s="7">
        <v>4.2559300000000001E-2</v>
      </c>
      <c r="BA3" s="7">
        <v>1.74358E-3</v>
      </c>
      <c r="BB3" s="7">
        <v>1.90999E-2</v>
      </c>
      <c r="BC3" s="7">
        <v>1.9361999999999999E-3</v>
      </c>
      <c r="BD3" s="7">
        <v>1.75914E-2</v>
      </c>
      <c r="BE3" s="7">
        <v>1.9405100000000001E-3</v>
      </c>
      <c r="BF3" s="7">
        <v>1.33857E-2</v>
      </c>
      <c r="BG3" s="7">
        <v>1.76475E-3</v>
      </c>
      <c r="BH3" s="7">
        <v>4.4033799999999998E-2</v>
      </c>
      <c r="BI3" s="7">
        <v>2.4145500000000001E-3</v>
      </c>
      <c r="BJ3" s="7">
        <v>1.3039200000000001E-2</v>
      </c>
      <c r="BK3" s="7">
        <v>2.036E-3</v>
      </c>
      <c r="BL3" s="7">
        <v>4.3831299999999997E-2</v>
      </c>
      <c r="BM3" s="7">
        <v>1.6215100000000001E-3</v>
      </c>
      <c r="BN3" s="7">
        <v>2.4771899999999999E-2</v>
      </c>
      <c r="BO3" s="7">
        <v>1.3996900000000001E-3</v>
      </c>
      <c r="BP3" s="7">
        <v>7.7239700000000001E-3</v>
      </c>
      <c r="BQ3" s="7">
        <v>6.0093399999999998E-2</v>
      </c>
      <c r="BR3" s="7">
        <v>4.2206399999999998E-2</v>
      </c>
      <c r="BS3" s="7">
        <v>1.9180600000000001E-3</v>
      </c>
      <c r="BT3" s="7">
        <v>8.7533200000000002E-3</v>
      </c>
      <c r="BU3" s="7">
        <v>6.2311199999999997E-2</v>
      </c>
      <c r="BV3" s="7">
        <v>2.0909400000000002E-2</v>
      </c>
      <c r="BW3" s="7">
        <v>2.4356600000000001E-3</v>
      </c>
      <c r="BX3" s="7">
        <v>2.31763E-2</v>
      </c>
      <c r="BY3" s="7">
        <v>2.01703E-3</v>
      </c>
      <c r="BZ3" s="7">
        <v>3.3743299999999999E-4</v>
      </c>
      <c r="CA3" s="7">
        <v>1.3465600000000001E-4</v>
      </c>
      <c r="CB3" s="7">
        <v>1.57641E-2</v>
      </c>
      <c r="CC3" s="7">
        <v>2.4230300000000001E-3</v>
      </c>
      <c r="CD3" s="7">
        <v>0.26295400000000002</v>
      </c>
      <c r="CE3" s="7">
        <v>6.2701900000000001E-3</v>
      </c>
      <c r="CF3" s="7">
        <v>2.1116099999999999E-2</v>
      </c>
      <c r="CG3" s="7">
        <v>1.84173E-3</v>
      </c>
      <c r="CH3" s="7">
        <v>4.2599900000000003E-2</v>
      </c>
      <c r="CI3" s="7">
        <v>2.37228E-3</v>
      </c>
      <c r="CJ3" s="7">
        <v>3.5569299999999998E-2</v>
      </c>
      <c r="CK3" s="7">
        <v>1.4126E-2</v>
      </c>
      <c r="CL3" s="7">
        <v>1.4770699999999999E-2</v>
      </c>
      <c r="CM3" s="7">
        <v>1.88204E-3</v>
      </c>
      <c r="CN3" s="7">
        <v>7.8616199999999997E-3</v>
      </c>
      <c r="CO3" s="7">
        <v>2.1362500000000001E-3</v>
      </c>
      <c r="CP3" s="7">
        <v>1.87149E-2</v>
      </c>
      <c r="CQ3" s="7">
        <v>1.9709200000000001E-3</v>
      </c>
      <c r="CR3" s="7">
        <v>1.51936E-2</v>
      </c>
      <c r="CS3" s="7">
        <v>2.7069300000000002E-3</v>
      </c>
      <c r="CT3" s="7">
        <v>4.9460499999999998E-2</v>
      </c>
      <c r="CU3" s="7">
        <v>2.40282E-3</v>
      </c>
      <c r="CV3" s="7">
        <v>4.2599900000000003E-2</v>
      </c>
      <c r="CW3" s="7">
        <v>2.37228E-3</v>
      </c>
      <c r="CX3" s="7">
        <v>0</v>
      </c>
      <c r="CY3" s="7">
        <v>0</v>
      </c>
      <c r="CZ3" s="7">
        <v>1.50721E-2</v>
      </c>
      <c r="DA3" s="7">
        <v>2.58756E-3</v>
      </c>
      <c r="DB3" s="7">
        <v>7.6250500000000004E-3</v>
      </c>
      <c r="DC3" s="7">
        <v>6.1771899999999998E-2</v>
      </c>
      <c r="DD3" s="7">
        <v>2.3610200000000001E-2</v>
      </c>
      <c r="DE3" s="7">
        <v>0.128104</v>
      </c>
      <c r="DF3" s="7">
        <v>0.17705199999999999</v>
      </c>
      <c r="DG3" s="7">
        <v>1.45021</v>
      </c>
      <c r="DH3" s="7">
        <v>8.7532300000000007E-3</v>
      </c>
      <c r="DI3" s="7">
        <v>6.2310600000000001E-2</v>
      </c>
      <c r="DJ3" s="7">
        <v>8.9541900000000008E-3</v>
      </c>
      <c r="DK3" s="7">
        <v>4.6181699999999999E-2</v>
      </c>
      <c r="DL3" s="7">
        <v>7.90568E-3</v>
      </c>
      <c r="DM3" s="7">
        <v>6.1165999999999998E-2</v>
      </c>
      <c r="DN3" s="7">
        <v>6.3774600000000001E-2</v>
      </c>
      <c r="DO3" s="7">
        <v>0.96687199999999995</v>
      </c>
      <c r="DP3" s="7">
        <v>8.7533999999999997E-3</v>
      </c>
      <c r="DQ3" s="7">
        <v>6.2311600000000002E-2</v>
      </c>
      <c r="DR3" s="7">
        <v>8.7182600000000002E-3</v>
      </c>
      <c r="DS3" s="7">
        <v>6.22271E-2</v>
      </c>
      <c r="DT3" s="7">
        <v>8.3187199999999999E-3</v>
      </c>
      <c r="DU3" s="7">
        <v>6.0317500000000003E-2</v>
      </c>
      <c r="DV3" s="7">
        <v>1.2716E-2</v>
      </c>
      <c r="DW3" s="7">
        <v>5.9271200000000003E-2</v>
      </c>
      <c r="DX3" s="7">
        <v>1.16373E-2</v>
      </c>
      <c r="DY3" s="7">
        <v>0.20958599999999999</v>
      </c>
      <c r="DZ3" s="7">
        <v>2.31419E-2</v>
      </c>
      <c r="EA3" s="7">
        <v>8.1305199999999994E-2</v>
      </c>
      <c r="EB3" s="7">
        <v>0</v>
      </c>
      <c r="EC3" s="7">
        <v>0</v>
      </c>
      <c r="ED3" s="7">
        <v>9.8237399999999992E-3</v>
      </c>
      <c r="EE3" s="7">
        <v>0.16608500000000001</v>
      </c>
      <c r="EF3" s="7">
        <v>2.63124E-2</v>
      </c>
      <c r="EG3" s="7">
        <v>8.7468599999999994E-2</v>
      </c>
      <c r="EH3" s="8">
        <v>7.3394899999999999E-6</v>
      </c>
      <c r="EI3" s="7">
        <v>2.9232200000000002E-4</v>
      </c>
      <c r="EJ3" s="7">
        <v>0</v>
      </c>
      <c r="EK3" s="7">
        <v>0</v>
      </c>
      <c r="EL3" s="7">
        <v>0</v>
      </c>
      <c r="EM3" s="7">
        <v>0</v>
      </c>
      <c r="EN3" s="7">
        <v>1.52403E-2</v>
      </c>
      <c r="EO3" s="7">
        <v>6.2858999999999998E-2</v>
      </c>
      <c r="EP3" s="7">
        <v>7.2071100000000001E-3</v>
      </c>
      <c r="EQ3" s="7">
        <v>6.0360900000000002E-2</v>
      </c>
      <c r="ER3" s="7">
        <v>6.7001500000000002E-3</v>
      </c>
      <c r="ES3" s="7">
        <v>5.8835699999999998E-2</v>
      </c>
      <c r="ET3" s="7">
        <v>4.6173999999999998E-3</v>
      </c>
      <c r="EU3" s="7">
        <v>5.92547E-2</v>
      </c>
      <c r="EV3" s="7">
        <v>2.0037699999999999E-2</v>
      </c>
      <c r="EW3" s="7">
        <v>8.0880400000000005E-2</v>
      </c>
      <c r="EX3" s="7">
        <v>6.0722700000000003E-3</v>
      </c>
      <c r="EY3" s="7">
        <v>9.0234800000000004E-2</v>
      </c>
      <c r="EZ3" s="7">
        <v>1.7367299999999999E-2</v>
      </c>
      <c r="FA3" s="7">
        <v>6.4516299999999999E-2</v>
      </c>
      <c r="FB3" s="7">
        <v>1.5876600000000001E-2</v>
      </c>
      <c r="FC3" s="7">
        <v>6.4148800000000006E-2</v>
      </c>
      <c r="FD3" s="7">
        <v>1.7623699999999999E-2</v>
      </c>
      <c r="FE3" s="7">
        <v>8.2237099999999994E-2</v>
      </c>
      <c r="FF3" s="7">
        <v>1.3263499999999999E-2</v>
      </c>
      <c r="FG3" s="7">
        <v>6.2354699999999999E-2</v>
      </c>
      <c r="FH3" s="7">
        <v>8.7530999999999998E-3</v>
      </c>
      <c r="FI3" s="7">
        <v>6.2310499999999998E-2</v>
      </c>
      <c r="FJ3" s="7">
        <v>0</v>
      </c>
      <c r="FK3" s="7">
        <v>0</v>
      </c>
      <c r="FL3" s="7">
        <v>2.30297E-2</v>
      </c>
      <c r="FM3" s="7">
        <v>8.7106799999999998E-2</v>
      </c>
      <c r="FN3" s="8">
        <v>1.1983600000000001E-13</v>
      </c>
      <c r="FO3" s="8">
        <v>1.9571799999999999E-11</v>
      </c>
      <c r="FP3" s="7">
        <v>8.7953700000000003E-3</v>
      </c>
      <c r="FQ3" s="7">
        <v>6.2579700000000002E-2</v>
      </c>
      <c r="FR3" s="7">
        <v>8.9440300000000004E-3</v>
      </c>
      <c r="FS3" s="7">
        <v>6.3858499999999999E-2</v>
      </c>
      <c r="FT3" s="7">
        <v>8.8868100000000002E-3</v>
      </c>
      <c r="FU3" s="7">
        <v>6.4038100000000001E-2</v>
      </c>
      <c r="FV3" s="7">
        <v>6.3774600000000001E-2</v>
      </c>
      <c r="FW3" s="7">
        <v>0.96687199999999995</v>
      </c>
      <c r="FX3" s="7">
        <v>1.79419E-2</v>
      </c>
      <c r="FY3" s="7">
        <v>8.49636E-2</v>
      </c>
      <c r="FZ3" s="7">
        <v>0</v>
      </c>
      <c r="GA3" s="7">
        <v>0</v>
      </c>
      <c r="GB3" s="7">
        <v>6.4501000000000003E-3</v>
      </c>
      <c r="GC3" s="7">
        <v>5.4499400000000003E-2</v>
      </c>
      <c r="GD3" s="7">
        <v>8.7449199999999998E-3</v>
      </c>
      <c r="GE3" s="7">
        <v>6.2271800000000002E-2</v>
      </c>
      <c r="GF3" s="7">
        <v>1.1748E-2</v>
      </c>
      <c r="GG3" s="7">
        <v>7.1110000000000007E-2</v>
      </c>
      <c r="GH3" s="7">
        <v>5.5248499999999999E-2</v>
      </c>
      <c r="GI3" s="7">
        <v>0.84642300000000004</v>
      </c>
      <c r="GJ3" s="7">
        <v>0</v>
      </c>
      <c r="GK3" s="7">
        <v>0</v>
      </c>
      <c r="GL3" s="7">
        <v>1.6676E-2</v>
      </c>
      <c r="GM3" s="7">
        <v>8.8714600000000005E-2</v>
      </c>
    </row>
    <row r="4" spans="1:195" x14ac:dyDescent="0.6">
      <c r="A4" s="5">
        <v>2</v>
      </c>
      <c r="B4" s="5">
        <v>25020230</v>
      </c>
      <c r="C4" s="5">
        <v>1987</v>
      </c>
      <c r="D4" s="5">
        <v>46</v>
      </c>
      <c r="E4" s="5">
        <v>39</v>
      </c>
      <c r="F4" s="5">
        <v>105.801</v>
      </c>
      <c r="G4" s="5">
        <v>38.727499999999999</v>
      </c>
      <c r="H4" s="5">
        <v>-1.5441400000000001</v>
      </c>
      <c r="I4" s="5">
        <v>46</v>
      </c>
      <c r="J4" s="5">
        <v>25020230</v>
      </c>
      <c r="K4" s="5">
        <v>3</v>
      </c>
      <c r="L4" s="5">
        <v>3.3842499999999998E-2</v>
      </c>
      <c r="M4" s="5">
        <v>2.93443E-3</v>
      </c>
      <c r="N4" s="5">
        <v>3.2744500000000003E-2</v>
      </c>
      <c r="O4" s="5">
        <v>3.1686599999999998E-3</v>
      </c>
      <c r="P4" s="5">
        <v>3.3504800000000001E-2</v>
      </c>
      <c r="Q4" s="5">
        <v>3.1093100000000001E-3</v>
      </c>
      <c r="R4" s="5">
        <v>5.88703E-2</v>
      </c>
      <c r="S4" s="5">
        <v>3.0700499999999999E-3</v>
      </c>
      <c r="T4" s="5">
        <v>5.7159700000000001E-2</v>
      </c>
      <c r="U4" s="5">
        <v>2.7925200000000002E-3</v>
      </c>
      <c r="V4" s="5">
        <v>3.3504800000000001E-2</v>
      </c>
      <c r="W4" s="5">
        <v>3.1093100000000001E-3</v>
      </c>
      <c r="X4" s="5">
        <v>0.11670800000000001</v>
      </c>
      <c r="Y4" s="5">
        <v>1.29376E-2</v>
      </c>
      <c r="Z4" s="5">
        <v>3.77008E-2</v>
      </c>
      <c r="AA4" s="5">
        <v>2.7609900000000001E-3</v>
      </c>
      <c r="AB4" s="5">
        <v>3.3497300000000001E-2</v>
      </c>
      <c r="AC4" s="5">
        <v>3.1082699999999998E-3</v>
      </c>
      <c r="AD4" s="5">
        <v>3.3594800000000001E-2</v>
      </c>
      <c r="AE4" s="5">
        <v>3.0346000000000001E-3</v>
      </c>
      <c r="AF4" s="5">
        <v>3.6327699999999997E-2</v>
      </c>
      <c r="AG4" s="5">
        <v>2.5911900000000002E-3</v>
      </c>
      <c r="AH4" s="5">
        <v>3.3504800000000001E-2</v>
      </c>
      <c r="AI4" s="5">
        <v>3.1093100000000001E-3</v>
      </c>
      <c r="AJ4" s="5">
        <v>0.113451</v>
      </c>
      <c r="AK4" s="5">
        <v>1.29672E-2</v>
      </c>
      <c r="AL4" s="5">
        <v>3.40004E-2</v>
      </c>
      <c r="AM4" s="5">
        <v>2.6609300000000002E-3</v>
      </c>
      <c r="AN4" s="5">
        <v>0</v>
      </c>
      <c r="AO4" s="5">
        <v>0</v>
      </c>
      <c r="AP4" s="5">
        <v>5.3220499999999997E-2</v>
      </c>
      <c r="AQ4" s="5">
        <v>6.4752200000000003E-3</v>
      </c>
      <c r="AR4" s="5">
        <v>7.2725799999999993E-2</v>
      </c>
      <c r="AS4" s="5">
        <v>2.3490099999999999E-3</v>
      </c>
      <c r="AT4" s="5">
        <v>1.53753E-2</v>
      </c>
      <c r="AU4" s="5">
        <v>2.15365E-3</v>
      </c>
      <c r="AV4" s="5">
        <v>0</v>
      </c>
      <c r="AW4" s="5">
        <v>0</v>
      </c>
      <c r="AX4" s="5">
        <v>0</v>
      </c>
      <c r="AY4" s="5">
        <v>0</v>
      </c>
      <c r="AZ4" s="5">
        <v>5.44071E-2</v>
      </c>
      <c r="BA4" s="5">
        <v>2.2247399999999998E-3</v>
      </c>
      <c r="BB4" s="5">
        <v>3.3694000000000002E-2</v>
      </c>
      <c r="BC4" s="5">
        <v>2.9696599999999998E-3</v>
      </c>
      <c r="BD4" s="5">
        <v>3.2401800000000001E-2</v>
      </c>
      <c r="BE4" s="5">
        <v>3.0389000000000002E-3</v>
      </c>
      <c r="BF4" s="5">
        <v>2.75754E-2</v>
      </c>
      <c r="BG4" s="5">
        <v>3.02637E-3</v>
      </c>
      <c r="BH4" s="5">
        <v>6.0553599999999999E-2</v>
      </c>
      <c r="BI4" s="5">
        <v>3.11028E-3</v>
      </c>
      <c r="BJ4" s="5">
        <v>2.9729499999999999E-2</v>
      </c>
      <c r="BK4" s="5">
        <v>3.58334E-3</v>
      </c>
      <c r="BL4" s="5">
        <v>5.4724700000000001E-2</v>
      </c>
      <c r="BM4" s="5">
        <v>2.0245100000000002E-3</v>
      </c>
      <c r="BN4" s="5">
        <v>3.4769099999999997E-2</v>
      </c>
      <c r="BO4" s="5">
        <v>1.9645600000000002E-3</v>
      </c>
      <c r="BP4" s="5">
        <v>2.1198700000000001E-2</v>
      </c>
      <c r="BQ4" s="5">
        <v>0.141598</v>
      </c>
      <c r="BR4" s="5">
        <v>5.5337499999999998E-2</v>
      </c>
      <c r="BS4" s="5">
        <v>2.4803199999999998E-3</v>
      </c>
      <c r="BT4" s="5">
        <v>2.22808E-2</v>
      </c>
      <c r="BU4" s="5">
        <v>0.139351</v>
      </c>
      <c r="BV4" s="5">
        <v>3.88615E-2</v>
      </c>
      <c r="BW4" s="5">
        <v>3.5683199999999998E-3</v>
      </c>
      <c r="BX4" s="5">
        <v>3.7722100000000001E-2</v>
      </c>
      <c r="BY4" s="5">
        <v>2.8601899999999999E-3</v>
      </c>
      <c r="BZ4" s="5">
        <v>2.6018899999999999E-3</v>
      </c>
      <c r="CA4" s="5">
        <v>7.4976100000000005E-4</v>
      </c>
      <c r="CB4" s="5">
        <v>3.4202299999999998E-2</v>
      </c>
      <c r="CC4" s="5">
        <v>3.7350700000000001E-3</v>
      </c>
      <c r="CD4" s="5">
        <v>0.30042799999999997</v>
      </c>
      <c r="CE4" s="5">
        <v>6.2112900000000004E-3</v>
      </c>
      <c r="CF4" s="5">
        <v>3.4819500000000003E-2</v>
      </c>
      <c r="CG4" s="5">
        <v>2.7676599999999999E-3</v>
      </c>
      <c r="CH4" s="5">
        <v>5.88703E-2</v>
      </c>
      <c r="CI4" s="5">
        <v>3.0700499999999999E-3</v>
      </c>
      <c r="CJ4" s="5">
        <v>0.11670800000000001</v>
      </c>
      <c r="CK4" s="5">
        <v>1.29376E-2</v>
      </c>
      <c r="CL4" s="5">
        <v>2.9478500000000001E-2</v>
      </c>
      <c r="CM4" s="5">
        <v>3.0658199999999999E-3</v>
      </c>
      <c r="CN4" s="5">
        <v>2.57608E-2</v>
      </c>
      <c r="CO4" s="5">
        <v>3.81453E-3</v>
      </c>
      <c r="CP4" s="5">
        <v>3.3617500000000002E-2</v>
      </c>
      <c r="CQ4" s="5">
        <v>3.0371500000000002E-3</v>
      </c>
      <c r="CR4" s="5">
        <v>3.5626699999999997E-2</v>
      </c>
      <c r="CS4" s="5">
        <v>4.0917100000000001E-3</v>
      </c>
      <c r="CT4" s="5">
        <v>6.5780000000000005E-2</v>
      </c>
      <c r="CU4" s="5">
        <v>3.0550400000000002E-3</v>
      </c>
      <c r="CV4" s="5">
        <v>5.88703E-2</v>
      </c>
      <c r="CW4" s="5">
        <v>3.0700499999999999E-3</v>
      </c>
      <c r="CX4" s="5">
        <v>0</v>
      </c>
      <c r="CY4" s="5">
        <v>0</v>
      </c>
      <c r="CZ4" s="5">
        <v>3.4749599999999999E-2</v>
      </c>
      <c r="DA4" s="5">
        <v>3.9693899999999997E-3</v>
      </c>
      <c r="DB4" s="5">
        <v>2.1673600000000001E-2</v>
      </c>
      <c r="DC4" s="5">
        <v>0.14880099999999999</v>
      </c>
      <c r="DD4" s="5">
        <v>4.7928999999999999E-2</v>
      </c>
      <c r="DE4" s="5">
        <v>0.225934</v>
      </c>
      <c r="DF4" s="5">
        <v>0.32107599999999997</v>
      </c>
      <c r="DG4" s="5">
        <v>0.78735999999999995</v>
      </c>
      <c r="DH4" s="5">
        <v>2.2280600000000001E-2</v>
      </c>
      <c r="DI4" s="5">
        <v>0.13935</v>
      </c>
      <c r="DJ4" s="5">
        <v>1.82913E-2</v>
      </c>
      <c r="DK4" s="5">
        <v>9.2548699999999998E-2</v>
      </c>
      <c r="DL4" s="5">
        <v>2.1590600000000001E-2</v>
      </c>
      <c r="DM4" s="5">
        <v>0.14360700000000001</v>
      </c>
      <c r="DN4" s="5">
        <v>0.189607</v>
      </c>
      <c r="DO4" s="5">
        <v>0.83692100000000003</v>
      </c>
      <c r="DP4" s="5">
        <v>2.2280999999999999E-2</v>
      </c>
      <c r="DQ4" s="5">
        <v>0.139351</v>
      </c>
      <c r="DR4" s="5">
        <v>2.2239499999999999E-2</v>
      </c>
      <c r="DS4" s="5">
        <v>0.13936200000000001</v>
      </c>
      <c r="DT4" s="5">
        <v>2.15243E-2</v>
      </c>
      <c r="DU4" s="5">
        <v>0.13683300000000001</v>
      </c>
      <c r="DV4" s="5">
        <v>2.4309999999999998E-2</v>
      </c>
      <c r="DW4" s="5">
        <v>0.111982</v>
      </c>
      <c r="DX4" s="5">
        <v>5.5989400000000002E-2</v>
      </c>
      <c r="DY4" s="5">
        <v>0.41994199999999998</v>
      </c>
      <c r="DZ4" s="5">
        <v>3.7794099999999997E-2</v>
      </c>
      <c r="EA4" s="5">
        <v>0.13245899999999999</v>
      </c>
      <c r="EB4" s="5">
        <v>0</v>
      </c>
      <c r="EC4" s="5">
        <v>0</v>
      </c>
      <c r="ED4" s="5">
        <v>3.7460199999999999E-2</v>
      </c>
      <c r="EE4" s="5">
        <v>0.23280200000000001</v>
      </c>
      <c r="EF4" s="5">
        <v>4.1800999999999998E-2</v>
      </c>
      <c r="EG4" s="5">
        <v>0.13783999999999999</v>
      </c>
      <c r="EH4" s="5">
        <v>6.2195999999999996E-4</v>
      </c>
      <c r="EI4" s="5">
        <v>1.5469200000000001E-2</v>
      </c>
      <c r="EJ4" s="5">
        <v>0</v>
      </c>
      <c r="EK4" s="5">
        <v>0</v>
      </c>
      <c r="EL4" s="5">
        <v>0</v>
      </c>
      <c r="EM4" s="5">
        <v>0</v>
      </c>
      <c r="EN4" s="5">
        <v>2.7118099999999999E-2</v>
      </c>
      <c r="EO4" s="5">
        <v>0.111757</v>
      </c>
      <c r="EP4" s="5">
        <v>2.1134300000000002E-2</v>
      </c>
      <c r="EQ4" s="5">
        <v>0.14883099999999999</v>
      </c>
      <c r="ER4" s="5">
        <v>2.05288E-2</v>
      </c>
      <c r="ES4" s="5">
        <v>0.149336</v>
      </c>
      <c r="ET4" s="5">
        <v>2.1220300000000001E-2</v>
      </c>
      <c r="EU4" s="5">
        <v>0.19509199999999999</v>
      </c>
      <c r="EV4" s="5">
        <v>3.5060899999999999E-2</v>
      </c>
      <c r="EW4" s="5">
        <v>0.13894300000000001</v>
      </c>
      <c r="EX4" s="5">
        <v>3.1324600000000001E-2</v>
      </c>
      <c r="EY4" s="5">
        <v>0.28798000000000001</v>
      </c>
      <c r="EZ4" s="5">
        <v>2.9188599999999999E-2</v>
      </c>
      <c r="FA4" s="5">
        <v>0.10843</v>
      </c>
      <c r="FB4" s="5">
        <v>2.7925800000000001E-2</v>
      </c>
      <c r="FC4" s="5">
        <v>0.112833</v>
      </c>
      <c r="FD4" s="5">
        <v>3.3269600000000003E-2</v>
      </c>
      <c r="FE4" s="5">
        <v>0.14704400000000001</v>
      </c>
      <c r="FF4" s="5">
        <v>2.5493600000000002E-2</v>
      </c>
      <c r="FG4" s="5">
        <v>0.118366</v>
      </c>
      <c r="FH4" s="5">
        <v>2.2280500000000002E-2</v>
      </c>
      <c r="FI4" s="5">
        <v>0.13935</v>
      </c>
      <c r="FJ4" s="5">
        <v>3.7495300000000001E-3</v>
      </c>
      <c r="FK4" s="5">
        <v>8.0920099999999995E-2</v>
      </c>
      <c r="FL4" s="5">
        <v>3.8704099999999998E-2</v>
      </c>
      <c r="FM4" s="5">
        <v>0.14119699999999999</v>
      </c>
      <c r="FN4" s="6">
        <v>8.0868499999999999E-7</v>
      </c>
      <c r="FO4" s="6">
        <v>5.9617899999999997E-5</v>
      </c>
      <c r="FP4" s="5">
        <v>2.23742E-2</v>
      </c>
      <c r="FQ4" s="5">
        <v>0.139821</v>
      </c>
      <c r="FR4" s="5">
        <v>2.2798200000000001E-2</v>
      </c>
      <c r="FS4" s="5">
        <v>0.14258199999999999</v>
      </c>
      <c r="FT4" s="5">
        <v>2.2822599999999998E-2</v>
      </c>
      <c r="FU4" s="5">
        <v>0.14368900000000001</v>
      </c>
      <c r="FV4" s="5">
        <v>0.189607</v>
      </c>
      <c r="FW4" s="5">
        <v>0.83692100000000003</v>
      </c>
      <c r="FX4" s="5">
        <v>3.4071299999999999E-2</v>
      </c>
      <c r="FY4" s="5">
        <v>0.15118200000000001</v>
      </c>
      <c r="FZ4" s="5">
        <v>0</v>
      </c>
      <c r="GA4" s="5">
        <v>0</v>
      </c>
      <c r="GB4" s="5">
        <v>1.9137700000000001E-2</v>
      </c>
      <c r="GC4" s="5">
        <v>0.136541</v>
      </c>
      <c r="GD4" s="5">
        <v>2.22661E-2</v>
      </c>
      <c r="GE4" s="5">
        <v>0.13930200000000001</v>
      </c>
      <c r="GF4" s="5">
        <v>2.6435400000000001E-2</v>
      </c>
      <c r="GG4" s="5">
        <v>0.14649799999999999</v>
      </c>
      <c r="GH4" s="5">
        <v>0.16783699999999999</v>
      </c>
      <c r="GI4" s="5">
        <v>0.76555399999999996</v>
      </c>
      <c r="GJ4" s="5">
        <v>0</v>
      </c>
      <c r="GK4" s="5">
        <v>0</v>
      </c>
      <c r="GL4" s="5">
        <v>3.3619799999999998E-2</v>
      </c>
      <c r="GM4" s="5">
        <v>0.15904199999999999</v>
      </c>
    </row>
    <row r="5" spans="1:195" x14ac:dyDescent="0.6">
      <c r="A5" s="7">
        <v>3</v>
      </c>
      <c r="B5" s="7">
        <v>25020230</v>
      </c>
      <c r="C5" s="7">
        <v>1992</v>
      </c>
      <c r="D5" s="7">
        <v>62</v>
      </c>
      <c r="E5" s="7">
        <v>39</v>
      </c>
      <c r="F5" s="7">
        <v>105.801</v>
      </c>
      <c r="G5" s="7">
        <v>38.727499999999999</v>
      </c>
      <c r="H5" s="7">
        <v>-1.131</v>
      </c>
      <c r="I5" s="7">
        <v>62</v>
      </c>
      <c r="J5" s="7">
        <v>25020230</v>
      </c>
      <c r="K5" s="7">
        <v>4</v>
      </c>
      <c r="L5" s="7">
        <v>0.108387</v>
      </c>
      <c r="M5" s="7">
        <v>6.5229700000000003E-3</v>
      </c>
      <c r="N5" s="7">
        <v>0.11285299999999999</v>
      </c>
      <c r="O5" s="7">
        <v>6.9032800000000004E-3</v>
      </c>
      <c r="P5" s="7">
        <v>0.111692</v>
      </c>
      <c r="Q5" s="7">
        <v>6.7434000000000001E-3</v>
      </c>
      <c r="R5" s="7">
        <v>0.125942</v>
      </c>
      <c r="S5" s="7">
        <v>5.4132299999999998E-3</v>
      </c>
      <c r="T5" s="7">
        <v>0.122098</v>
      </c>
      <c r="U5" s="7">
        <v>5.5872099999999996E-3</v>
      </c>
      <c r="V5" s="7">
        <v>0.111692</v>
      </c>
      <c r="W5" s="7">
        <v>6.7434000000000001E-3</v>
      </c>
      <c r="X5" s="7">
        <v>0.30124200000000001</v>
      </c>
      <c r="Y5" s="7">
        <v>1.0234699999999999E-2</v>
      </c>
      <c r="Z5" s="7">
        <v>0.10617500000000001</v>
      </c>
      <c r="AA5" s="7">
        <v>5.9925400000000002E-3</v>
      </c>
      <c r="AB5" s="7">
        <v>0.11167000000000001</v>
      </c>
      <c r="AC5" s="7">
        <v>6.7428899999999996E-3</v>
      </c>
      <c r="AD5" s="7">
        <v>0.11035200000000001</v>
      </c>
      <c r="AE5" s="7">
        <v>6.6640099999999997E-3</v>
      </c>
      <c r="AF5" s="7">
        <v>0.10165299999999999</v>
      </c>
      <c r="AG5" s="7">
        <v>5.8332599999999998E-3</v>
      </c>
      <c r="AH5" s="7">
        <v>0.111692</v>
      </c>
      <c r="AI5" s="7">
        <v>6.7434000000000001E-3</v>
      </c>
      <c r="AJ5" s="7">
        <v>0.29919200000000001</v>
      </c>
      <c r="AK5" s="7">
        <v>1.03077E-2</v>
      </c>
      <c r="AL5" s="7">
        <v>0.103223</v>
      </c>
      <c r="AM5" s="7">
        <v>6.2318399999999998E-3</v>
      </c>
      <c r="AN5" s="7">
        <v>0</v>
      </c>
      <c r="AO5" s="7">
        <v>0</v>
      </c>
      <c r="AP5" s="7">
        <v>0.162435</v>
      </c>
      <c r="AQ5" s="7">
        <v>7.1569399999999997E-3</v>
      </c>
      <c r="AR5" s="7">
        <v>0.12116300000000001</v>
      </c>
      <c r="AS5" s="7">
        <v>3.80817E-3</v>
      </c>
      <c r="AT5" s="7">
        <v>8.70948E-2</v>
      </c>
      <c r="AU5" s="7">
        <v>7.1320200000000002E-3</v>
      </c>
      <c r="AV5" s="7">
        <v>2.3066799999999998E-2</v>
      </c>
      <c r="AW5" s="7">
        <v>1.52902E-2</v>
      </c>
      <c r="AX5" s="7">
        <v>8.5365899999999995E-2</v>
      </c>
      <c r="AY5" s="7">
        <v>1.25097E-2</v>
      </c>
      <c r="AZ5" s="7">
        <v>0.104311</v>
      </c>
      <c r="BA5" s="7">
        <v>4.20988E-3</v>
      </c>
      <c r="BB5" s="7">
        <v>0.10907600000000001</v>
      </c>
      <c r="BC5" s="7">
        <v>6.5800499999999996E-3</v>
      </c>
      <c r="BD5" s="7">
        <v>0.110069</v>
      </c>
      <c r="BE5" s="7">
        <v>6.7666100000000002E-3</v>
      </c>
      <c r="BF5" s="7">
        <v>0.110582</v>
      </c>
      <c r="BG5" s="7">
        <v>7.44227E-3</v>
      </c>
      <c r="BH5" s="7">
        <v>0.128109</v>
      </c>
      <c r="BI5" s="7">
        <v>5.4283999999999999E-3</v>
      </c>
      <c r="BJ5" s="7">
        <v>0.124054</v>
      </c>
      <c r="BK5" s="7">
        <v>8.0763499999999995E-3</v>
      </c>
      <c r="BL5" s="7">
        <v>9.8911499999999999E-2</v>
      </c>
      <c r="BM5" s="7">
        <v>3.6591800000000002E-3</v>
      </c>
      <c r="BN5" s="7">
        <v>8.5865300000000006E-2</v>
      </c>
      <c r="BO5" s="7">
        <v>4.8516599999999998E-3</v>
      </c>
      <c r="BP5" s="7">
        <v>0.11276600000000001</v>
      </c>
      <c r="BQ5" s="7">
        <v>0.51603200000000005</v>
      </c>
      <c r="BR5" s="7">
        <v>0.111232</v>
      </c>
      <c r="BS5" s="7">
        <v>4.6905899999999997E-3</v>
      </c>
      <c r="BT5" s="7">
        <v>0.110344</v>
      </c>
      <c r="BU5" s="7">
        <v>0.49503399999999997</v>
      </c>
      <c r="BV5" s="7">
        <v>0.121922</v>
      </c>
      <c r="BW5" s="7">
        <v>6.79804E-3</v>
      </c>
      <c r="BX5" s="7">
        <v>0.10642</v>
      </c>
      <c r="BY5" s="7">
        <v>5.9042000000000001E-3</v>
      </c>
      <c r="BZ5" s="7">
        <v>5.8534000000000003E-2</v>
      </c>
      <c r="CA5" s="7">
        <v>7.3276499999999998E-3</v>
      </c>
      <c r="CB5" s="7">
        <v>0.122074</v>
      </c>
      <c r="CC5" s="7">
        <v>7.1621599999999999E-3</v>
      </c>
      <c r="CD5" s="7">
        <v>0.39706000000000002</v>
      </c>
      <c r="CE5" s="7">
        <v>5.8213099999999997E-3</v>
      </c>
      <c r="CF5" s="7">
        <v>0.10553899999999999</v>
      </c>
      <c r="CG5" s="7">
        <v>6.2675200000000004E-3</v>
      </c>
      <c r="CH5" s="7">
        <v>0.125942</v>
      </c>
      <c r="CI5" s="7">
        <v>5.4132299999999998E-3</v>
      </c>
      <c r="CJ5" s="7">
        <v>0.30124200000000001</v>
      </c>
      <c r="CK5" s="7">
        <v>1.0234699999999999E-2</v>
      </c>
      <c r="CL5" s="7">
        <v>0.109261</v>
      </c>
      <c r="CM5" s="7">
        <v>6.9734799999999998E-3</v>
      </c>
      <c r="CN5" s="7">
        <v>0.118684</v>
      </c>
      <c r="CO5" s="7">
        <v>7.5922000000000003E-3</v>
      </c>
      <c r="CP5" s="7">
        <v>0.110418</v>
      </c>
      <c r="CQ5" s="7">
        <v>6.6663099999999999E-3</v>
      </c>
      <c r="CR5" s="7">
        <v>0.12774099999999999</v>
      </c>
      <c r="CS5" s="7">
        <v>7.2730199999999998E-3</v>
      </c>
      <c r="CT5" s="7">
        <v>0.13161700000000001</v>
      </c>
      <c r="CU5" s="7">
        <v>5.27956E-3</v>
      </c>
      <c r="CV5" s="7">
        <v>0.125942</v>
      </c>
      <c r="CW5" s="7">
        <v>5.4132299999999998E-3</v>
      </c>
      <c r="CX5" s="7">
        <v>0</v>
      </c>
      <c r="CY5" s="7">
        <v>0</v>
      </c>
      <c r="CZ5" s="7">
        <v>0.12596599999999999</v>
      </c>
      <c r="DA5" s="7">
        <v>7.3000499999999998E-3</v>
      </c>
      <c r="DB5" s="7">
        <v>0.118149</v>
      </c>
      <c r="DC5" s="7">
        <v>0.54063899999999998</v>
      </c>
      <c r="DD5" s="7">
        <v>0.15882399999999999</v>
      </c>
      <c r="DE5" s="7">
        <v>0.53197399999999995</v>
      </c>
      <c r="DF5" s="7">
        <v>0.49466300000000002</v>
      </c>
      <c r="DG5" s="7">
        <v>0.44528200000000001</v>
      </c>
      <c r="DH5" s="7">
        <v>0.110344</v>
      </c>
      <c r="DI5" s="7">
        <v>0.49503200000000003</v>
      </c>
      <c r="DJ5" s="7">
        <v>7.9141799999999998E-2</v>
      </c>
      <c r="DK5" s="7">
        <v>0.37290299999999998</v>
      </c>
      <c r="DL5" s="7">
        <v>0.114231</v>
      </c>
      <c r="DM5" s="7">
        <v>0.52148000000000005</v>
      </c>
      <c r="DN5" s="7">
        <v>0.40458699999999997</v>
      </c>
      <c r="DO5" s="7">
        <v>0.61490299999999998</v>
      </c>
      <c r="DP5" s="7">
        <v>0.110345</v>
      </c>
      <c r="DQ5" s="7">
        <v>0.49503399999999997</v>
      </c>
      <c r="DR5" s="7">
        <v>0.11036</v>
      </c>
      <c r="DS5" s="7">
        <v>0.49535200000000001</v>
      </c>
      <c r="DT5" s="7">
        <v>0.109053</v>
      </c>
      <c r="DU5" s="7">
        <v>0.49496899999999999</v>
      </c>
      <c r="DV5" s="7">
        <v>9.25396E-2</v>
      </c>
      <c r="DW5" s="7">
        <v>0.39646700000000001</v>
      </c>
      <c r="DX5" s="7">
        <v>0.23230600000000001</v>
      </c>
      <c r="DY5" s="7">
        <v>0.72159099999999998</v>
      </c>
      <c r="DZ5" s="7">
        <v>0.10675999999999999</v>
      </c>
      <c r="EA5" s="7">
        <v>0.36659900000000001</v>
      </c>
      <c r="EB5" s="7">
        <v>0</v>
      </c>
      <c r="EC5" s="7">
        <v>0</v>
      </c>
      <c r="ED5" s="7">
        <v>0.13725499999999999</v>
      </c>
      <c r="EE5" s="7">
        <v>0.45595799999999997</v>
      </c>
      <c r="EF5" s="7">
        <v>0.110168</v>
      </c>
      <c r="EG5" s="7">
        <v>0.34991299999999997</v>
      </c>
      <c r="EH5" s="7">
        <v>6.71567E-2</v>
      </c>
      <c r="EI5" s="7">
        <v>0.61103399999999997</v>
      </c>
      <c r="EJ5" s="7">
        <v>0</v>
      </c>
      <c r="EK5" s="7">
        <v>0</v>
      </c>
      <c r="EL5" s="7">
        <v>4.7580900000000002E-2</v>
      </c>
      <c r="EM5" s="7">
        <v>1.26108</v>
      </c>
      <c r="EN5" s="7">
        <v>9.2330599999999999E-2</v>
      </c>
      <c r="EO5" s="7">
        <v>0.37564599999999998</v>
      </c>
      <c r="EP5" s="7">
        <v>0.118836</v>
      </c>
      <c r="EQ5" s="7">
        <v>0.54931799999999997</v>
      </c>
      <c r="ER5" s="7">
        <v>0.119507</v>
      </c>
      <c r="ES5" s="7">
        <v>0.55626500000000001</v>
      </c>
      <c r="ET5" s="7">
        <v>0.151085</v>
      </c>
      <c r="EU5" s="7">
        <v>0.68135699999999999</v>
      </c>
      <c r="EV5" s="7">
        <v>0.10968799999999999</v>
      </c>
      <c r="EW5" s="7">
        <v>0.398451</v>
      </c>
      <c r="EX5" s="7">
        <v>0.19175500000000001</v>
      </c>
      <c r="EY5" s="7">
        <v>0.74431800000000004</v>
      </c>
      <c r="EZ5" s="7">
        <v>8.8466400000000001E-2</v>
      </c>
      <c r="FA5" s="7">
        <v>0.32863599999999998</v>
      </c>
      <c r="FB5" s="7">
        <v>9.3279200000000007E-2</v>
      </c>
      <c r="FC5" s="7">
        <v>0.37689099999999998</v>
      </c>
      <c r="FD5" s="7">
        <v>0.113176</v>
      </c>
      <c r="FE5" s="7">
        <v>0.42420600000000003</v>
      </c>
      <c r="FF5" s="7">
        <v>9.7849000000000005E-2</v>
      </c>
      <c r="FG5" s="7">
        <v>0.42057699999999998</v>
      </c>
      <c r="FH5" s="7">
        <v>0.110345</v>
      </c>
      <c r="FI5" s="7">
        <v>0.495037</v>
      </c>
      <c r="FJ5" s="7">
        <v>0.10230300000000001</v>
      </c>
      <c r="FK5" s="7">
        <v>0.62330099999999999</v>
      </c>
      <c r="FL5" s="7">
        <v>0.11035399999999999</v>
      </c>
      <c r="FM5" s="7">
        <v>0.37192199999999997</v>
      </c>
      <c r="FN5" s="7">
        <v>3.8925700000000001E-2</v>
      </c>
      <c r="FO5" s="7">
        <v>0.57008700000000001</v>
      </c>
      <c r="FP5" s="7">
        <v>0.110613</v>
      </c>
      <c r="FQ5" s="7">
        <v>0.49554799999999999</v>
      </c>
      <c r="FR5" s="7">
        <v>0.11238099999999999</v>
      </c>
      <c r="FS5" s="7">
        <v>0.50114000000000003</v>
      </c>
      <c r="FT5" s="7">
        <v>0.113233</v>
      </c>
      <c r="FU5" s="7">
        <v>0.505525</v>
      </c>
      <c r="FV5" s="7">
        <v>0.40458699999999997</v>
      </c>
      <c r="FW5" s="7">
        <v>0.61490299999999998</v>
      </c>
      <c r="FX5" s="7">
        <v>0.11516999999999999</v>
      </c>
      <c r="FY5" s="7">
        <v>0.42601699999999998</v>
      </c>
      <c r="FZ5" s="7">
        <v>9.6671999999999994E-2</v>
      </c>
      <c r="GA5" s="7">
        <v>0.70101999999999998</v>
      </c>
      <c r="GB5" s="7">
        <v>0.110954</v>
      </c>
      <c r="GC5" s="7">
        <v>0.52476999999999996</v>
      </c>
      <c r="GD5" s="7">
        <v>0.110323</v>
      </c>
      <c r="GE5" s="7">
        <v>0.49506899999999998</v>
      </c>
      <c r="GF5" s="7">
        <v>0.11472300000000001</v>
      </c>
      <c r="GG5" s="7">
        <v>0.48820200000000002</v>
      </c>
      <c r="GH5" s="7">
        <v>0.37251800000000002</v>
      </c>
      <c r="GI5" s="7">
        <v>0.60974200000000001</v>
      </c>
      <c r="GJ5" s="7">
        <v>0</v>
      </c>
      <c r="GK5" s="7">
        <v>0</v>
      </c>
      <c r="GL5" s="7">
        <v>0.117753</v>
      </c>
      <c r="GM5" s="7">
        <v>0.43602200000000002</v>
      </c>
    </row>
    <row r="6" spans="1:195" x14ac:dyDescent="0.6">
      <c r="A6" s="5">
        <v>4</v>
      </c>
      <c r="B6" s="5">
        <v>25020230</v>
      </c>
      <c r="C6" s="5">
        <v>1991</v>
      </c>
      <c r="D6" s="5">
        <v>65</v>
      </c>
      <c r="E6" s="5">
        <v>39</v>
      </c>
      <c r="F6" s="5">
        <v>105.801</v>
      </c>
      <c r="G6" s="5">
        <v>38.727499999999999</v>
      </c>
      <c r="H6" s="5">
        <v>-1.0535300000000001</v>
      </c>
      <c r="I6" s="5">
        <v>65</v>
      </c>
      <c r="J6" s="5">
        <v>25020230</v>
      </c>
      <c r="K6" s="5">
        <v>5</v>
      </c>
      <c r="L6" s="5">
        <v>0.129029</v>
      </c>
      <c r="M6" s="5">
        <v>7.2356699999999996E-3</v>
      </c>
      <c r="N6" s="5">
        <v>0.13459299999999999</v>
      </c>
      <c r="O6" s="5">
        <v>7.5841399999999996E-3</v>
      </c>
      <c r="P6" s="5">
        <v>0.13294900000000001</v>
      </c>
      <c r="Q6" s="5">
        <v>7.4232400000000002E-3</v>
      </c>
      <c r="R6" s="5">
        <v>0.14291699999999999</v>
      </c>
      <c r="S6" s="5">
        <v>5.9043200000000002E-3</v>
      </c>
      <c r="T6" s="5">
        <v>0.139902</v>
      </c>
      <c r="U6" s="5">
        <v>6.2918399999999999E-3</v>
      </c>
      <c r="V6" s="5">
        <v>0.13294900000000001</v>
      </c>
      <c r="W6" s="5">
        <v>7.4232400000000002E-3</v>
      </c>
      <c r="X6" s="5">
        <v>0.33128200000000002</v>
      </c>
      <c r="Y6" s="5">
        <v>9.7947199999999998E-3</v>
      </c>
      <c r="Z6" s="5">
        <v>0.12520300000000001</v>
      </c>
      <c r="AA6" s="5">
        <v>6.6945900000000003E-3</v>
      </c>
      <c r="AB6" s="5">
        <v>0.13292499999999999</v>
      </c>
      <c r="AC6" s="5">
        <v>7.4230199999999998E-3</v>
      </c>
      <c r="AD6" s="5">
        <v>0.13139200000000001</v>
      </c>
      <c r="AE6" s="5">
        <v>7.3587100000000001E-3</v>
      </c>
      <c r="AF6" s="5">
        <v>0.12028</v>
      </c>
      <c r="AG6" s="5">
        <v>6.5897899999999999E-3</v>
      </c>
      <c r="AH6" s="5">
        <v>0.13294900000000001</v>
      </c>
      <c r="AI6" s="5">
        <v>7.4232400000000002E-3</v>
      </c>
      <c r="AJ6" s="5">
        <v>0.32944299999999999</v>
      </c>
      <c r="AK6" s="5">
        <v>9.8629200000000007E-3</v>
      </c>
      <c r="AL6" s="5">
        <v>0.123089</v>
      </c>
      <c r="AM6" s="5">
        <v>7.0128100000000004E-3</v>
      </c>
      <c r="AN6" s="5">
        <v>0</v>
      </c>
      <c r="AO6" s="5">
        <v>0</v>
      </c>
      <c r="AP6" s="5">
        <v>0.18407599999999999</v>
      </c>
      <c r="AQ6" s="5">
        <v>7.2692700000000004E-3</v>
      </c>
      <c r="AR6" s="5">
        <v>0.1331</v>
      </c>
      <c r="AS6" s="5">
        <v>4.1542100000000002E-3</v>
      </c>
      <c r="AT6" s="5">
        <v>0.110024</v>
      </c>
      <c r="AU6" s="5">
        <v>8.1469999999999997E-3</v>
      </c>
      <c r="AV6" s="5">
        <v>6.8856700000000007E-2</v>
      </c>
      <c r="AW6" s="5">
        <v>1.5225799999999999E-2</v>
      </c>
      <c r="AX6" s="5">
        <v>0.12278600000000001</v>
      </c>
      <c r="AY6" s="5">
        <v>1.2432500000000001E-2</v>
      </c>
      <c r="AZ6" s="5">
        <v>0.117703</v>
      </c>
      <c r="BA6" s="5">
        <v>4.7270100000000002E-3</v>
      </c>
      <c r="BB6" s="5">
        <v>0.129882</v>
      </c>
      <c r="BC6" s="5">
        <v>7.2874100000000002E-3</v>
      </c>
      <c r="BD6" s="5">
        <v>0.13143199999999999</v>
      </c>
      <c r="BE6" s="5">
        <v>7.47075E-3</v>
      </c>
      <c r="BF6" s="5">
        <v>0.13411200000000001</v>
      </c>
      <c r="BG6" s="5">
        <v>8.2351200000000003E-3</v>
      </c>
      <c r="BH6" s="5">
        <v>0.145117</v>
      </c>
      <c r="BI6" s="5">
        <v>5.9116100000000003E-3</v>
      </c>
      <c r="BJ6" s="5">
        <v>0.14930599999999999</v>
      </c>
      <c r="BK6" s="5">
        <v>8.7430700000000004E-3</v>
      </c>
      <c r="BL6" s="5">
        <v>0.11052099999999999</v>
      </c>
      <c r="BM6" s="5">
        <v>4.0886799999999999E-3</v>
      </c>
      <c r="BN6" s="5">
        <v>0.101727</v>
      </c>
      <c r="BO6" s="5">
        <v>5.7478700000000004E-3</v>
      </c>
      <c r="BP6" s="5">
        <v>0.13899</v>
      </c>
      <c r="BQ6" s="5">
        <v>0.59418000000000004</v>
      </c>
      <c r="BR6" s="5">
        <v>0.12610099999999999</v>
      </c>
      <c r="BS6" s="5">
        <v>5.2286700000000004E-3</v>
      </c>
      <c r="BT6" s="5">
        <v>0.13554099999999999</v>
      </c>
      <c r="BU6" s="5">
        <v>0.57188399999999995</v>
      </c>
      <c r="BV6" s="5">
        <v>0.14316499999999999</v>
      </c>
      <c r="BW6" s="5">
        <v>7.3594699999999999E-3</v>
      </c>
      <c r="BX6" s="5">
        <v>0.125134</v>
      </c>
      <c r="BY6" s="5">
        <v>6.5750299999999999E-3</v>
      </c>
      <c r="BZ6" s="5">
        <v>8.2959000000000005E-2</v>
      </c>
      <c r="CA6" s="5">
        <v>8.94175E-3</v>
      </c>
      <c r="CB6" s="5">
        <v>0.144402</v>
      </c>
      <c r="CC6" s="5">
        <v>7.7166099999999996E-3</v>
      </c>
      <c r="CD6" s="5">
        <v>0.41437600000000002</v>
      </c>
      <c r="CE6" s="5">
        <v>5.7219000000000002E-3</v>
      </c>
      <c r="CF6" s="5">
        <v>0.12545000000000001</v>
      </c>
      <c r="CG6" s="5">
        <v>7.0060000000000001E-3</v>
      </c>
      <c r="CH6" s="5">
        <v>0.14291699999999999</v>
      </c>
      <c r="CI6" s="5">
        <v>5.9043200000000002E-3</v>
      </c>
      <c r="CJ6" s="5">
        <v>0.33128200000000002</v>
      </c>
      <c r="CK6" s="5">
        <v>9.7947199999999998E-3</v>
      </c>
      <c r="CL6" s="5">
        <v>0.13125999999999999</v>
      </c>
      <c r="CM6" s="5">
        <v>7.6856700000000003E-3</v>
      </c>
      <c r="CN6" s="5">
        <v>0.14230300000000001</v>
      </c>
      <c r="CO6" s="5">
        <v>8.1444599999999992E-3</v>
      </c>
      <c r="CP6" s="5">
        <v>0.131464</v>
      </c>
      <c r="CQ6" s="5">
        <v>7.3605800000000002E-3</v>
      </c>
      <c r="CR6" s="5">
        <v>0.15029699999999999</v>
      </c>
      <c r="CS6" s="5">
        <v>7.75759E-3</v>
      </c>
      <c r="CT6" s="5">
        <v>0.14816599999999999</v>
      </c>
      <c r="CU6" s="5">
        <v>5.7547400000000004E-3</v>
      </c>
      <c r="CV6" s="5">
        <v>0.14291699999999999</v>
      </c>
      <c r="CW6" s="5">
        <v>5.9043200000000002E-3</v>
      </c>
      <c r="CX6" s="5">
        <v>0</v>
      </c>
      <c r="CY6" s="5">
        <v>0</v>
      </c>
      <c r="CZ6" s="5">
        <v>0.14865</v>
      </c>
      <c r="DA6" s="5">
        <v>7.8158099999999994E-3</v>
      </c>
      <c r="DB6" s="5">
        <v>0.14555899999999999</v>
      </c>
      <c r="DC6" s="5">
        <v>0.61960300000000001</v>
      </c>
      <c r="DD6" s="5">
        <v>0.185196</v>
      </c>
      <c r="DE6" s="5">
        <v>0.584005</v>
      </c>
      <c r="DF6" s="5">
        <v>0.51502300000000001</v>
      </c>
      <c r="DG6" s="5">
        <v>0.41703600000000002</v>
      </c>
      <c r="DH6" s="5">
        <v>0.13553999999999999</v>
      </c>
      <c r="DI6" s="5">
        <v>0.571882</v>
      </c>
      <c r="DJ6" s="5">
        <v>9.8681699999999997E-2</v>
      </c>
      <c r="DK6" s="5">
        <v>0.45644899999999999</v>
      </c>
      <c r="DL6" s="5">
        <v>0.14072699999999999</v>
      </c>
      <c r="DM6" s="5">
        <v>0.60023800000000005</v>
      </c>
      <c r="DN6" s="5">
        <v>0.43294500000000002</v>
      </c>
      <c r="DO6" s="5">
        <v>0.58561700000000005</v>
      </c>
      <c r="DP6" s="5">
        <v>0.13554099999999999</v>
      </c>
      <c r="DQ6" s="5">
        <v>0.57188399999999995</v>
      </c>
      <c r="DR6" s="5">
        <v>0.13557</v>
      </c>
      <c r="DS6" s="5">
        <v>0.57218000000000002</v>
      </c>
      <c r="DT6" s="5">
        <v>0.134267</v>
      </c>
      <c r="DU6" s="5">
        <v>0.57270200000000004</v>
      </c>
      <c r="DV6" s="5">
        <v>0.113054</v>
      </c>
      <c r="DW6" s="5">
        <v>0.47340599999999999</v>
      </c>
      <c r="DX6" s="5">
        <v>0.26701200000000003</v>
      </c>
      <c r="DY6" s="5">
        <v>0.74622900000000003</v>
      </c>
      <c r="DZ6" s="5">
        <v>0.12549199999999999</v>
      </c>
      <c r="EA6" s="5">
        <v>0.427595</v>
      </c>
      <c r="EB6" s="5">
        <v>0</v>
      </c>
      <c r="EC6" s="5">
        <v>0</v>
      </c>
      <c r="ED6" s="5">
        <v>0.159888</v>
      </c>
      <c r="EE6" s="5">
        <v>0.50248099999999996</v>
      </c>
      <c r="EF6" s="5">
        <v>0.127912</v>
      </c>
      <c r="EG6" s="5">
        <v>0.402113</v>
      </c>
      <c r="EH6" s="5">
        <v>9.9932000000000007E-2</v>
      </c>
      <c r="EI6" s="5">
        <v>0.77543200000000001</v>
      </c>
      <c r="EJ6" s="5">
        <v>4.9504600000000003E-2</v>
      </c>
      <c r="EK6" s="5">
        <v>1.53233</v>
      </c>
      <c r="EL6" s="5">
        <v>0.10698199999999999</v>
      </c>
      <c r="EM6" s="5">
        <v>1.25196</v>
      </c>
      <c r="EN6" s="5">
        <v>0.111836</v>
      </c>
      <c r="EO6" s="5">
        <v>0.452011</v>
      </c>
      <c r="EP6" s="5">
        <v>0.14668300000000001</v>
      </c>
      <c r="EQ6" s="5">
        <v>0.62934199999999996</v>
      </c>
      <c r="ER6" s="5">
        <v>0.147677</v>
      </c>
      <c r="ES6" s="5">
        <v>0.63595599999999997</v>
      </c>
      <c r="ET6" s="5">
        <v>0.18481800000000001</v>
      </c>
      <c r="EU6" s="5">
        <v>0.74460499999999996</v>
      </c>
      <c r="EV6" s="5">
        <v>0.12998399999999999</v>
      </c>
      <c r="EW6" s="5">
        <v>0.46165800000000001</v>
      </c>
      <c r="EX6" s="5">
        <v>0.227883</v>
      </c>
      <c r="EY6" s="5">
        <v>0.78282200000000002</v>
      </c>
      <c r="EZ6" s="5">
        <v>0.10544199999999999</v>
      </c>
      <c r="FA6" s="5">
        <v>0.39169599999999999</v>
      </c>
      <c r="FB6" s="5">
        <v>0.112902</v>
      </c>
      <c r="FC6" s="5">
        <v>0.45617600000000003</v>
      </c>
      <c r="FD6" s="5">
        <v>0.13470599999999999</v>
      </c>
      <c r="FE6" s="5">
        <v>0.487873</v>
      </c>
      <c r="FF6" s="5">
        <v>0.1196</v>
      </c>
      <c r="FG6" s="5">
        <v>0.50167399999999995</v>
      </c>
      <c r="FH6" s="5">
        <v>0.13554099999999999</v>
      </c>
      <c r="FI6" s="5">
        <v>0.57188700000000003</v>
      </c>
      <c r="FJ6" s="5">
        <v>0.13395799999999999</v>
      </c>
      <c r="FK6" s="5">
        <v>0.71547300000000003</v>
      </c>
      <c r="FL6" s="5">
        <v>0.12926099999999999</v>
      </c>
      <c r="FM6" s="5">
        <v>0.42946899999999999</v>
      </c>
      <c r="FN6" s="5">
        <v>7.2012900000000005E-2</v>
      </c>
      <c r="FO6" s="5">
        <v>0.830237</v>
      </c>
      <c r="FP6" s="5">
        <v>0.13583000000000001</v>
      </c>
      <c r="FQ6" s="5">
        <v>0.57226900000000003</v>
      </c>
      <c r="FR6" s="5">
        <v>0.13785900000000001</v>
      </c>
      <c r="FS6" s="5">
        <v>0.57767299999999999</v>
      </c>
      <c r="FT6" s="5">
        <v>0.13892599999999999</v>
      </c>
      <c r="FU6" s="5">
        <v>0.58231500000000003</v>
      </c>
      <c r="FV6" s="5">
        <v>0.43294500000000002</v>
      </c>
      <c r="FW6" s="5">
        <v>0.58561700000000005</v>
      </c>
      <c r="FX6" s="5">
        <v>0.13674600000000001</v>
      </c>
      <c r="FY6" s="5">
        <v>0.48794100000000001</v>
      </c>
      <c r="FZ6" s="5">
        <v>0.13207199999999999</v>
      </c>
      <c r="GA6" s="5">
        <v>0.79501500000000003</v>
      </c>
      <c r="GB6" s="5">
        <v>0.13764699999999999</v>
      </c>
      <c r="GC6" s="5">
        <v>0.605244</v>
      </c>
      <c r="GD6" s="5">
        <v>0.135522</v>
      </c>
      <c r="GE6" s="5">
        <v>0.57194900000000004</v>
      </c>
      <c r="GF6" s="5">
        <v>0.139546</v>
      </c>
      <c r="GG6" s="5">
        <v>0.56299999999999994</v>
      </c>
      <c r="GH6" s="5">
        <v>0.40079500000000001</v>
      </c>
      <c r="GI6" s="5">
        <v>0.58720600000000001</v>
      </c>
      <c r="GJ6" s="5">
        <v>0</v>
      </c>
      <c r="GK6" s="5">
        <v>0</v>
      </c>
      <c r="GL6" s="5">
        <v>0.13977500000000001</v>
      </c>
      <c r="GM6" s="5">
        <v>0.49674000000000001</v>
      </c>
    </row>
    <row r="7" spans="1:195" x14ac:dyDescent="0.6">
      <c r="A7" s="7">
        <v>5</v>
      </c>
      <c r="B7" s="7">
        <v>25020230</v>
      </c>
      <c r="C7" s="7">
        <v>1998</v>
      </c>
      <c r="D7" s="7">
        <v>71</v>
      </c>
      <c r="E7" s="7">
        <v>39</v>
      </c>
      <c r="F7" s="7">
        <v>105.801</v>
      </c>
      <c r="G7" s="7">
        <v>38.727499999999999</v>
      </c>
      <c r="H7" s="7">
        <v>-0.89860499999999999</v>
      </c>
      <c r="I7" s="7">
        <v>71</v>
      </c>
      <c r="J7" s="7">
        <v>25020230</v>
      </c>
      <c r="K7" s="7">
        <v>6</v>
      </c>
      <c r="L7" s="7">
        <v>0.17654</v>
      </c>
      <c r="M7" s="7">
        <v>8.5755199999999997E-3</v>
      </c>
      <c r="N7" s="7">
        <v>0.18388199999999999</v>
      </c>
      <c r="O7" s="7">
        <v>8.8103699999999997E-3</v>
      </c>
      <c r="P7" s="7">
        <v>0.181314</v>
      </c>
      <c r="Q7" s="7">
        <v>8.6673900000000005E-3</v>
      </c>
      <c r="R7" s="7">
        <v>0.18131800000000001</v>
      </c>
      <c r="S7" s="7">
        <v>6.8956099999999999E-3</v>
      </c>
      <c r="T7" s="7">
        <v>0.182251</v>
      </c>
      <c r="U7" s="7">
        <v>7.8546899999999992E-3</v>
      </c>
      <c r="V7" s="7">
        <v>0.181314</v>
      </c>
      <c r="W7" s="7">
        <v>8.6673900000000005E-3</v>
      </c>
      <c r="X7" s="7">
        <v>0.387542</v>
      </c>
      <c r="Y7" s="7">
        <v>8.97068E-3</v>
      </c>
      <c r="Z7" s="7">
        <v>0.16958999999999999</v>
      </c>
      <c r="AA7" s="7">
        <v>8.0935399999999998E-3</v>
      </c>
      <c r="AB7" s="7">
        <v>0.18129100000000001</v>
      </c>
      <c r="AC7" s="7">
        <v>8.6677799999999999E-3</v>
      </c>
      <c r="AD7" s="7">
        <v>0.179481</v>
      </c>
      <c r="AE7" s="7">
        <v>8.6416199999999992E-3</v>
      </c>
      <c r="AF7" s="7">
        <v>0.164493</v>
      </c>
      <c r="AG7" s="7">
        <v>8.1509200000000007E-3</v>
      </c>
      <c r="AH7" s="7">
        <v>0.181314</v>
      </c>
      <c r="AI7" s="7">
        <v>8.6673900000000005E-3</v>
      </c>
      <c r="AJ7" s="7">
        <v>0.38608500000000001</v>
      </c>
      <c r="AK7" s="7">
        <v>9.0298700000000006E-3</v>
      </c>
      <c r="AL7" s="7">
        <v>0.169798</v>
      </c>
      <c r="AM7" s="7">
        <v>8.5404000000000001E-3</v>
      </c>
      <c r="AN7" s="7">
        <v>0</v>
      </c>
      <c r="AO7" s="7">
        <v>0</v>
      </c>
      <c r="AP7" s="7">
        <v>0.22831899999999999</v>
      </c>
      <c r="AQ7" s="7">
        <v>7.47381E-3</v>
      </c>
      <c r="AR7" s="7">
        <v>0.160276</v>
      </c>
      <c r="AS7" s="7">
        <v>4.9213099999999999E-3</v>
      </c>
      <c r="AT7" s="7">
        <v>0.16453499999999999</v>
      </c>
      <c r="AU7" s="7">
        <v>9.9619099999999992E-3</v>
      </c>
      <c r="AV7" s="7">
        <v>0.159385</v>
      </c>
      <c r="AW7" s="7">
        <v>1.49097E-2</v>
      </c>
      <c r="AX7" s="7">
        <v>0.19672899999999999</v>
      </c>
      <c r="AY7" s="7">
        <v>1.2197400000000001E-2</v>
      </c>
      <c r="AZ7" s="7">
        <v>0.14954000000000001</v>
      </c>
      <c r="BA7" s="7">
        <v>5.9211200000000002E-3</v>
      </c>
      <c r="BB7" s="7">
        <v>0.17765</v>
      </c>
      <c r="BC7" s="7">
        <v>8.6079899999999994E-3</v>
      </c>
      <c r="BD7" s="7">
        <v>0.18021699999999999</v>
      </c>
      <c r="BE7" s="7">
        <v>8.7577599999999999E-3</v>
      </c>
      <c r="BF7" s="7">
        <v>0.18778500000000001</v>
      </c>
      <c r="BG7" s="7">
        <v>9.5988800000000006E-3</v>
      </c>
      <c r="BH7" s="7">
        <v>0.18350900000000001</v>
      </c>
      <c r="BI7" s="7">
        <v>6.8848199999999998E-3</v>
      </c>
      <c r="BJ7" s="7">
        <v>0.205095</v>
      </c>
      <c r="BK7" s="7">
        <v>9.7863800000000008E-3</v>
      </c>
      <c r="BL7" s="7">
        <v>0.137989</v>
      </c>
      <c r="BM7" s="7">
        <v>5.1048300000000003E-3</v>
      </c>
      <c r="BN7" s="7">
        <v>0.14277999999999999</v>
      </c>
      <c r="BO7" s="7">
        <v>8.0675399999999998E-3</v>
      </c>
      <c r="BP7" s="7">
        <v>0.19791900000000001</v>
      </c>
      <c r="BQ7" s="7">
        <v>0.73958100000000004</v>
      </c>
      <c r="BR7" s="7">
        <v>0.16094700000000001</v>
      </c>
      <c r="BS7" s="7">
        <v>6.4074300000000004E-3</v>
      </c>
      <c r="BT7" s="7">
        <v>0.192519</v>
      </c>
      <c r="BU7" s="7">
        <v>0.71858999999999995</v>
      </c>
      <c r="BV7" s="7">
        <v>0.19045000000000001</v>
      </c>
      <c r="BW7" s="7">
        <v>8.37537E-3</v>
      </c>
      <c r="BX7" s="7">
        <v>0.16870099999999999</v>
      </c>
      <c r="BY7" s="7">
        <v>7.9499199999999992E-3</v>
      </c>
      <c r="BZ7" s="7">
        <v>0.145283</v>
      </c>
      <c r="CA7" s="7">
        <v>1.1691099999999999E-2</v>
      </c>
      <c r="CB7" s="7">
        <v>0.193714</v>
      </c>
      <c r="CC7" s="7">
        <v>8.6877299999999994E-3</v>
      </c>
      <c r="CD7" s="7">
        <v>0.44807200000000003</v>
      </c>
      <c r="CE7" s="7">
        <v>5.5071399999999998E-3</v>
      </c>
      <c r="CF7" s="7">
        <v>0.17182800000000001</v>
      </c>
      <c r="CG7" s="7">
        <v>8.4349899999999998E-3</v>
      </c>
      <c r="CH7" s="7">
        <v>0.18131800000000001</v>
      </c>
      <c r="CI7" s="7">
        <v>6.8956099999999999E-3</v>
      </c>
      <c r="CJ7" s="7">
        <v>0.387542</v>
      </c>
      <c r="CK7" s="7">
        <v>8.97068E-3</v>
      </c>
      <c r="CL7" s="7">
        <v>0.18131900000000001</v>
      </c>
      <c r="CM7" s="7">
        <v>8.9621600000000003E-3</v>
      </c>
      <c r="CN7" s="7">
        <v>0.194075</v>
      </c>
      <c r="CO7" s="7">
        <v>9.0730399999999992E-3</v>
      </c>
      <c r="CP7" s="7">
        <v>0.179562</v>
      </c>
      <c r="CQ7" s="7">
        <v>8.6423899999999998E-3</v>
      </c>
      <c r="CR7" s="7">
        <v>0.19945199999999999</v>
      </c>
      <c r="CS7" s="7">
        <v>8.5977899999999993E-3</v>
      </c>
      <c r="CT7" s="7">
        <v>0.18559800000000001</v>
      </c>
      <c r="CU7" s="7">
        <v>6.72443E-3</v>
      </c>
      <c r="CV7" s="7">
        <v>0.18131800000000001</v>
      </c>
      <c r="CW7" s="7">
        <v>6.8956099999999999E-3</v>
      </c>
      <c r="CX7" s="7">
        <v>2.1910200000000001E-3</v>
      </c>
      <c r="CY7" s="7">
        <v>3.8221599999999998E-3</v>
      </c>
      <c r="CZ7" s="7">
        <v>0.19832</v>
      </c>
      <c r="DA7" s="7">
        <v>8.7081499999999996E-3</v>
      </c>
      <c r="DB7" s="7">
        <v>0.20668400000000001</v>
      </c>
      <c r="DC7" s="7">
        <v>0.76310699999999998</v>
      </c>
      <c r="DD7" s="7">
        <v>0.24085500000000001</v>
      </c>
      <c r="DE7" s="7">
        <v>0.67495899999999998</v>
      </c>
      <c r="DF7" s="7">
        <v>0.54979999999999996</v>
      </c>
      <c r="DG7" s="7">
        <v>0.37225900000000001</v>
      </c>
      <c r="DH7" s="7">
        <v>0.19251799999999999</v>
      </c>
      <c r="DI7" s="7">
        <v>0.718588</v>
      </c>
      <c r="DJ7" s="7">
        <v>0.147198</v>
      </c>
      <c r="DK7" s="7">
        <v>0.65087399999999995</v>
      </c>
      <c r="DL7" s="7">
        <v>0.200235</v>
      </c>
      <c r="DM7" s="7">
        <v>0.74660700000000002</v>
      </c>
      <c r="DN7" s="7">
        <v>0.48236400000000001</v>
      </c>
      <c r="DO7" s="7">
        <v>0.53458099999999997</v>
      </c>
      <c r="DP7" s="7">
        <v>0.192519</v>
      </c>
      <c r="DQ7" s="7">
        <v>0.71858999999999995</v>
      </c>
      <c r="DR7" s="7">
        <v>0.19256899999999999</v>
      </c>
      <c r="DS7" s="7">
        <v>0.71873399999999998</v>
      </c>
      <c r="DT7" s="7">
        <v>0.19139400000000001</v>
      </c>
      <c r="DU7" s="7">
        <v>0.72114599999999995</v>
      </c>
      <c r="DV7" s="7">
        <v>0.162047</v>
      </c>
      <c r="DW7" s="7">
        <v>0.64107999999999998</v>
      </c>
      <c r="DX7" s="7">
        <v>0.33432200000000001</v>
      </c>
      <c r="DY7" s="7">
        <v>0.77473899999999996</v>
      </c>
      <c r="DZ7" s="7">
        <v>0.169043</v>
      </c>
      <c r="EA7" s="7">
        <v>0.56381000000000003</v>
      </c>
      <c r="EB7" s="7">
        <v>0</v>
      </c>
      <c r="EC7" s="7">
        <v>0</v>
      </c>
      <c r="ED7" s="7">
        <v>0.208347</v>
      </c>
      <c r="EE7" s="7">
        <v>0.59666699999999995</v>
      </c>
      <c r="EF7" s="7">
        <v>0.168296</v>
      </c>
      <c r="EG7" s="7">
        <v>0.51634500000000005</v>
      </c>
      <c r="EH7" s="7">
        <v>0.18074799999999999</v>
      </c>
      <c r="EI7" s="7">
        <v>1.0416700000000001</v>
      </c>
      <c r="EJ7" s="7">
        <v>0.183083</v>
      </c>
      <c r="EK7" s="7">
        <v>1.48461</v>
      </c>
      <c r="EL7" s="7">
        <v>0.21613399999999999</v>
      </c>
      <c r="EM7" s="7">
        <v>1.21669</v>
      </c>
      <c r="EN7" s="7">
        <v>0.15925800000000001</v>
      </c>
      <c r="EO7" s="7">
        <v>0.63004300000000002</v>
      </c>
      <c r="EP7" s="7">
        <v>0.20871500000000001</v>
      </c>
      <c r="EQ7" s="7">
        <v>0.77362600000000004</v>
      </c>
      <c r="ER7" s="7">
        <v>0.210203</v>
      </c>
      <c r="ES7" s="7">
        <v>0.77781299999999998</v>
      </c>
      <c r="ET7" s="7">
        <v>0.25470700000000002</v>
      </c>
      <c r="EU7" s="7">
        <v>0.83123499999999995</v>
      </c>
      <c r="EV7" s="7">
        <v>0.17652000000000001</v>
      </c>
      <c r="EW7" s="7">
        <v>0.59566699999999995</v>
      </c>
      <c r="EX7" s="7">
        <v>0.29910500000000001</v>
      </c>
      <c r="EY7" s="7">
        <v>0.82406599999999997</v>
      </c>
      <c r="EZ7" s="7">
        <v>0.146372</v>
      </c>
      <c r="FA7" s="7">
        <v>0.54374199999999995</v>
      </c>
      <c r="FB7" s="7">
        <v>0.1613</v>
      </c>
      <c r="FC7" s="7">
        <v>0.65172399999999997</v>
      </c>
      <c r="FD7" s="7">
        <v>0.18344299999999999</v>
      </c>
      <c r="FE7" s="7">
        <v>0.61821199999999998</v>
      </c>
      <c r="FF7" s="7">
        <v>0.17142499999999999</v>
      </c>
      <c r="FG7" s="7">
        <v>0.676732</v>
      </c>
      <c r="FH7" s="7">
        <v>0.192519</v>
      </c>
      <c r="FI7" s="7">
        <v>0.71859399999999996</v>
      </c>
      <c r="FJ7" s="7">
        <v>0.20399900000000001</v>
      </c>
      <c r="FK7" s="7">
        <v>0.86520300000000006</v>
      </c>
      <c r="FL7" s="7">
        <v>0.172592</v>
      </c>
      <c r="FM7" s="7">
        <v>0.55635100000000004</v>
      </c>
      <c r="FN7" s="7">
        <v>0.164383</v>
      </c>
      <c r="FO7" s="7">
        <v>1.23109</v>
      </c>
      <c r="FP7" s="7">
        <v>0.192827</v>
      </c>
      <c r="FQ7" s="7">
        <v>0.718611</v>
      </c>
      <c r="FR7" s="7">
        <v>0.19528999999999999</v>
      </c>
      <c r="FS7" s="7">
        <v>0.72283299999999995</v>
      </c>
      <c r="FT7" s="7">
        <v>0.196767</v>
      </c>
      <c r="FU7" s="7">
        <v>0.72737300000000005</v>
      </c>
      <c r="FV7" s="7">
        <v>0.48236400000000001</v>
      </c>
      <c r="FW7" s="7">
        <v>0.53458099999999997</v>
      </c>
      <c r="FX7" s="7">
        <v>0.185306</v>
      </c>
      <c r="FY7" s="7">
        <v>0.61392000000000002</v>
      </c>
      <c r="FZ7" s="7">
        <v>0.20868999999999999</v>
      </c>
      <c r="GA7" s="7">
        <v>0.93176099999999995</v>
      </c>
      <c r="GB7" s="7">
        <v>0.197687</v>
      </c>
      <c r="GC7" s="7">
        <v>0.75322900000000004</v>
      </c>
      <c r="GD7" s="7">
        <v>0.19250800000000001</v>
      </c>
      <c r="GE7" s="7">
        <v>0.71871700000000005</v>
      </c>
      <c r="GF7" s="7">
        <v>0.19561600000000001</v>
      </c>
      <c r="GG7" s="7">
        <v>0.70721199999999995</v>
      </c>
      <c r="GH7" s="7">
        <v>0.45083600000000001</v>
      </c>
      <c r="GI7" s="7">
        <v>0.54664999999999997</v>
      </c>
      <c r="GJ7" s="7">
        <v>1.4875299999999999E-2</v>
      </c>
      <c r="GK7" s="7">
        <v>1.2436199999999999</v>
      </c>
      <c r="GL7" s="7">
        <v>0.188975</v>
      </c>
      <c r="GM7" s="7">
        <v>0.61941000000000002</v>
      </c>
    </row>
    <row r="8" spans="1:195" x14ac:dyDescent="0.6">
      <c r="A8" s="5">
        <v>6</v>
      </c>
      <c r="B8" s="5">
        <v>25020230</v>
      </c>
      <c r="C8" s="5">
        <v>2012</v>
      </c>
      <c r="D8" s="5">
        <v>73</v>
      </c>
      <c r="E8" s="5">
        <v>39</v>
      </c>
      <c r="F8" s="5">
        <v>105.801</v>
      </c>
      <c r="G8" s="5">
        <v>38.727499999999999</v>
      </c>
      <c r="H8" s="5">
        <v>-0.84696199999999999</v>
      </c>
      <c r="I8" s="5">
        <v>73</v>
      </c>
      <c r="J8" s="5">
        <v>25020230</v>
      </c>
      <c r="K8" s="5">
        <v>7</v>
      </c>
      <c r="L8" s="5">
        <v>0.19409999999999999</v>
      </c>
      <c r="M8" s="5">
        <v>8.9812099999999999E-3</v>
      </c>
      <c r="N8" s="5">
        <v>0.20186499999999999</v>
      </c>
      <c r="O8" s="5">
        <v>9.1669799999999999E-3</v>
      </c>
      <c r="P8" s="5">
        <v>0.199021</v>
      </c>
      <c r="Q8" s="5">
        <v>9.0353299999999994E-3</v>
      </c>
      <c r="R8" s="5">
        <v>0.195437</v>
      </c>
      <c r="S8" s="5">
        <v>7.2220899999999996E-3</v>
      </c>
      <c r="T8" s="5">
        <v>0.198513</v>
      </c>
      <c r="U8" s="5">
        <v>8.4094300000000007E-3</v>
      </c>
      <c r="V8" s="5">
        <v>0.199021</v>
      </c>
      <c r="W8" s="5">
        <v>9.0353299999999994E-3</v>
      </c>
      <c r="X8" s="5">
        <v>0.405223</v>
      </c>
      <c r="Y8" s="5">
        <v>8.7116999999999993E-3</v>
      </c>
      <c r="Z8" s="5">
        <v>0.186228</v>
      </c>
      <c r="AA8" s="5">
        <v>8.5423700000000005E-3</v>
      </c>
      <c r="AB8" s="5">
        <v>0.19899900000000001</v>
      </c>
      <c r="AC8" s="5">
        <v>9.0359299999999993E-3</v>
      </c>
      <c r="AD8" s="5">
        <v>0.19715099999999999</v>
      </c>
      <c r="AE8" s="5">
        <v>9.0238899999999997E-3</v>
      </c>
      <c r="AF8" s="5">
        <v>0.181311</v>
      </c>
      <c r="AG8" s="5">
        <v>8.6656800000000003E-3</v>
      </c>
      <c r="AH8" s="5">
        <v>0.199021</v>
      </c>
      <c r="AI8" s="5">
        <v>9.0353299999999994E-3</v>
      </c>
      <c r="AJ8" s="5">
        <v>0.40388200000000002</v>
      </c>
      <c r="AK8" s="5">
        <v>8.7681100000000008E-3</v>
      </c>
      <c r="AL8" s="5">
        <v>0.18736</v>
      </c>
      <c r="AM8" s="5">
        <v>9.0172599999999992E-3</v>
      </c>
      <c r="AN8" s="5">
        <v>0</v>
      </c>
      <c r="AO8" s="5">
        <v>0</v>
      </c>
      <c r="AP8" s="5">
        <v>0.24332899999999999</v>
      </c>
      <c r="AQ8" s="5">
        <v>7.5352800000000001E-3</v>
      </c>
      <c r="AR8" s="5">
        <v>0.17039499999999999</v>
      </c>
      <c r="AS8" s="5">
        <v>5.1994399999999996E-3</v>
      </c>
      <c r="AT8" s="5">
        <v>0.184979</v>
      </c>
      <c r="AU8" s="5">
        <v>1.04729E-2</v>
      </c>
      <c r="AV8" s="5">
        <v>0.18905</v>
      </c>
      <c r="AW8" s="5">
        <v>1.4751500000000001E-2</v>
      </c>
      <c r="AX8" s="5">
        <v>0.221024</v>
      </c>
      <c r="AY8" s="5">
        <v>1.20959E-2</v>
      </c>
      <c r="AZ8" s="5">
        <v>0.161824</v>
      </c>
      <c r="BA8" s="5">
        <v>6.3666599999999997E-3</v>
      </c>
      <c r="BB8" s="5">
        <v>0.195267</v>
      </c>
      <c r="BC8" s="5">
        <v>9.0052900000000009E-3</v>
      </c>
      <c r="BD8" s="5">
        <v>0.19811599999999999</v>
      </c>
      <c r="BE8" s="5">
        <v>9.1369199999999998E-3</v>
      </c>
      <c r="BF8" s="5">
        <v>0.20736299999999999</v>
      </c>
      <c r="BG8" s="5">
        <v>9.9710900000000002E-3</v>
      </c>
      <c r="BH8" s="5">
        <v>0.1976</v>
      </c>
      <c r="BI8" s="5">
        <v>7.2047700000000001E-3</v>
      </c>
      <c r="BJ8" s="5">
        <v>0.22493299999999999</v>
      </c>
      <c r="BK8" s="5">
        <v>1.00442E-2</v>
      </c>
      <c r="BL8" s="5">
        <v>0.148586</v>
      </c>
      <c r="BM8" s="5">
        <v>5.4968600000000001E-3</v>
      </c>
      <c r="BN8" s="5">
        <v>0.159862</v>
      </c>
      <c r="BO8" s="5">
        <v>9.0327399999999992E-3</v>
      </c>
      <c r="BP8" s="5">
        <v>0.21907099999999999</v>
      </c>
      <c r="BQ8" s="5">
        <v>0.78300899999999996</v>
      </c>
      <c r="BR8" s="5">
        <v>0.174178</v>
      </c>
      <c r="BS8" s="5">
        <v>6.8248099999999997E-3</v>
      </c>
      <c r="BT8" s="5">
        <v>0.21310899999999999</v>
      </c>
      <c r="BU8" s="5">
        <v>0.76357799999999998</v>
      </c>
      <c r="BV8" s="5">
        <v>0.20750399999999999</v>
      </c>
      <c r="BW8" s="5">
        <v>8.6754899999999992E-3</v>
      </c>
      <c r="BX8" s="5">
        <v>0.185057</v>
      </c>
      <c r="BY8" s="5">
        <v>8.4052999999999992E-3</v>
      </c>
      <c r="BZ8" s="5">
        <v>0.16938700000000001</v>
      </c>
      <c r="CA8" s="5">
        <v>1.23924E-2</v>
      </c>
      <c r="CB8" s="5">
        <v>0.211371</v>
      </c>
      <c r="CC8" s="5">
        <v>8.9657000000000001E-3</v>
      </c>
      <c r="CD8" s="5">
        <v>0.45901199999999998</v>
      </c>
      <c r="CE8" s="5">
        <v>5.4317799999999998E-3</v>
      </c>
      <c r="CF8" s="5">
        <v>0.18914500000000001</v>
      </c>
      <c r="CG8" s="5">
        <v>8.8787399999999995E-3</v>
      </c>
      <c r="CH8" s="5">
        <v>0.195437</v>
      </c>
      <c r="CI8" s="5">
        <v>7.2220899999999996E-3</v>
      </c>
      <c r="CJ8" s="5">
        <v>0.405223</v>
      </c>
      <c r="CK8" s="5">
        <v>8.7116999999999993E-3</v>
      </c>
      <c r="CL8" s="5">
        <v>0.19961699999999999</v>
      </c>
      <c r="CM8" s="5">
        <v>9.3310700000000003E-3</v>
      </c>
      <c r="CN8" s="5">
        <v>0.212481</v>
      </c>
      <c r="CO8" s="5">
        <v>9.3284200000000005E-3</v>
      </c>
      <c r="CP8" s="5">
        <v>0.19723299999999999</v>
      </c>
      <c r="CQ8" s="5">
        <v>9.0242499999999993E-3</v>
      </c>
      <c r="CR8" s="5">
        <v>0.216891</v>
      </c>
      <c r="CS8" s="5">
        <v>8.8373800000000006E-3</v>
      </c>
      <c r="CT8" s="5">
        <v>0.19936999999999999</v>
      </c>
      <c r="CU8" s="5">
        <v>7.0469499999999997E-3</v>
      </c>
      <c r="CV8" s="5">
        <v>0.195437</v>
      </c>
      <c r="CW8" s="5">
        <v>7.2220899999999996E-3</v>
      </c>
      <c r="CX8" s="5">
        <v>2.0395300000000002E-2</v>
      </c>
      <c r="CY8" s="5">
        <v>1.4593E-2</v>
      </c>
      <c r="CZ8" s="5">
        <v>0.21599299999999999</v>
      </c>
      <c r="DA8" s="5">
        <v>8.9611099999999996E-3</v>
      </c>
      <c r="DB8" s="5">
        <v>0.22846900000000001</v>
      </c>
      <c r="DC8" s="5">
        <v>0.80493099999999995</v>
      </c>
      <c r="DD8" s="5">
        <v>0.25996900000000001</v>
      </c>
      <c r="DE8" s="5">
        <v>0.70088399999999995</v>
      </c>
      <c r="DF8" s="5">
        <v>0.55996699999999999</v>
      </c>
      <c r="DG8" s="5">
        <v>0.35990299999999997</v>
      </c>
      <c r="DH8" s="5">
        <v>0.21310799999999999</v>
      </c>
      <c r="DI8" s="5">
        <v>0.76357600000000003</v>
      </c>
      <c r="DJ8" s="5">
        <v>0.16625599999999999</v>
      </c>
      <c r="DK8" s="5">
        <v>0.72195100000000001</v>
      </c>
      <c r="DL8" s="5">
        <v>0.22158600000000001</v>
      </c>
      <c r="DM8" s="5">
        <v>0.79025999999999996</v>
      </c>
      <c r="DN8" s="5">
        <v>0.49700299999999997</v>
      </c>
      <c r="DO8" s="5">
        <v>0.51946199999999998</v>
      </c>
      <c r="DP8" s="5">
        <v>0.21310899999999999</v>
      </c>
      <c r="DQ8" s="5">
        <v>0.76357699999999995</v>
      </c>
      <c r="DR8" s="5">
        <v>0.21316199999999999</v>
      </c>
      <c r="DS8" s="5">
        <v>0.76364100000000001</v>
      </c>
      <c r="DT8" s="5">
        <v>0.212062</v>
      </c>
      <c r="DU8" s="5">
        <v>0.76665300000000003</v>
      </c>
      <c r="DV8" s="5">
        <v>0.18065400000000001</v>
      </c>
      <c r="DW8" s="5">
        <v>0.69882200000000005</v>
      </c>
      <c r="DX8" s="5">
        <v>0.35591</v>
      </c>
      <c r="DY8" s="5">
        <v>0.77912199999999998</v>
      </c>
      <c r="DZ8" s="5">
        <v>0.18537699999999999</v>
      </c>
      <c r="EA8" s="5">
        <v>0.61262799999999995</v>
      </c>
      <c r="EB8" s="5">
        <v>0</v>
      </c>
      <c r="EC8" s="5">
        <v>0</v>
      </c>
      <c r="ED8" s="5">
        <v>0.225355</v>
      </c>
      <c r="EE8" s="5">
        <v>0.62790400000000002</v>
      </c>
      <c r="EF8" s="5">
        <v>0.183198</v>
      </c>
      <c r="EG8" s="5">
        <v>0.55684299999999998</v>
      </c>
      <c r="EH8" s="5">
        <v>0.210595</v>
      </c>
      <c r="EI8" s="5">
        <v>1.1052500000000001</v>
      </c>
      <c r="EJ8" s="5">
        <v>0.22398100000000001</v>
      </c>
      <c r="EK8" s="5">
        <v>1.4590399999999999</v>
      </c>
      <c r="EL8" s="5">
        <v>0.24972</v>
      </c>
      <c r="EM8" s="5">
        <v>1.2009399999999999</v>
      </c>
      <c r="EN8" s="5">
        <v>0.17766100000000001</v>
      </c>
      <c r="EO8" s="5">
        <v>0.69557800000000003</v>
      </c>
      <c r="EP8" s="5">
        <v>0.23079</v>
      </c>
      <c r="EQ8" s="5">
        <v>0.81530899999999995</v>
      </c>
      <c r="ER8" s="5">
        <v>0.232378</v>
      </c>
      <c r="ES8" s="5">
        <v>0.81827300000000003</v>
      </c>
      <c r="ET8" s="5">
        <v>0.278059</v>
      </c>
      <c r="EU8" s="5">
        <v>0.84924100000000002</v>
      </c>
      <c r="EV8" s="5">
        <v>0.19370000000000001</v>
      </c>
      <c r="EW8" s="5">
        <v>0.64140299999999995</v>
      </c>
      <c r="EX8" s="5">
        <v>0.322079</v>
      </c>
      <c r="EY8" s="5">
        <v>0.82937899999999998</v>
      </c>
      <c r="EZ8" s="5">
        <v>0.16228300000000001</v>
      </c>
      <c r="FA8" s="5">
        <v>0.60285100000000003</v>
      </c>
      <c r="FB8" s="5">
        <v>0.18045900000000001</v>
      </c>
      <c r="FC8" s="5">
        <v>0.72913799999999995</v>
      </c>
      <c r="FD8" s="5">
        <v>0.201214</v>
      </c>
      <c r="FE8" s="5">
        <v>0.66132500000000005</v>
      </c>
      <c r="FF8" s="5">
        <v>0.191049</v>
      </c>
      <c r="FG8" s="5">
        <v>0.73633899999999997</v>
      </c>
      <c r="FH8" s="5">
        <v>0.21310899999999999</v>
      </c>
      <c r="FI8" s="5">
        <v>0.76358099999999995</v>
      </c>
      <c r="FJ8" s="5">
        <v>0.22858600000000001</v>
      </c>
      <c r="FK8" s="5">
        <v>0.90417999999999998</v>
      </c>
      <c r="FL8" s="5">
        <v>0.188669</v>
      </c>
      <c r="FM8" s="5">
        <v>0.60156299999999996</v>
      </c>
      <c r="FN8" s="5">
        <v>0.199763</v>
      </c>
      <c r="FO8" s="5">
        <v>1.3119499999999999</v>
      </c>
      <c r="FP8" s="5">
        <v>0.21341599999999999</v>
      </c>
      <c r="FQ8" s="5">
        <v>0.76345600000000002</v>
      </c>
      <c r="FR8" s="5">
        <v>0.21598700000000001</v>
      </c>
      <c r="FS8" s="5">
        <v>0.76707499999999995</v>
      </c>
      <c r="FT8" s="5">
        <v>0.217588</v>
      </c>
      <c r="FU8" s="5">
        <v>0.77139999999999997</v>
      </c>
      <c r="FV8" s="5">
        <v>0.49700299999999997</v>
      </c>
      <c r="FW8" s="5">
        <v>0.51946199999999998</v>
      </c>
      <c r="FX8" s="5">
        <v>0.20293600000000001</v>
      </c>
      <c r="FY8" s="5">
        <v>0.65543399999999996</v>
      </c>
      <c r="FZ8" s="5">
        <v>0.23502999999999999</v>
      </c>
      <c r="GA8" s="5">
        <v>0.96368500000000001</v>
      </c>
      <c r="GB8" s="5">
        <v>0.219222</v>
      </c>
      <c r="GC8" s="5">
        <v>0.79683899999999996</v>
      </c>
      <c r="GD8" s="5">
        <v>0.21310200000000001</v>
      </c>
      <c r="GE8" s="5">
        <v>0.76372399999999996</v>
      </c>
      <c r="GF8" s="5">
        <v>0.21588399999999999</v>
      </c>
      <c r="GG8" s="5">
        <v>0.75182099999999996</v>
      </c>
      <c r="GH8" s="5">
        <v>0.46584999999999999</v>
      </c>
      <c r="GI8" s="5">
        <v>0.53430699999999998</v>
      </c>
      <c r="GJ8" s="5">
        <v>6.7611400000000002E-2</v>
      </c>
      <c r="GK8" s="5">
        <v>2.4094199999999999</v>
      </c>
      <c r="GL8" s="5">
        <v>0.20674000000000001</v>
      </c>
      <c r="GM8" s="5">
        <v>0.65967299999999995</v>
      </c>
    </row>
    <row r="9" spans="1:195" x14ac:dyDescent="0.6">
      <c r="A9" s="7">
        <v>7</v>
      </c>
      <c r="B9" s="7">
        <v>25020230</v>
      </c>
      <c r="C9" s="7">
        <v>2003</v>
      </c>
      <c r="D9" s="7">
        <v>80</v>
      </c>
      <c r="E9" s="7">
        <v>39</v>
      </c>
      <c r="F9" s="7">
        <v>105.801</v>
      </c>
      <c r="G9" s="7">
        <v>38.727499999999999</v>
      </c>
      <c r="H9" s="7">
        <v>-0.66621200000000003</v>
      </c>
      <c r="I9" s="7">
        <v>80</v>
      </c>
      <c r="J9" s="7">
        <v>25020230</v>
      </c>
      <c r="K9" s="7">
        <v>8</v>
      </c>
      <c r="L9" s="7">
        <v>0.26135900000000001</v>
      </c>
      <c r="M9" s="7">
        <v>1.01698E-2</v>
      </c>
      <c r="N9" s="7">
        <v>0.26976099999999997</v>
      </c>
      <c r="O9" s="7">
        <v>1.01634E-2</v>
      </c>
      <c r="P9" s="7">
        <v>0.26617800000000003</v>
      </c>
      <c r="Q9" s="7">
        <v>1.0087199999999999E-2</v>
      </c>
      <c r="R9" s="7">
        <v>0.249863</v>
      </c>
      <c r="S9" s="7">
        <v>8.3102999999999996E-3</v>
      </c>
      <c r="T9" s="7">
        <v>0.264239</v>
      </c>
      <c r="U9" s="7">
        <v>1.03505E-2</v>
      </c>
      <c r="V9" s="7">
        <v>0.26617800000000003</v>
      </c>
      <c r="W9" s="7">
        <v>1.0087199999999999E-2</v>
      </c>
      <c r="X9" s="7">
        <v>0.46318300000000001</v>
      </c>
      <c r="Y9" s="7">
        <v>7.8627599999999999E-3</v>
      </c>
      <c r="Z9" s="7">
        <v>0.25114500000000001</v>
      </c>
      <c r="AA9" s="7">
        <v>9.9564700000000003E-3</v>
      </c>
      <c r="AB9" s="7">
        <v>0.26616200000000001</v>
      </c>
      <c r="AC9" s="7">
        <v>1.0088400000000001E-2</v>
      </c>
      <c r="AD9" s="7">
        <v>0.26440200000000003</v>
      </c>
      <c r="AE9" s="7">
        <v>1.0124599999999999E-2</v>
      </c>
      <c r="AF9" s="7">
        <v>0.24793899999999999</v>
      </c>
      <c r="AG9" s="7">
        <v>1.03204E-2</v>
      </c>
      <c r="AH9" s="7">
        <v>0.26617800000000003</v>
      </c>
      <c r="AI9" s="7">
        <v>1.0087199999999999E-2</v>
      </c>
      <c r="AJ9" s="7">
        <v>0.462204</v>
      </c>
      <c r="AK9" s="7">
        <v>7.9102600000000006E-3</v>
      </c>
      <c r="AL9" s="7">
        <v>0.25573600000000002</v>
      </c>
      <c r="AM9" s="7">
        <v>1.0447100000000001E-2</v>
      </c>
      <c r="AN9" s="7">
        <v>4.8427999999999999E-2</v>
      </c>
      <c r="AO9" s="7">
        <v>2.9902000000000001E-2</v>
      </c>
      <c r="AP9" s="7">
        <v>0.29675099999999999</v>
      </c>
      <c r="AQ9" s="7">
        <v>7.7198500000000003E-3</v>
      </c>
      <c r="AR9" s="7">
        <v>0.210422</v>
      </c>
      <c r="AS9" s="7">
        <v>6.2585699999999998E-3</v>
      </c>
      <c r="AT9" s="7">
        <v>0.26334299999999999</v>
      </c>
      <c r="AU9" s="7">
        <v>1.17888E-2</v>
      </c>
      <c r="AV9" s="7">
        <v>0.289885</v>
      </c>
      <c r="AW9" s="7">
        <v>1.4012699999999999E-2</v>
      </c>
      <c r="AX9" s="7">
        <v>0.30422900000000003</v>
      </c>
      <c r="AY9" s="7">
        <v>1.16557E-2</v>
      </c>
      <c r="AZ9" s="7">
        <v>0.21228900000000001</v>
      </c>
      <c r="BA9" s="7">
        <v>8.0906499999999996E-3</v>
      </c>
      <c r="BB9" s="7">
        <v>0.26257999999999998</v>
      </c>
      <c r="BC9" s="7">
        <v>1.01609E-2</v>
      </c>
      <c r="BD9" s="7">
        <v>0.26607799999999998</v>
      </c>
      <c r="BE9" s="7">
        <v>1.02112E-2</v>
      </c>
      <c r="BF9" s="7">
        <v>0.28075899999999998</v>
      </c>
      <c r="BG9" s="7">
        <v>1.0900099999999999E-2</v>
      </c>
      <c r="BH9" s="7">
        <v>0.25182199999999999</v>
      </c>
      <c r="BI9" s="7">
        <v>8.2693999999999997E-3</v>
      </c>
      <c r="BJ9" s="7">
        <v>0.29750100000000002</v>
      </c>
      <c r="BK9" s="7">
        <v>1.0602800000000001E-2</v>
      </c>
      <c r="BL9" s="7">
        <v>0.19250600000000001</v>
      </c>
      <c r="BM9" s="7">
        <v>7.1216400000000003E-3</v>
      </c>
      <c r="BN9" s="7">
        <v>0.23742099999999999</v>
      </c>
      <c r="BO9" s="7">
        <v>1.3415099999999999E-2</v>
      </c>
      <c r="BP9" s="7">
        <v>0.296767</v>
      </c>
      <c r="BQ9" s="7">
        <v>0.90871500000000005</v>
      </c>
      <c r="BR9" s="7">
        <v>0.22720299999999999</v>
      </c>
      <c r="BS9" s="7">
        <v>8.3308700000000006E-3</v>
      </c>
      <c r="BT9" s="7">
        <v>0.28939399999999998</v>
      </c>
      <c r="BU9" s="7">
        <v>0.89827000000000001</v>
      </c>
      <c r="BV9" s="7">
        <v>0.271449</v>
      </c>
      <c r="BW9" s="7">
        <v>9.5454900000000002E-3</v>
      </c>
      <c r="BX9" s="7">
        <v>0.249255</v>
      </c>
      <c r="BY9" s="7">
        <v>9.90305E-3</v>
      </c>
      <c r="BZ9" s="7">
        <v>0.26217000000000001</v>
      </c>
      <c r="CA9" s="7">
        <v>1.38634E-2</v>
      </c>
      <c r="CB9" s="7">
        <v>0.27702599999999999</v>
      </c>
      <c r="CC9" s="7">
        <v>9.7400899999999999E-3</v>
      </c>
      <c r="CD9" s="7">
        <v>0.496083</v>
      </c>
      <c r="CE9" s="7">
        <v>5.1577000000000003E-3</v>
      </c>
      <c r="CF9" s="7">
        <v>0.256193</v>
      </c>
      <c r="CG9" s="7">
        <v>1.02136E-2</v>
      </c>
      <c r="CH9" s="7">
        <v>0.249863</v>
      </c>
      <c r="CI9" s="7">
        <v>8.3102999999999996E-3</v>
      </c>
      <c r="CJ9" s="7">
        <v>0.46318300000000001</v>
      </c>
      <c r="CK9" s="7">
        <v>7.8627599999999999E-3</v>
      </c>
      <c r="CL9" s="7">
        <v>0.26876299999999997</v>
      </c>
      <c r="CM9" s="7">
        <v>1.03515E-2</v>
      </c>
      <c r="CN9" s="7">
        <v>0.28034300000000001</v>
      </c>
      <c r="CO9" s="7">
        <v>1.00041E-2</v>
      </c>
      <c r="CP9" s="7">
        <v>0.26448100000000002</v>
      </c>
      <c r="CQ9" s="7">
        <v>1.0123500000000001E-2</v>
      </c>
      <c r="CR9" s="7">
        <v>0.281252</v>
      </c>
      <c r="CS9" s="7">
        <v>9.5073399999999995E-3</v>
      </c>
      <c r="CT9" s="7">
        <v>0.252554</v>
      </c>
      <c r="CU9" s="7">
        <v>8.1335599999999997E-3</v>
      </c>
      <c r="CV9" s="7">
        <v>0.249863</v>
      </c>
      <c r="CW9" s="7">
        <v>8.3102999999999996E-3</v>
      </c>
      <c r="CX9" s="7">
        <v>0.19259799999999999</v>
      </c>
      <c r="CY9" s="7">
        <v>2.79428E-2</v>
      </c>
      <c r="CZ9" s="7">
        <v>0.281337</v>
      </c>
      <c r="DA9" s="7">
        <v>9.6593200000000008E-3</v>
      </c>
      <c r="DB9" s="7">
        <v>0.30781799999999998</v>
      </c>
      <c r="DC9" s="7">
        <v>0.92212499999999997</v>
      </c>
      <c r="DD9" s="7">
        <v>0.32762599999999997</v>
      </c>
      <c r="DE9" s="7">
        <v>0.77318100000000001</v>
      </c>
      <c r="DF9" s="7">
        <v>0.59121900000000005</v>
      </c>
      <c r="DG9" s="7">
        <v>0.32375799999999999</v>
      </c>
      <c r="DH9" s="7">
        <v>0.28939300000000001</v>
      </c>
      <c r="DI9" s="7">
        <v>0.89826799999999996</v>
      </c>
      <c r="DJ9" s="7">
        <v>0.243866</v>
      </c>
      <c r="DK9" s="7">
        <v>0.97573600000000005</v>
      </c>
      <c r="DL9" s="7">
        <v>0.29996600000000001</v>
      </c>
      <c r="DM9" s="7">
        <v>0.91628200000000004</v>
      </c>
      <c r="DN9" s="7">
        <v>0.54238900000000001</v>
      </c>
      <c r="DO9" s="7">
        <v>0.47259099999999998</v>
      </c>
      <c r="DP9" s="7">
        <v>0.28939399999999998</v>
      </c>
      <c r="DQ9" s="7">
        <v>0.89826899999999998</v>
      </c>
      <c r="DR9" s="7">
        <v>0.289437</v>
      </c>
      <c r="DS9" s="7">
        <v>0.89797199999999999</v>
      </c>
      <c r="DT9" s="7">
        <v>0.28869699999999998</v>
      </c>
      <c r="DU9" s="7">
        <v>0.90273800000000004</v>
      </c>
      <c r="DV9" s="7">
        <v>0.25357800000000003</v>
      </c>
      <c r="DW9" s="7">
        <v>0.89361000000000002</v>
      </c>
      <c r="DX9" s="7">
        <v>0.42741200000000001</v>
      </c>
      <c r="DY9" s="7">
        <v>0.77899799999999997</v>
      </c>
      <c r="DZ9" s="7">
        <v>0.24943499999999999</v>
      </c>
      <c r="EA9" s="7">
        <v>0.79017300000000001</v>
      </c>
      <c r="EB9" s="7">
        <v>0.21151900000000001</v>
      </c>
      <c r="EC9" s="7">
        <v>3.6612100000000001</v>
      </c>
      <c r="ED9" s="7">
        <v>0.28767900000000002</v>
      </c>
      <c r="EE9" s="7">
        <v>0.73384700000000003</v>
      </c>
      <c r="EF9" s="7">
        <v>0.24079400000000001</v>
      </c>
      <c r="EG9" s="7">
        <v>0.70460999999999996</v>
      </c>
      <c r="EH9" s="7">
        <v>0.318444</v>
      </c>
      <c r="EI9" s="7">
        <v>1.2276400000000001</v>
      </c>
      <c r="EJ9" s="7">
        <v>0.35267799999999999</v>
      </c>
      <c r="EK9" s="7">
        <v>1.3450299999999999</v>
      </c>
      <c r="EL9" s="7">
        <v>0.35681600000000002</v>
      </c>
      <c r="EM9" s="7">
        <v>1.13479</v>
      </c>
      <c r="EN9" s="7">
        <v>0.252108</v>
      </c>
      <c r="EO9" s="7">
        <v>0.934832</v>
      </c>
      <c r="EP9" s="7">
        <v>0.31102099999999999</v>
      </c>
      <c r="EQ9" s="7">
        <v>0.93066300000000002</v>
      </c>
      <c r="ER9" s="7">
        <v>0.31265500000000002</v>
      </c>
      <c r="ES9" s="7">
        <v>0.92847800000000003</v>
      </c>
      <c r="ET9" s="7">
        <v>0.35747000000000001</v>
      </c>
      <c r="EU9" s="7">
        <v>0.87748700000000002</v>
      </c>
      <c r="EV9" s="7">
        <v>0.25958300000000001</v>
      </c>
      <c r="EW9" s="7">
        <v>0.79856099999999997</v>
      </c>
      <c r="EX9" s="7">
        <v>0.39805200000000002</v>
      </c>
      <c r="EY9" s="7">
        <v>0.82473300000000005</v>
      </c>
      <c r="EZ9" s="7">
        <v>0.22803499999999999</v>
      </c>
      <c r="FA9" s="7">
        <v>0.84710600000000003</v>
      </c>
      <c r="FB9" s="7">
        <v>0.26124999999999998</v>
      </c>
      <c r="FC9" s="7">
        <v>1.0555699999999999</v>
      </c>
      <c r="FD9" s="7">
        <v>0.268343</v>
      </c>
      <c r="FE9" s="7">
        <v>0.80448799999999998</v>
      </c>
      <c r="FF9" s="7">
        <v>0.26757900000000001</v>
      </c>
      <c r="FG9" s="7">
        <v>0.93373399999999995</v>
      </c>
      <c r="FH9" s="7">
        <v>0.28939500000000001</v>
      </c>
      <c r="FI9" s="7">
        <v>0.89827299999999999</v>
      </c>
      <c r="FJ9" s="7">
        <v>0.31612800000000002</v>
      </c>
      <c r="FK9" s="7">
        <v>0.99888999999999994</v>
      </c>
      <c r="FL9" s="7">
        <v>0.25113600000000003</v>
      </c>
      <c r="FM9" s="7">
        <v>0.76650600000000002</v>
      </c>
      <c r="FN9" s="7">
        <v>0.32629000000000002</v>
      </c>
      <c r="FO9" s="7">
        <v>1.41147</v>
      </c>
      <c r="FP9" s="7">
        <v>0.28966599999999998</v>
      </c>
      <c r="FQ9" s="7">
        <v>0.89761899999999994</v>
      </c>
      <c r="FR9" s="7">
        <v>0.29245399999999999</v>
      </c>
      <c r="FS9" s="7">
        <v>0.89857699999999996</v>
      </c>
      <c r="FT9" s="7">
        <v>0.29439700000000002</v>
      </c>
      <c r="FU9" s="7">
        <v>0.90154999999999996</v>
      </c>
      <c r="FV9" s="7">
        <v>0.54238900000000001</v>
      </c>
      <c r="FW9" s="7">
        <v>0.47259099999999998</v>
      </c>
      <c r="FX9" s="7">
        <v>0.26927400000000001</v>
      </c>
      <c r="FY9" s="7">
        <v>0.79313800000000001</v>
      </c>
      <c r="FZ9" s="7">
        <v>0.32678400000000002</v>
      </c>
      <c r="GA9" s="7">
        <v>1.03067</v>
      </c>
      <c r="GB9" s="7">
        <v>0.29812899999999998</v>
      </c>
      <c r="GC9" s="7">
        <v>0.92070200000000002</v>
      </c>
      <c r="GD9" s="7">
        <v>0.28940300000000002</v>
      </c>
      <c r="GE9" s="7">
        <v>0.89847200000000005</v>
      </c>
      <c r="GF9" s="7">
        <v>0.29107899999999998</v>
      </c>
      <c r="GG9" s="7">
        <v>0.88649699999999998</v>
      </c>
      <c r="GH9" s="7">
        <v>0.51295999999999997</v>
      </c>
      <c r="GI9" s="7">
        <v>0.49501699999999998</v>
      </c>
      <c r="GJ9" s="7">
        <v>0.31445499999999998</v>
      </c>
      <c r="GK9" s="7">
        <v>2.4983</v>
      </c>
      <c r="GL9" s="7">
        <v>0.27326699999999998</v>
      </c>
      <c r="GM9" s="7">
        <v>0.792991</v>
      </c>
    </row>
    <row r="10" spans="1:195" x14ac:dyDescent="0.6">
      <c r="A10" s="5">
        <v>8</v>
      </c>
      <c r="B10" s="5">
        <v>25020230</v>
      </c>
      <c r="C10" s="5">
        <v>2004</v>
      </c>
      <c r="D10" s="5">
        <v>80</v>
      </c>
      <c r="E10" s="5">
        <v>39</v>
      </c>
      <c r="F10" s="5">
        <v>105.801</v>
      </c>
      <c r="G10" s="5">
        <v>38.727499999999999</v>
      </c>
      <c r="H10" s="5">
        <v>-0.66621200000000003</v>
      </c>
      <c r="I10" s="5">
        <v>80</v>
      </c>
      <c r="J10" s="5">
        <v>25020230</v>
      </c>
      <c r="K10" s="5">
        <v>9</v>
      </c>
      <c r="L10" s="5">
        <v>0.26135900000000001</v>
      </c>
      <c r="M10" s="5">
        <v>1.01698E-2</v>
      </c>
      <c r="N10" s="5">
        <v>0.26976099999999997</v>
      </c>
      <c r="O10" s="5">
        <v>1.01634E-2</v>
      </c>
      <c r="P10" s="5">
        <v>0.26617800000000003</v>
      </c>
      <c r="Q10" s="5">
        <v>1.0087199999999999E-2</v>
      </c>
      <c r="R10" s="5">
        <v>0.249863</v>
      </c>
      <c r="S10" s="5">
        <v>8.3102999999999996E-3</v>
      </c>
      <c r="T10" s="5">
        <v>0.264239</v>
      </c>
      <c r="U10" s="5">
        <v>1.03505E-2</v>
      </c>
      <c r="V10" s="5">
        <v>0.26617800000000003</v>
      </c>
      <c r="W10" s="5">
        <v>1.0087199999999999E-2</v>
      </c>
      <c r="X10" s="5">
        <v>0.46318300000000001</v>
      </c>
      <c r="Y10" s="5">
        <v>7.8627599999999999E-3</v>
      </c>
      <c r="Z10" s="5">
        <v>0.25114500000000001</v>
      </c>
      <c r="AA10" s="5">
        <v>9.9564700000000003E-3</v>
      </c>
      <c r="AB10" s="5">
        <v>0.26616200000000001</v>
      </c>
      <c r="AC10" s="5">
        <v>1.0088400000000001E-2</v>
      </c>
      <c r="AD10" s="5">
        <v>0.26440200000000003</v>
      </c>
      <c r="AE10" s="5">
        <v>1.0124599999999999E-2</v>
      </c>
      <c r="AF10" s="5">
        <v>0.24793899999999999</v>
      </c>
      <c r="AG10" s="5">
        <v>1.03204E-2</v>
      </c>
      <c r="AH10" s="5">
        <v>0.26617800000000003</v>
      </c>
      <c r="AI10" s="5">
        <v>1.0087199999999999E-2</v>
      </c>
      <c r="AJ10" s="5">
        <v>0.462204</v>
      </c>
      <c r="AK10" s="5">
        <v>7.9102600000000006E-3</v>
      </c>
      <c r="AL10" s="5">
        <v>0.25573600000000002</v>
      </c>
      <c r="AM10" s="5">
        <v>1.0447100000000001E-2</v>
      </c>
      <c r="AN10" s="5">
        <v>4.8427999999999999E-2</v>
      </c>
      <c r="AO10" s="5">
        <v>2.9902000000000001E-2</v>
      </c>
      <c r="AP10" s="5">
        <v>0.29675099999999999</v>
      </c>
      <c r="AQ10" s="5">
        <v>7.7198500000000003E-3</v>
      </c>
      <c r="AR10" s="5">
        <v>0.210422</v>
      </c>
      <c r="AS10" s="5">
        <v>6.2585699999999998E-3</v>
      </c>
      <c r="AT10" s="5">
        <v>0.26334299999999999</v>
      </c>
      <c r="AU10" s="5">
        <v>1.17888E-2</v>
      </c>
      <c r="AV10" s="5">
        <v>0.289885</v>
      </c>
      <c r="AW10" s="5">
        <v>1.4012699999999999E-2</v>
      </c>
      <c r="AX10" s="5">
        <v>0.30422900000000003</v>
      </c>
      <c r="AY10" s="5">
        <v>1.16557E-2</v>
      </c>
      <c r="AZ10" s="5">
        <v>0.21228900000000001</v>
      </c>
      <c r="BA10" s="5">
        <v>8.0906499999999996E-3</v>
      </c>
      <c r="BB10" s="5">
        <v>0.26257999999999998</v>
      </c>
      <c r="BC10" s="5">
        <v>1.01609E-2</v>
      </c>
      <c r="BD10" s="5">
        <v>0.26607799999999998</v>
      </c>
      <c r="BE10" s="5">
        <v>1.02112E-2</v>
      </c>
      <c r="BF10" s="5">
        <v>0.28075899999999998</v>
      </c>
      <c r="BG10" s="5">
        <v>1.0900099999999999E-2</v>
      </c>
      <c r="BH10" s="5">
        <v>0.25182199999999999</v>
      </c>
      <c r="BI10" s="5">
        <v>8.2693999999999997E-3</v>
      </c>
      <c r="BJ10" s="5">
        <v>0.29750100000000002</v>
      </c>
      <c r="BK10" s="5">
        <v>1.0602800000000001E-2</v>
      </c>
      <c r="BL10" s="5">
        <v>0.19250600000000001</v>
      </c>
      <c r="BM10" s="5">
        <v>7.1216400000000003E-3</v>
      </c>
      <c r="BN10" s="5">
        <v>0.23742099999999999</v>
      </c>
      <c r="BO10" s="5">
        <v>1.3415099999999999E-2</v>
      </c>
      <c r="BP10" s="5">
        <v>0.296767</v>
      </c>
      <c r="BQ10" s="5">
        <v>0.90871500000000005</v>
      </c>
      <c r="BR10" s="5">
        <v>0.22720299999999999</v>
      </c>
      <c r="BS10" s="5">
        <v>8.3308700000000006E-3</v>
      </c>
      <c r="BT10" s="5">
        <v>0.28939399999999998</v>
      </c>
      <c r="BU10" s="5">
        <v>0.89827000000000001</v>
      </c>
      <c r="BV10" s="5">
        <v>0.271449</v>
      </c>
      <c r="BW10" s="5">
        <v>9.5454900000000002E-3</v>
      </c>
      <c r="BX10" s="5">
        <v>0.249255</v>
      </c>
      <c r="BY10" s="5">
        <v>9.90305E-3</v>
      </c>
      <c r="BZ10" s="5">
        <v>0.26217000000000001</v>
      </c>
      <c r="CA10" s="5">
        <v>1.38634E-2</v>
      </c>
      <c r="CB10" s="5">
        <v>0.27702599999999999</v>
      </c>
      <c r="CC10" s="5">
        <v>9.7400899999999999E-3</v>
      </c>
      <c r="CD10" s="5">
        <v>0.496083</v>
      </c>
      <c r="CE10" s="5">
        <v>5.1577000000000003E-3</v>
      </c>
      <c r="CF10" s="5">
        <v>0.256193</v>
      </c>
      <c r="CG10" s="5">
        <v>1.02136E-2</v>
      </c>
      <c r="CH10" s="5">
        <v>0.249863</v>
      </c>
      <c r="CI10" s="5">
        <v>8.3102999999999996E-3</v>
      </c>
      <c r="CJ10" s="5">
        <v>0.46318300000000001</v>
      </c>
      <c r="CK10" s="5">
        <v>7.8627599999999999E-3</v>
      </c>
      <c r="CL10" s="5">
        <v>0.26876299999999997</v>
      </c>
      <c r="CM10" s="5">
        <v>1.03515E-2</v>
      </c>
      <c r="CN10" s="5">
        <v>0.28034300000000001</v>
      </c>
      <c r="CO10" s="5">
        <v>1.00041E-2</v>
      </c>
      <c r="CP10" s="5">
        <v>0.26448100000000002</v>
      </c>
      <c r="CQ10" s="5">
        <v>1.0123500000000001E-2</v>
      </c>
      <c r="CR10" s="5">
        <v>0.281252</v>
      </c>
      <c r="CS10" s="5">
        <v>9.5073399999999995E-3</v>
      </c>
      <c r="CT10" s="5">
        <v>0.252554</v>
      </c>
      <c r="CU10" s="5">
        <v>8.1335599999999997E-3</v>
      </c>
      <c r="CV10" s="5">
        <v>0.249863</v>
      </c>
      <c r="CW10" s="5">
        <v>8.3102999999999996E-3</v>
      </c>
      <c r="CX10" s="5">
        <v>0.19259799999999999</v>
      </c>
      <c r="CY10" s="5">
        <v>2.79428E-2</v>
      </c>
      <c r="CZ10" s="5">
        <v>0.281337</v>
      </c>
      <c r="DA10" s="5">
        <v>9.6593200000000008E-3</v>
      </c>
      <c r="DB10" s="5">
        <v>0.30781799999999998</v>
      </c>
      <c r="DC10" s="5">
        <v>0.92212499999999997</v>
      </c>
      <c r="DD10" s="5">
        <v>0.32762599999999997</v>
      </c>
      <c r="DE10" s="5">
        <v>0.77318100000000001</v>
      </c>
      <c r="DF10" s="5">
        <v>0.59121900000000005</v>
      </c>
      <c r="DG10" s="5">
        <v>0.32375799999999999</v>
      </c>
      <c r="DH10" s="5">
        <v>0.28939300000000001</v>
      </c>
      <c r="DI10" s="5">
        <v>0.89826799999999996</v>
      </c>
      <c r="DJ10" s="5">
        <v>0.243866</v>
      </c>
      <c r="DK10" s="5">
        <v>0.97573600000000005</v>
      </c>
      <c r="DL10" s="5">
        <v>0.29996600000000001</v>
      </c>
      <c r="DM10" s="5">
        <v>0.91628200000000004</v>
      </c>
      <c r="DN10" s="5">
        <v>0.54238900000000001</v>
      </c>
      <c r="DO10" s="5">
        <v>0.47259099999999998</v>
      </c>
      <c r="DP10" s="5">
        <v>0.28939399999999998</v>
      </c>
      <c r="DQ10" s="5">
        <v>0.89826899999999998</v>
      </c>
      <c r="DR10" s="5">
        <v>0.289437</v>
      </c>
      <c r="DS10" s="5">
        <v>0.89797199999999999</v>
      </c>
      <c r="DT10" s="5">
        <v>0.28869699999999998</v>
      </c>
      <c r="DU10" s="5">
        <v>0.90273800000000004</v>
      </c>
      <c r="DV10" s="5">
        <v>0.25357800000000003</v>
      </c>
      <c r="DW10" s="5">
        <v>0.89361000000000002</v>
      </c>
      <c r="DX10" s="5">
        <v>0.42741200000000001</v>
      </c>
      <c r="DY10" s="5">
        <v>0.77899799999999997</v>
      </c>
      <c r="DZ10" s="5">
        <v>0.24943499999999999</v>
      </c>
      <c r="EA10" s="5">
        <v>0.79017300000000001</v>
      </c>
      <c r="EB10" s="5">
        <v>0.21151900000000001</v>
      </c>
      <c r="EC10" s="5">
        <v>3.6612100000000001</v>
      </c>
      <c r="ED10" s="5">
        <v>0.28767900000000002</v>
      </c>
      <c r="EE10" s="5">
        <v>0.73384700000000003</v>
      </c>
      <c r="EF10" s="5">
        <v>0.24079400000000001</v>
      </c>
      <c r="EG10" s="5">
        <v>0.70460999999999996</v>
      </c>
      <c r="EH10" s="5">
        <v>0.318444</v>
      </c>
      <c r="EI10" s="5">
        <v>1.2276400000000001</v>
      </c>
      <c r="EJ10" s="5">
        <v>0.35267799999999999</v>
      </c>
      <c r="EK10" s="5">
        <v>1.3450299999999999</v>
      </c>
      <c r="EL10" s="5">
        <v>0.35681600000000002</v>
      </c>
      <c r="EM10" s="5">
        <v>1.13479</v>
      </c>
      <c r="EN10" s="5">
        <v>0.252108</v>
      </c>
      <c r="EO10" s="5">
        <v>0.934832</v>
      </c>
      <c r="EP10" s="5">
        <v>0.31102099999999999</v>
      </c>
      <c r="EQ10" s="5">
        <v>0.93066300000000002</v>
      </c>
      <c r="ER10" s="5">
        <v>0.31265500000000002</v>
      </c>
      <c r="ES10" s="5">
        <v>0.92847800000000003</v>
      </c>
      <c r="ET10" s="5">
        <v>0.35747000000000001</v>
      </c>
      <c r="EU10" s="5">
        <v>0.87748700000000002</v>
      </c>
      <c r="EV10" s="5">
        <v>0.25958300000000001</v>
      </c>
      <c r="EW10" s="5">
        <v>0.79856099999999997</v>
      </c>
      <c r="EX10" s="5">
        <v>0.39805200000000002</v>
      </c>
      <c r="EY10" s="5">
        <v>0.82473300000000005</v>
      </c>
      <c r="EZ10" s="5">
        <v>0.22803499999999999</v>
      </c>
      <c r="FA10" s="5">
        <v>0.84710600000000003</v>
      </c>
      <c r="FB10" s="5">
        <v>0.26124999999999998</v>
      </c>
      <c r="FC10" s="5">
        <v>1.0555699999999999</v>
      </c>
      <c r="FD10" s="5">
        <v>0.268343</v>
      </c>
      <c r="FE10" s="5">
        <v>0.80448799999999998</v>
      </c>
      <c r="FF10" s="5">
        <v>0.26757900000000001</v>
      </c>
      <c r="FG10" s="5">
        <v>0.93373399999999995</v>
      </c>
      <c r="FH10" s="5">
        <v>0.28939500000000001</v>
      </c>
      <c r="FI10" s="5">
        <v>0.89827299999999999</v>
      </c>
      <c r="FJ10" s="5">
        <v>0.31612800000000002</v>
      </c>
      <c r="FK10" s="5">
        <v>0.99888999999999994</v>
      </c>
      <c r="FL10" s="5">
        <v>0.25113600000000003</v>
      </c>
      <c r="FM10" s="5">
        <v>0.76650600000000002</v>
      </c>
      <c r="FN10" s="5">
        <v>0.32629000000000002</v>
      </c>
      <c r="FO10" s="5">
        <v>1.41147</v>
      </c>
      <c r="FP10" s="5">
        <v>0.28966599999999998</v>
      </c>
      <c r="FQ10" s="5">
        <v>0.89761899999999994</v>
      </c>
      <c r="FR10" s="5">
        <v>0.29245399999999999</v>
      </c>
      <c r="FS10" s="5">
        <v>0.89857699999999996</v>
      </c>
      <c r="FT10" s="5">
        <v>0.29439700000000002</v>
      </c>
      <c r="FU10" s="5">
        <v>0.90154999999999996</v>
      </c>
      <c r="FV10" s="5">
        <v>0.54238900000000001</v>
      </c>
      <c r="FW10" s="5">
        <v>0.47259099999999998</v>
      </c>
      <c r="FX10" s="5">
        <v>0.26927400000000001</v>
      </c>
      <c r="FY10" s="5">
        <v>0.79313800000000001</v>
      </c>
      <c r="FZ10" s="5">
        <v>0.32678400000000002</v>
      </c>
      <c r="GA10" s="5">
        <v>1.03067</v>
      </c>
      <c r="GB10" s="5">
        <v>0.29812899999999998</v>
      </c>
      <c r="GC10" s="5">
        <v>0.92070200000000002</v>
      </c>
      <c r="GD10" s="5">
        <v>0.28940300000000002</v>
      </c>
      <c r="GE10" s="5">
        <v>0.89847200000000005</v>
      </c>
      <c r="GF10" s="5">
        <v>0.29107899999999998</v>
      </c>
      <c r="GG10" s="5">
        <v>0.88649699999999998</v>
      </c>
      <c r="GH10" s="5">
        <v>0.51295999999999997</v>
      </c>
      <c r="GI10" s="5">
        <v>0.49501699999999998</v>
      </c>
      <c r="GJ10" s="5">
        <v>0.31445499999999998</v>
      </c>
      <c r="GK10" s="5">
        <v>2.4983</v>
      </c>
      <c r="GL10" s="5">
        <v>0.27326699999999998</v>
      </c>
      <c r="GM10" s="5">
        <v>0.792991</v>
      </c>
    </row>
    <row r="11" spans="1:195" x14ac:dyDescent="0.6">
      <c r="A11" s="7">
        <v>9</v>
      </c>
      <c r="B11" s="7">
        <v>25020230</v>
      </c>
      <c r="C11" s="7">
        <v>2018</v>
      </c>
      <c r="D11" s="7">
        <v>81.099999999999994</v>
      </c>
      <c r="E11" s="7">
        <v>39</v>
      </c>
      <c r="F11" s="7">
        <v>105.801</v>
      </c>
      <c r="G11" s="7">
        <v>38.727499999999999</v>
      </c>
      <c r="H11" s="7">
        <v>-0.63780800000000004</v>
      </c>
      <c r="I11" s="7">
        <v>81.099999999999994</v>
      </c>
      <c r="J11" s="7">
        <v>25020230</v>
      </c>
      <c r="K11" s="7">
        <v>10</v>
      </c>
      <c r="L11" s="7">
        <v>0.27262799999999998</v>
      </c>
      <c r="M11" s="7">
        <v>1.03188E-2</v>
      </c>
      <c r="N11" s="7">
        <v>0.28100599999999998</v>
      </c>
      <c r="O11" s="7">
        <v>1.02816E-2</v>
      </c>
      <c r="P11" s="7">
        <v>0.27734500000000001</v>
      </c>
      <c r="Q11" s="7">
        <v>1.02156E-2</v>
      </c>
      <c r="R11" s="7">
        <v>0.25909199999999999</v>
      </c>
      <c r="S11" s="7">
        <v>8.4697699999999997E-3</v>
      </c>
      <c r="T11" s="7">
        <v>0.27578200000000003</v>
      </c>
      <c r="U11" s="7">
        <v>1.0633699999999999E-2</v>
      </c>
      <c r="V11" s="7">
        <v>0.27734500000000001</v>
      </c>
      <c r="W11" s="7">
        <v>1.02156E-2</v>
      </c>
      <c r="X11" s="7">
        <v>0.47176200000000001</v>
      </c>
      <c r="Y11" s="7">
        <v>7.7371000000000002E-3</v>
      </c>
      <c r="Z11" s="7">
        <v>0.26220300000000002</v>
      </c>
      <c r="AA11" s="7">
        <v>1.01485E-2</v>
      </c>
      <c r="AB11" s="7">
        <v>0.27733099999999999</v>
      </c>
      <c r="AC11" s="7">
        <v>1.0216899999999999E-2</v>
      </c>
      <c r="AD11" s="7">
        <v>0.27561400000000003</v>
      </c>
      <c r="AE11" s="7">
        <v>1.0259900000000001E-2</v>
      </c>
      <c r="AF11" s="7">
        <v>0.25941799999999998</v>
      </c>
      <c r="AG11" s="7">
        <v>1.0547300000000001E-2</v>
      </c>
      <c r="AH11" s="7">
        <v>0.27734500000000001</v>
      </c>
      <c r="AI11" s="7">
        <v>1.02156E-2</v>
      </c>
      <c r="AJ11" s="7">
        <v>0.47083599999999998</v>
      </c>
      <c r="AK11" s="7">
        <v>7.7833099999999999E-3</v>
      </c>
      <c r="AL11" s="7">
        <v>0.26732899999999998</v>
      </c>
      <c r="AM11" s="7">
        <v>1.0629100000000001E-2</v>
      </c>
      <c r="AN11" s="7">
        <v>8.4217899999999998E-2</v>
      </c>
      <c r="AO11" s="7">
        <v>3.46314E-2</v>
      </c>
      <c r="AP11" s="7">
        <v>0.30525600000000003</v>
      </c>
      <c r="AQ11" s="7">
        <v>7.7441300000000001E-3</v>
      </c>
      <c r="AR11" s="7">
        <v>0.21740399999999999</v>
      </c>
      <c r="AS11" s="7">
        <v>6.4364399999999999E-3</v>
      </c>
      <c r="AT11" s="7">
        <v>0.27638699999999999</v>
      </c>
      <c r="AU11" s="7">
        <v>1.1924499999999999E-2</v>
      </c>
      <c r="AV11" s="7">
        <v>0.30522199999999999</v>
      </c>
      <c r="AW11" s="7">
        <v>1.3873099999999999E-2</v>
      </c>
      <c r="AX11" s="7">
        <v>0.31700600000000001</v>
      </c>
      <c r="AY11" s="7">
        <v>1.1575200000000001E-2</v>
      </c>
      <c r="AZ11" s="7">
        <v>0.22134799999999999</v>
      </c>
      <c r="BA11" s="7">
        <v>8.3797899999999998E-3</v>
      </c>
      <c r="BB11" s="7">
        <v>0.273837</v>
      </c>
      <c r="BC11" s="7">
        <v>1.0304499999999999E-2</v>
      </c>
      <c r="BD11" s="7">
        <v>0.27738299999999999</v>
      </c>
      <c r="BE11" s="7">
        <v>1.03406E-2</v>
      </c>
      <c r="BF11" s="7">
        <v>0.2928</v>
      </c>
      <c r="BG11" s="7">
        <v>1.0991799999999999E-2</v>
      </c>
      <c r="BH11" s="7">
        <v>0.26100499999999999</v>
      </c>
      <c r="BI11" s="7">
        <v>8.4251800000000009E-3</v>
      </c>
      <c r="BJ11" s="7">
        <v>0.30918800000000002</v>
      </c>
      <c r="BK11" s="7">
        <v>1.0644799999999999E-2</v>
      </c>
      <c r="BL11" s="7">
        <v>0.20050100000000001</v>
      </c>
      <c r="BM11" s="7">
        <v>7.4174200000000001E-3</v>
      </c>
      <c r="BN11" s="7">
        <v>0.25264599999999998</v>
      </c>
      <c r="BO11" s="7">
        <v>1.4275299999999999E-2</v>
      </c>
      <c r="BP11" s="7">
        <v>0.30928499999999998</v>
      </c>
      <c r="BQ11" s="7">
        <v>0.92440599999999995</v>
      </c>
      <c r="BR11" s="7">
        <v>0.23649700000000001</v>
      </c>
      <c r="BS11" s="7">
        <v>8.5673699999999995E-3</v>
      </c>
      <c r="BT11" s="7">
        <v>0.30178100000000002</v>
      </c>
      <c r="BU11" s="7">
        <v>0.91574800000000001</v>
      </c>
      <c r="BV11" s="7">
        <v>0.28200999999999998</v>
      </c>
      <c r="BW11" s="7">
        <v>9.6546500000000007E-3</v>
      </c>
      <c r="BX11" s="7">
        <v>0.260266</v>
      </c>
      <c r="BY11" s="7">
        <v>1.0115799999999999E-2</v>
      </c>
      <c r="BZ11" s="7">
        <v>0.277476</v>
      </c>
      <c r="CA11" s="7">
        <v>1.39603E-2</v>
      </c>
      <c r="CB11" s="7">
        <v>0.28779199999999999</v>
      </c>
      <c r="CC11" s="7">
        <v>9.8326300000000002E-3</v>
      </c>
      <c r="CD11" s="7">
        <v>0.50173199999999996</v>
      </c>
      <c r="CE11" s="7">
        <v>5.1135499999999997E-3</v>
      </c>
      <c r="CF11" s="7">
        <v>0.26752399999999998</v>
      </c>
      <c r="CG11" s="7">
        <v>1.0385399999999999E-2</v>
      </c>
      <c r="CH11" s="7">
        <v>0.25909199999999999</v>
      </c>
      <c r="CI11" s="7">
        <v>8.4697699999999997E-3</v>
      </c>
      <c r="CJ11" s="7">
        <v>0.47176200000000001</v>
      </c>
      <c r="CK11" s="7">
        <v>7.7371000000000002E-3</v>
      </c>
      <c r="CL11" s="7">
        <v>0.28021600000000002</v>
      </c>
      <c r="CM11" s="7">
        <v>1.0470699999999999E-2</v>
      </c>
      <c r="CN11" s="7">
        <v>0.29138999999999998</v>
      </c>
      <c r="CO11" s="7">
        <v>1.00795E-2</v>
      </c>
      <c r="CP11" s="7">
        <v>0.27569199999999999</v>
      </c>
      <c r="CQ11" s="7">
        <v>1.0258700000000001E-2</v>
      </c>
      <c r="CR11" s="7">
        <v>0.29175600000000002</v>
      </c>
      <c r="CS11" s="7">
        <v>9.5881999999999998E-3</v>
      </c>
      <c r="CT11" s="7">
        <v>0.26158900000000002</v>
      </c>
      <c r="CU11" s="7">
        <v>8.2943200000000009E-3</v>
      </c>
      <c r="CV11" s="7">
        <v>0.25909199999999999</v>
      </c>
      <c r="CW11" s="7">
        <v>8.4697699999999997E-3</v>
      </c>
      <c r="CX11" s="7">
        <v>0.223109</v>
      </c>
      <c r="CY11" s="7">
        <v>2.7484499999999999E-2</v>
      </c>
      <c r="CZ11" s="7">
        <v>0.29200799999999999</v>
      </c>
      <c r="DA11" s="7">
        <v>9.7419099999999995E-3</v>
      </c>
      <c r="DB11" s="7">
        <v>0.32050800000000002</v>
      </c>
      <c r="DC11" s="7">
        <v>0.93618000000000001</v>
      </c>
      <c r="DD11" s="7">
        <v>0.33824599999999999</v>
      </c>
      <c r="DE11" s="7">
        <v>0.78193599999999996</v>
      </c>
      <c r="DF11" s="7">
        <v>0.59560599999999997</v>
      </c>
      <c r="DG11" s="7">
        <v>0.31888899999999998</v>
      </c>
      <c r="DH11" s="7">
        <v>0.30177999999999999</v>
      </c>
      <c r="DI11" s="7">
        <v>0.91574699999999998</v>
      </c>
      <c r="DJ11" s="7">
        <v>0.25744899999999998</v>
      </c>
      <c r="DK11" s="7">
        <v>1.0133099999999999</v>
      </c>
      <c r="DL11" s="7">
        <v>0.312587</v>
      </c>
      <c r="DM11" s="7">
        <v>0.93195300000000003</v>
      </c>
      <c r="DN11" s="7">
        <v>0.54879800000000001</v>
      </c>
      <c r="DO11" s="7">
        <v>0.465972</v>
      </c>
      <c r="DP11" s="7">
        <v>0.30178100000000002</v>
      </c>
      <c r="DQ11" s="7">
        <v>0.91574699999999998</v>
      </c>
      <c r="DR11" s="7">
        <v>0.30181999999999998</v>
      </c>
      <c r="DS11" s="7">
        <v>0.91538699999999995</v>
      </c>
      <c r="DT11" s="7">
        <v>0.301147</v>
      </c>
      <c r="DU11" s="7">
        <v>0.92036499999999999</v>
      </c>
      <c r="DV11" s="7">
        <v>0.26597399999999999</v>
      </c>
      <c r="DW11" s="7">
        <v>0.92172799999999999</v>
      </c>
      <c r="DX11" s="7">
        <v>0.43803799999999998</v>
      </c>
      <c r="DY11" s="7">
        <v>0.77717000000000003</v>
      </c>
      <c r="DZ11" s="7">
        <v>0.26041700000000001</v>
      </c>
      <c r="EA11" s="7">
        <v>0.81816900000000004</v>
      </c>
      <c r="EB11" s="7">
        <v>0.26049899999999998</v>
      </c>
      <c r="EC11" s="7">
        <v>3.5022700000000002</v>
      </c>
      <c r="ED11" s="7">
        <v>0.29780899999999999</v>
      </c>
      <c r="EE11" s="7">
        <v>0.749749</v>
      </c>
      <c r="EF11" s="7">
        <v>0.25057800000000002</v>
      </c>
      <c r="EG11" s="7">
        <v>0.72827699999999995</v>
      </c>
      <c r="EH11" s="7">
        <v>0.335258</v>
      </c>
      <c r="EI11" s="7">
        <v>1.2343500000000001</v>
      </c>
      <c r="EJ11" s="7">
        <v>0.37090899999999999</v>
      </c>
      <c r="EK11" s="7">
        <v>1.32477</v>
      </c>
      <c r="EL11" s="7">
        <v>0.37223499999999998</v>
      </c>
      <c r="EM11" s="7">
        <v>1.1232200000000001</v>
      </c>
      <c r="EN11" s="7">
        <v>0.265127</v>
      </c>
      <c r="EO11" s="7">
        <v>0.97177100000000005</v>
      </c>
      <c r="EP11" s="7">
        <v>0.32382499999999997</v>
      </c>
      <c r="EQ11" s="7">
        <v>0.94427499999999998</v>
      </c>
      <c r="ER11" s="7">
        <v>0.32542300000000002</v>
      </c>
      <c r="ES11" s="7">
        <v>0.94123299999999999</v>
      </c>
      <c r="ET11" s="7">
        <v>0.36945699999999998</v>
      </c>
      <c r="EU11" s="7">
        <v>0.877834</v>
      </c>
      <c r="EV11" s="7">
        <v>0.27065</v>
      </c>
      <c r="EW11" s="7">
        <v>0.82214200000000004</v>
      </c>
      <c r="EX11" s="7">
        <v>0.40929300000000002</v>
      </c>
      <c r="EY11" s="7">
        <v>0.82148900000000002</v>
      </c>
      <c r="EZ11" s="7">
        <v>0.239902</v>
      </c>
      <c r="FA11" s="7">
        <v>0.89118799999999998</v>
      </c>
      <c r="FB11" s="7">
        <v>0.27607100000000001</v>
      </c>
      <c r="FC11" s="7">
        <v>1.1154500000000001</v>
      </c>
      <c r="FD11" s="7">
        <v>0.279472</v>
      </c>
      <c r="FE11" s="7">
        <v>0.825326</v>
      </c>
      <c r="FF11" s="7">
        <v>0.28052100000000002</v>
      </c>
      <c r="FG11" s="7">
        <v>0.96159899999999998</v>
      </c>
      <c r="FH11" s="7">
        <v>0.30178199999999999</v>
      </c>
      <c r="FI11" s="7">
        <v>0.91575099999999998</v>
      </c>
      <c r="FJ11" s="7">
        <v>0.32983499999999999</v>
      </c>
      <c r="FK11" s="7">
        <v>1.00827</v>
      </c>
      <c r="FL11" s="7">
        <v>0.26178200000000001</v>
      </c>
      <c r="FM11" s="7">
        <v>0.79275799999999996</v>
      </c>
      <c r="FN11" s="7">
        <v>0.34554200000000002</v>
      </c>
      <c r="FO11" s="7">
        <v>1.4073199999999999</v>
      </c>
      <c r="FP11" s="7">
        <v>0.30204399999999998</v>
      </c>
      <c r="FQ11" s="7">
        <v>0.91501500000000002</v>
      </c>
      <c r="FR11" s="7">
        <v>0.304842</v>
      </c>
      <c r="FS11" s="7">
        <v>0.91550699999999996</v>
      </c>
      <c r="FT11" s="7">
        <v>0.30682300000000001</v>
      </c>
      <c r="FU11" s="7">
        <v>0.91820000000000002</v>
      </c>
      <c r="FV11" s="7">
        <v>0.54879800000000001</v>
      </c>
      <c r="FW11" s="7">
        <v>0.465972</v>
      </c>
      <c r="FX11" s="7">
        <v>0.28024300000000002</v>
      </c>
      <c r="FY11" s="7">
        <v>0.81320499999999996</v>
      </c>
      <c r="FZ11" s="7">
        <v>0.340895</v>
      </c>
      <c r="GA11" s="7">
        <v>1.03573</v>
      </c>
      <c r="GB11" s="7">
        <v>0.31080600000000003</v>
      </c>
      <c r="GC11" s="7">
        <v>0.935805</v>
      </c>
      <c r="GD11" s="7">
        <v>0.30179299999999998</v>
      </c>
      <c r="GE11" s="7">
        <v>0.91595700000000002</v>
      </c>
      <c r="GF11" s="7">
        <v>0.30330600000000002</v>
      </c>
      <c r="GG11" s="7">
        <v>0.90409899999999999</v>
      </c>
      <c r="GH11" s="7">
        <v>0.51968099999999995</v>
      </c>
      <c r="GI11" s="7">
        <v>0.48933900000000002</v>
      </c>
      <c r="GJ11" s="7">
        <v>0.34773799999999999</v>
      </c>
      <c r="GK11" s="7">
        <v>2.3755299999999999</v>
      </c>
      <c r="GL11" s="7">
        <v>0.28422900000000001</v>
      </c>
      <c r="GM11" s="7">
        <v>0.81241300000000005</v>
      </c>
    </row>
    <row r="12" spans="1:195" x14ac:dyDescent="0.6">
      <c r="A12" s="5">
        <v>10</v>
      </c>
      <c r="B12" s="5">
        <v>25020230</v>
      </c>
      <c r="C12" s="5">
        <v>2013</v>
      </c>
      <c r="D12" s="5">
        <v>82</v>
      </c>
      <c r="E12" s="5">
        <v>39</v>
      </c>
      <c r="F12" s="5">
        <v>105.801</v>
      </c>
      <c r="G12" s="5">
        <v>38.727499999999999</v>
      </c>
      <c r="H12" s="5">
        <v>-0.61456900000000003</v>
      </c>
      <c r="I12" s="5">
        <v>82</v>
      </c>
      <c r="J12" s="5">
        <v>25020230</v>
      </c>
      <c r="K12" s="5">
        <v>11</v>
      </c>
      <c r="L12" s="5">
        <v>0.28196700000000002</v>
      </c>
      <c r="M12" s="5">
        <v>1.0432200000000001E-2</v>
      </c>
      <c r="N12" s="5">
        <v>0.2903</v>
      </c>
      <c r="O12" s="5">
        <v>1.03702E-2</v>
      </c>
      <c r="P12" s="5">
        <v>0.28658299999999998</v>
      </c>
      <c r="Q12" s="5">
        <v>1.03129E-2</v>
      </c>
      <c r="R12" s="5">
        <v>0.26677299999999998</v>
      </c>
      <c r="S12" s="5">
        <v>8.5972099999999992E-3</v>
      </c>
      <c r="T12" s="5">
        <v>0.28545300000000001</v>
      </c>
      <c r="U12" s="5">
        <v>1.08553E-2</v>
      </c>
      <c r="V12" s="5">
        <v>0.28658299999999998</v>
      </c>
      <c r="W12" s="5">
        <v>1.03129E-2</v>
      </c>
      <c r="X12" s="5">
        <v>0.47867999999999999</v>
      </c>
      <c r="Y12" s="5">
        <v>7.6357700000000001E-3</v>
      </c>
      <c r="Z12" s="5">
        <v>0.27140500000000001</v>
      </c>
      <c r="AA12" s="5">
        <v>1.02983E-2</v>
      </c>
      <c r="AB12" s="5">
        <v>0.28656999999999999</v>
      </c>
      <c r="AC12" s="5">
        <v>1.0314200000000001E-2</v>
      </c>
      <c r="AD12" s="5">
        <v>0.28489500000000001</v>
      </c>
      <c r="AE12" s="5">
        <v>1.03626E-2</v>
      </c>
      <c r="AF12" s="5">
        <v>0.26899000000000001</v>
      </c>
      <c r="AG12" s="5">
        <v>1.07241E-2</v>
      </c>
      <c r="AH12" s="5">
        <v>0.28658299999999998</v>
      </c>
      <c r="AI12" s="5">
        <v>1.03129E-2</v>
      </c>
      <c r="AJ12" s="5">
        <v>0.477794</v>
      </c>
      <c r="AK12" s="5">
        <v>7.6809499999999998E-3</v>
      </c>
      <c r="AL12" s="5">
        <v>0.27695799999999998</v>
      </c>
      <c r="AM12" s="5">
        <v>1.07679E-2</v>
      </c>
      <c r="AN12" s="5">
        <v>0.11633400000000001</v>
      </c>
      <c r="AO12" s="5">
        <v>3.6495699999999999E-2</v>
      </c>
      <c r="AP12" s="5">
        <v>0.31223499999999998</v>
      </c>
      <c r="AQ12" s="5">
        <v>7.7629700000000001E-3</v>
      </c>
      <c r="AR12" s="5">
        <v>0.22326299999999999</v>
      </c>
      <c r="AS12" s="5">
        <v>6.58408E-3</v>
      </c>
      <c r="AT12" s="5">
        <v>0.28716399999999997</v>
      </c>
      <c r="AU12" s="5">
        <v>1.2020899999999999E-2</v>
      </c>
      <c r="AV12" s="5">
        <v>0.31765500000000002</v>
      </c>
      <c r="AW12" s="5">
        <v>1.3754600000000001E-2</v>
      </c>
      <c r="AX12" s="5">
        <v>0.32739400000000002</v>
      </c>
      <c r="AY12" s="5">
        <v>1.1507099999999999E-2</v>
      </c>
      <c r="AZ12" s="5">
        <v>0.22899700000000001</v>
      </c>
      <c r="BA12" s="5">
        <v>8.6186800000000001E-3</v>
      </c>
      <c r="BB12" s="5">
        <v>0.283161</v>
      </c>
      <c r="BC12" s="5">
        <v>1.04137E-2</v>
      </c>
      <c r="BD12" s="5">
        <v>0.28673399999999999</v>
      </c>
      <c r="BE12" s="5">
        <v>1.0437999999999999E-2</v>
      </c>
      <c r="BF12" s="5">
        <v>0.30272300000000002</v>
      </c>
      <c r="BG12" s="5">
        <v>1.10559E-2</v>
      </c>
      <c r="BH12" s="5">
        <v>0.26864399999999999</v>
      </c>
      <c r="BI12" s="5">
        <v>8.5496500000000007E-3</v>
      </c>
      <c r="BJ12" s="5">
        <v>0.31878099999999998</v>
      </c>
      <c r="BK12" s="5">
        <v>1.0670499999999999E-2</v>
      </c>
      <c r="BL12" s="5">
        <v>0.207289</v>
      </c>
      <c r="BM12" s="5">
        <v>7.6685399999999997E-3</v>
      </c>
      <c r="BN12" s="5">
        <v>0.26582600000000001</v>
      </c>
      <c r="BO12" s="5">
        <v>1.502E-2</v>
      </c>
      <c r="BP12" s="5">
        <v>0.319554</v>
      </c>
      <c r="BQ12" s="5">
        <v>0.93639099999999997</v>
      </c>
      <c r="BR12" s="5">
        <v>0.24429500000000001</v>
      </c>
      <c r="BS12" s="5">
        <v>8.7594500000000002E-3</v>
      </c>
      <c r="BT12" s="5">
        <v>0.31196299999999999</v>
      </c>
      <c r="BU12" s="5">
        <v>0.92924799999999996</v>
      </c>
      <c r="BV12" s="5">
        <v>0.29073700000000002</v>
      </c>
      <c r="BW12" s="5">
        <v>9.7381299999999994E-3</v>
      </c>
      <c r="BX12" s="5">
        <v>0.26944600000000002</v>
      </c>
      <c r="BY12" s="5">
        <v>1.02836E-2</v>
      </c>
      <c r="BZ12" s="5">
        <v>0.29006700000000002</v>
      </c>
      <c r="CA12" s="5">
        <v>1.4014799999999999E-2</v>
      </c>
      <c r="CB12" s="5">
        <v>0.29667300000000002</v>
      </c>
      <c r="CC12" s="5">
        <v>9.9023400000000008E-3</v>
      </c>
      <c r="CD12" s="5">
        <v>0.50631800000000005</v>
      </c>
      <c r="CE12" s="5">
        <v>5.07727E-3</v>
      </c>
      <c r="CF12" s="5">
        <v>0.27693000000000001</v>
      </c>
      <c r="CG12" s="5">
        <v>1.0517200000000001E-2</v>
      </c>
      <c r="CH12" s="5">
        <v>0.26677299999999998</v>
      </c>
      <c r="CI12" s="5">
        <v>8.5972099999999992E-3</v>
      </c>
      <c r="CJ12" s="5">
        <v>0.47867999999999999</v>
      </c>
      <c r="CK12" s="5">
        <v>7.6357700000000001E-3</v>
      </c>
      <c r="CL12" s="5">
        <v>0.28967999999999999</v>
      </c>
      <c r="CM12" s="5">
        <v>1.05597E-2</v>
      </c>
      <c r="CN12" s="5">
        <v>0.300487</v>
      </c>
      <c r="CO12" s="5">
        <v>1.0135E-2</v>
      </c>
      <c r="CP12" s="5">
        <v>0.284972</v>
      </c>
      <c r="CQ12" s="5">
        <v>1.0361199999999999E-2</v>
      </c>
      <c r="CR12" s="5">
        <v>0.30041299999999999</v>
      </c>
      <c r="CS12" s="5">
        <v>9.6493499999999992E-3</v>
      </c>
      <c r="CT12" s="5">
        <v>0.26911200000000002</v>
      </c>
      <c r="CU12" s="5">
        <v>8.4230899999999994E-3</v>
      </c>
      <c r="CV12" s="5">
        <v>0.26677299999999998</v>
      </c>
      <c r="CW12" s="5">
        <v>8.5972099999999992E-3</v>
      </c>
      <c r="CX12" s="5">
        <v>0.24760699999999999</v>
      </c>
      <c r="CY12" s="5">
        <v>2.6933700000000001E-2</v>
      </c>
      <c r="CZ12" s="5">
        <v>0.30080400000000002</v>
      </c>
      <c r="DA12" s="5">
        <v>9.8039500000000005E-3</v>
      </c>
      <c r="DB12" s="5">
        <v>0.330899</v>
      </c>
      <c r="DC12" s="5">
        <v>0.94678700000000005</v>
      </c>
      <c r="DD12" s="5">
        <v>0.346912</v>
      </c>
      <c r="DE12" s="5">
        <v>0.78858300000000003</v>
      </c>
      <c r="DF12" s="5">
        <v>0.599105</v>
      </c>
      <c r="DG12" s="5">
        <v>0.31504100000000002</v>
      </c>
      <c r="DH12" s="5">
        <v>0.31196200000000002</v>
      </c>
      <c r="DI12" s="5">
        <v>0.92924700000000005</v>
      </c>
      <c r="DJ12" s="5">
        <v>0.26879599999999998</v>
      </c>
      <c r="DK12" s="5">
        <v>1.0428500000000001</v>
      </c>
      <c r="DL12" s="5">
        <v>0.32293899999999998</v>
      </c>
      <c r="DM12" s="5">
        <v>0.94390799999999997</v>
      </c>
      <c r="DN12" s="5">
        <v>0.55391100000000004</v>
      </c>
      <c r="DO12" s="5">
        <v>0.46069100000000002</v>
      </c>
      <c r="DP12" s="5">
        <v>0.31196299999999999</v>
      </c>
      <c r="DQ12" s="5">
        <v>0.92924600000000002</v>
      </c>
      <c r="DR12" s="5">
        <v>0.311998</v>
      </c>
      <c r="DS12" s="5">
        <v>0.92883400000000005</v>
      </c>
      <c r="DT12" s="5">
        <v>0.31137999999999999</v>
      </c>
      <c r="DU12" s="5">
        <v>0.93397200000000002</v>
      </c>
      <c r="DV12" s="5">
        <v>0.27627000000000002</v>
      </c>
      <c r="DW12" s="5">
        <v>0.94397900000000001</v>
      </c>
      <c r="DX12" s="5">
        <v>0.446606</v>
      </c>
      <c r="DY12" s="5">
        <v>0.77537</v>
      </c>
      <c r="DZ12" s="5">
        <v>0.26957199999999998</v>
      </c>
      <c r="EA12" s="5">
        <v>0.84091899999999997</v>
      </c>
      <c r="EB12" s="5">
        <v>0.298288</v>
      </c>
      <c r="EC12" s="5">
        <v>3.3427600000000002</v>
      </c>
      <c r="ED12" s="5">
        <v>0.30615500000000001</v>
      </c>
      <c r="EE12" s="5">
        <v>0.76256199999999996</v>
      </c>
      <c r="EF12" s="5">
        <v>0.25872200000000001</v>
      </c>
      <c r="EG12" s="5">
        <v>0.74765099999999995</v>
      </c>
      <c r="EH12" s="5">
        <v>0.34890100000000002</v>
      </c>
      <c r="EI12" s="5">
        <v>1.23769</v>
      </c>
      <c r="EJ12" s="5">
        <v>0.38543699999999997</v>
      </c>
      <c r="EK12" s="5">
        <v>1.30789</v>
      </c>
      <c r="EL12" s="5">
        <v>0.38457799999999998</v>
      </c>
      <c r="EM12" s="5">
        <v>1.1135699999999999</v>
      </c>
      <c r="EN12" s="5">
        <v>0.27601599999999998</v>
      </c>
      <c r="EO12" s="5">
        <v>1.00142</v>
      </c>
      <c r="EP12" s="5">
        <v>0.33430300000000002</v>
      </c>
      <c r="EQ12" s="5">
        <v>0.95449700000000004</v>
      </c>
      <c r="ER12" s="5">
        <v>0.335864</v>
      </c>
      <c r="ES12" s="5">
        <v>0.95075500000000002</v>
      </c>
      <c r="ET12" s="5">
        <v>0.37914300000000001</v>
      </c>
      <c r="EU12" s="5">
        <v>0.87743499999999996</v>
      </c>
      <c r="EV12" s="5">
        <v>0.27982800000000002</v>
      </c>
      <c r="EW12" s="5">
        <v>0.841086</v>
      </c>
      <c r="EX12" s="5">
        <v>0.41834300000000002</v>
      </c>
      <c r="EY12" s="5">
        <v>0.81844499999999998</v>
      </c>
      <c r="EZ12" s="5">
        <v>0.249942</v>
      </c>
      <c r="FA12" s="5">
        <v>0.92848399999999998</v>
      </c>
      <c r="FB12" s="5">
        <v>0.28866000000000003</v>
      </c>
      <c r="FC12" s="5">
        <v>1.16632</v>
      </c>
      <c r="FD12" s="5">
        <v>0.28867199999999998</v>
      </c>
      <c r="FE12" s="5">
        <v>0.84194599999999997</v>
      </c>
      <c r="FF12" s="5">
        <v>0.29125499999999999</v>
      </c>
      <c r="FG12" s="5">
        <v>0.98349900000000001</v>
      </c>
      <c r="FH12" s="5">
        <v>0.31196400000000002</v>
      </c>
      <c r="FI12" s="5">
        <v>0.92925000000000002</v>
      </c>
      <c r="FJ12" s="5">
        <v>0.34100000000000003</v>
      </c>
      <c r="FK12" s="5">
        <v>1.01492</v>
      </c>
      <c r="FL12" s="5">
        <v>0.27064899999999997</v>
      </c>
      <c r="FM12" s="5">
        <v>0.81417399999999995</v>
      </c>
      <c r="FN12" s="5">
        <v>0.36104199999999997</v>
      </c>
      <c r="FO12" s="5">
        <v>1.40107</v>
      </c>
      <c r="FP12" s="5">
        <v>0.31221700000000002</v>
      </c>
      <c r="FQ12" s="5">
        <v>0.92844899999999997</v>
      </c>
      <c r="FR12" s="5">
        <v>0.31501800000000002</v>
      </c>
      <c r="FS12" s="5">
        <v>0.92855399999999999</v>
      </c>
      <c r="FT12" s="5">
        <v>0.31702799999999998</v>
      </c>
      <c r="FU12" s="5">
        <v>0.93100700000000003</v>
      </c>
      <c r="FV12" s="5">
        <v>0.55391100000000004</v>
      </c>
      <c r="FW12" s="5">
        <v>0.46069100000000002</v>
      </c>
      <c r="FX12" s="5">
        <v>0.28930600000000001</v>
      </c>
      <c r="FY12" s="5">
        <v>0.82922399999999996</v>
      </c>
      <c r="FZ12" s="5">
        <v>0.35234399999999999</v>
      </c>
      <c r="GA12" s="5">
        <v>1.03891</v>
      </c>
      <c r="GB12" s="5">
        <v>0.32119799999999998</v>
      </c>
      <c r="GC12" s="5">
        <v>0.94725999999999999</v>
      </c>
      <c r="GD12" s="5">
        <v>0.311977</v>
      </c>
      <c r="GE12" s="5">
        <v>0.92946099999999998</v>
      </c>
      <c r="GF12" s="5">
        <v>0.31336000000000003</v>
      </c>
      <c r="GG12" s="5">
        <v>0.91771499999999995</v>
      </c>
      <c r="GH12" s="5">
        <v>0.52505599999999997</v>
      </c>
      <c r="GI12" s="5">
        <v>0.48478599999999999</v>
      </c>
      <c r="GJ12" s="5">
        <v>0.37340099999999998</v>
      </c>
      <c r="GK12" s="5">
        <v>2.27515</v>
      </c>
      <c r="GL12" s="5">
        <v>0.29328100000000001</v>
      </c>
      <c r="GM12" s="5">
        <v>0.82791899999999996</v>
      </c>
    </row>
    <row r="13" spans="1:195" x14ac:dyDescent="0.6">
      <c r="A13" s="7">
        <v>11</v>
      </c>
      <c r="B13" s="7">
        <v>25020230</v>
      </c>
      <c r="C13" s="7">
        <v>1997</v>
      </c>
      <c r="D13" s="7">
        <v>85</v>
      </c>
      <c r="E13" s="7">
        <v>39</v>
      </c>
      <c r="F13" s="7">
        <v>105.801</v>
      </c>
      <c r="G13" s="7">
        <v>38.727499999999999</v>
      </c>
      <c r="H13" s="7">
        <v>-0.53710500000000005</v>
      </c>
      <c r="I13" s="7">
        <v>85</v>
      </c>
      <c r="J13" s="7">
        <v>25020230</v>
      </c>
      <c r="K13" s="7">
        <v>12</v>
      </c>
      <c r="L13" s="7">
        <v>0.31376900000000002</v>
      </c>
      <c r="M13" s="7">
        <v>1.07545E-2</v>
      </c>
      <c r="N13" s="7">
        <v>0.321795</v>
      </c>
      <c r="O13" s="7">
        <v>1.06126E-2</v>
      </c>
      <c r="P13" s="7">
        <v>0.31795000000000001</v>
      </c>
      <c r="Q13" s="7">
        <v>1.0585000000000001E-2</v>
      </c>
      <c r="R13" s="7">
        <v>0.29317700000000002</v>
      </c>
      <c r="S13" s="7">
        <v>8.9999499999999996E-3</v>
      </c>
      <c r="T13" s="7">
        <v>0.31902799999999998</v>
      </c>
      <c r="U13" s="7">
        <v>1.15006E-2</v>
      </c>
      <c r="V13" s="7">
        <v>0.31795000000000001</v>
      </c>
      <c r="W13" s="7">
        <v>1.0585000000000001E-2</v>
      </c>
      <c r="X13" s="7">
        <v>0.50109099999999995</v>
      </c>
      <c r="Y13" s="7">
        <v>7.3075099999999997E-3</v>
      </c>
      <c r="Z13" s="7">
        <v>0.30299100000000001</v>
      </c>
      <c r="AA13" s="7">
        <v>1.0745299999999999E-2</v>
      </c>
      <c r="AB13" s="7">
        <v>0.317942</v>
      </c>
      <c r="AC13" s="7">
        <v>1.05865E-2</v>
      </c>
      <c r="AD13" s="7">
        <v>0.316436</v>
      </c>
      <c r="AE13" s="7">
        <v>1.0651000000000001E-2</v>
      </c>
      <c r="AF13" s="7">
        <v>0.30197600000000002</v>
      </c>
      <c r="AG13" s="7">
        <v>1.12493E-2</v>
      </c>
      <c r="AH13" s="7">
        <v>0.31795000000000001</v>
      </c>
      <c r="AI13" s="7">
        <v>1.0585000000000001E-2</v>
      </c>
      <c r="AJ13" s="7">
        <v>0.500336</v>
      </c>
      <c r="AK13" s="7">
        <v>7.3493899999999999E-3</v>
      </c>
      <c r="AL13" s="7">
        <v>0.30988100000000002</v>
      </c>
      <c r="AM13" s="7">
        <v>1.11628E-2</v>
      </c>
      <c r="AN13" s="7">
        <v>0.226877</v>
      </c>
      <c r="AO13" s="7">
        <v>3.6033900000000001E-2</v>
      </c>
      <c r="AP13" s="7">
        <v>0.33561000000000002</v>
      </c>
      <c r="AQ13" s="7">
        <v>7.8188500000000005E-3</v>
      </c>
      <c r="AR13" s="7">
        <v>0.24376800000000001</v>
      </c>
      <c r="AS13" s="7">
        <v>7.0890600000000003E-3</v>
      </c>
      <c r="AT13" s="7">
        <v>0.323604</v>
      </c>
      <c r="AU13" s="7">
        <v>1.22492E-2</v>
      </c>
      <c r="AV13" s="7">
        <v>0.35829800000000001</v>
      </c>
      <c r="AW13" s="7">
        <v>1.33343E-2</v>
      </c>
      <c r="AX13" s="7">
        <v>0.36155900000000002</v>
      </c>
      <c r="AY13" s="7">
        <v>1.1266699999999999E-2</v>
      </c>
      <c r="AZ13" s="7">
        <v>0.25605800000000001</v>
      </c>
      <c r="BA13" s="7">
        <v>9.4229299999999995E-3</v>
      </c>
      <c r="BB13" s="7">
        <v>0.314886</v>
      </c>
      <c r="BC13" s="7">
        <v>1.07224E-2</v>
      </c>
      <c r="BD13" s="7">
        <v>0.31847300000000001</v>
      </c>
      <c r="BE13" s="7">
        <v>1.0707599999999999E-2</v>
      </c>
      <c r="BF13" s="7">
        <v>0.33613399999999999</v>
      </c>
      <c r="BG13" s="7">
        <v>1.12006E-2</v>
      </c>
      <c r="BH13" s="7">
        <v>0.29489100000000001</v>
      </c>
      <c r="BI13" s="7">
        <v>8.9427499999999993E-3</v>
      </c>
      <c r="BJ13" s="7">
        <v>0.35086200000000001</v>
      </c>
      <c r="BK13" s="7">
        <v>1.0703499999999999E-2</v>
      </c>
      <c r="BL13" s="7">
        <v>0.23161999999999999</v>
      </c>
      <c r="BM13" s="7">
        <v>8.5686500000000006E-3</v>
      </c>
      <c r="BN13" s="7">
        <v>0.31493100000000002</v>
      </c>
      <c r="BO13" s="7">
        <v>1.7794600000000001E-2</v>
      </c>
      <c r="BP13" s="7">
        <v>0.35383999999999999</v>
      </c>
      <c r="BQ13" s="7">
        <v>0.97078600000000004</v>
      </c>
      <c r="BR13" s="7">
        <v>0.27151799999999998</v>
      </c>
      <c r="BS13" s="7">
        <v>9.3848600000000001E-3</v>
      </c>
      <c r="BT13" s="7">
        <v>0.346086</v>
      </c>
      <c r="BU13" s="7">
        <v>0.96893499999999999</v>
      </c>
      <c r="BV13" s="7">
        <v>0.320326</v>
      </c>
      <c r="BW13" s="7">
        <v>9.9777700000000004E-3</v>
      </c>
      <c r="BX13" s="7">
        <v>0.30108499999999999</v>
      </c>
      <c r="BY13" s="7">
        <v>1.0796200000000001E-2</v>
      </c>
      <c r="BZ13" s="7">
        <v>0.33221600000000001</v>
      </c>
      <c r="CA13" s="7">
        <v>1.4048E-2</v>
      </c>
      <c r="CB13" s="7">
        <v>0.326685</v>
      </c>
      <c r="CC13" s="7">
        <v>1.00956E-2</v>
      </c>
      <c r="CD13" s="7">
        <v>0.52136700000000002</v>
      </c>
      <c r="CE13" s="7">
        <v>4.9554999999999998E-3</v>
      </c>
      <c r="CF13" s="7">
        <v>0.30907499999999999</v>
      </c>
      <c r="CG13" s="7">
        <v>1.0896899999999999E-2</v>
      </c>
      <c r="CH13" s="7">
        <v>0.29317700000000002</v>
      </c>
      <c r="CI13" s="7">
        <v>8.9999499999999996E-3</v>
      </c>
      <c r="CJ13" s="7">
        <v>0.50109099999999995</v>
      </c>
      <c r="CK13" s="7">
        <v>7.3075099999999997E-3</v>
      </c>
      <c r="CL13" s="7">
        <v>0.32174199999999997</v>
      </c>
      <c r="CM13" s="7">
        <v>1.0800499999999999E-2</v>
      </c>
      <c r="CN13" s="7">
        <v>0.331125</v>
      </c>
      <c r="CO13" s="7">
        <v>1.02804E-2</v>
      </c>
      <c r="CP13" s="7">
        <v>0.31650800000000001</v>
      </c>
      <c r="CQ13" s="7">
        <v>1.06491E-2</v>
      </c>
      <c r="CR13" s="7">
        <v>0.32962999999999998</v>
      </c>
      <c r="CS13" s="7">
        <v>9.8206100000000005E-3</v>
      </c>
      <c r="CT13" s="7">
        <v>0.29500300000000002</v>
      </c>
      <c r="CU13" s="7">
        <v>8.8317099999999996E-3</v>
      </c>
      <c r="CV13" s="7">
        <v>0.29317700000000002</v>
      </c>
      <c r="CW13" s="7">
        <v>8.9999499999999996E-3</v>
      </c>
      <c r="CX13" s="7">
        <v>0.32491599999999998</v>
      </c>
      <c r="CY13" s="7">
        <v>2.4503899999999999E-2</v>
      </c>
      <c r="CZ13" s="7">
        <v>0.330486</v>
      </c>
      <c r="DA13" s="7">
        <v>9.9747399999999993E-3</v>
      </c>
      <c r="DB13" s="7">
        <v>0.36547400000000002</v>
      </c>
      <c r="DC13" s="7">
        <v>0.97640899999999997</v>
      </c>
      <c r="DD13" s="7">
        <v>0.37559999999999999</v>
      </c>
      <c r="DE13" s="7">
        <v>0.80746099999999998</v>
      </c>
      <c r="DF13" s="7">
        <v>0.61020600000000003</v>
      </c>
      <c r="DG13" s="7">
        <v>0.30302200000000001</v>
      </c>
      <c r="DH13" s="7">
        <v>0.34608499999999998</v>
      </c>
      <c r="DI13" s="7">
        <v>0.96893399999999996</v>
      </c>
      <c r="DJ13" s="7">
        <v>0.30788399999999999</v>
      </c>
      <c r="DK13" s="7">
        <v>1.1299399999999999</v>
      </c>
      <c r="DL13" s="7">
        <v>0.35749199999999998</v>
      </c>
      <c r="DM13" s="7">
        <v>0.97811199999999998</v>
      </c>
      <c r="DN13" s="7">
        <v>0.57016100000000003</v>
      </c>
      <c r="DO13" s="7">
        <v>0.443909</v>
      </c>
      <c r="DP13" s="7">
        <v>0.346086</v>
      </c>
      <c r="DQ13" s="7">
        <v>0.96893399999999996</v>
      </c>
      <c r="DR13" s="7">
        <v>0.34610299999999999</v>
      </c>
      <c r="DS13" s="7">
        <v>0.96834600000000004</v>
      </c>
      <c r="DT13" s="7">
        <v>0.34567700000000001</v>
      </c>
      <c r="DU13" s="7">
        <v>0.97391700000000003</v>
      </c>
      <c r="DV13" s="7">
        <v>0.31143999999999999</v>
      </c>
      <c r="DW13" s="7">
        <v>1.01244</v>
      </c>
      <c r="DX13" s="7">
        <v>0.47433500000000001</v>
      </c>
      <c r="DY13" s="7">
        <v>0.76757900000000001</v>
      </c>
      <c r="DZ13" s="7">
        <v>0.30112100000000003</v>
      </c>
      <c r="EA13" s="7">
        <v>0.91503699999999999</v>
      </c>
      <c r="EB13" s="7">
        <v>0.40829599999999999</v>
      </c>
      <c r="EC13" s="7">
        <v>2.7804099999999998</v>
      </c>
      <c r="ED13" s="7">
        <v>0.33429900000000001</v>
      </c>
      <c r="EE13" s="7">
        <v>0.803817</v>
      </c>
      <c r="EF13" s="7">
        <v>0.28673700000000002</v>
      </c>
      <c r="EG13" s="7">
        <v>0.81196999999999997</v>
      </c>
      <c r="EH13" s="7">
        <v>0.39340599999999998</v>
      </c>
      <c r="EI13" s="7">
        <v>1.23645</v>
      </c>
      <c r="EJ13" s="7">
        <v>0.43140699999999998</v>
      </c>
      <c r="EK13" s="7">
        <v>1.25021</v>
      </c>
      <c r="EL13" s="7">
        <v>0.42400300000000002</v>
      </c>
      <c r="EM13" s="7">
        <v>1.0804499999999999</v>
      </c>
      <c r="EN13" s="7">
        <v>0.313695</v>
      </c>
      <c r="EO13" s="7">
        <v>1.09477</v>
      </c>
      <c r="EP13" s="7">
        <v>0.36913000000000001</v>
      </c>
      <c r="EQ13" s="7">
        <v>0.982707</v>
      </c>
      <c r="ER13" s="7">
        <v>0.37051600000000001</v>
      </c>
      <c r="ES13" s="7">
        <v>0.97668900000000003</v>
      </c>
      <c r="ET13" s="7">
        <v>0.41059400000000001</v>
      </c>
      <c r="EU13" s="7">
        <v>0.87214100000000006</v>
      </c>
      <c r="EV13" s="7">
        <v>0.31114199999999997</v>
      </c>
      <c r="EW13" s="7">
        <v>0.90152600000000005</v>
      </c>
      <c r="EX13" s="7">
        <v>0.44754100000000002</v>
      </c>
      <c r="EY13" s="7">
        <v>0.80611200000000005</v>
      </c>
      <c r="EZ13" s="7">
        <v>0.28563300000000003</v>
      </c>
      <c r="FA13" s="7">
        <v>1.06107</v>
      </c>
      <c r="FB13" s="7">
        <v>0.33376299999999998</v>
      </c>
      <c r="FC13" s="7">
        <v>1.3485499999999999</v>
      </c>
      <c r="FD13" s="7">
        <v>0.31987399999999999</v>
      </c>
      <c r="FE13" s="7">
        <v>0.89426300000000003</v>
      </c>
      <c r="FF13" s="7">
        <v>0.32781100000000002</v>
      </c>
      <c r="FG13" s="7">
        <v>1.0498499999999999</v>
      </c>
      <c r="FH13" s="7">
        <v>0.34608699999999998</v>
      </c>
      <c r="FI13" s="7">
        <v>0.96893700000000005</v>
      </c>
      <c r="FJ13" s="7">
        <v>0.37778</v>
      </c>
      <c r="FK13" s="7">
        <v>1.0308200000000001</v>
      </c>
      <c r="FL13" s="7">
        <v>0.30116799999999999</v>
      </c>
      <c r="FM13" s="7">
        <v>0.884602</v>
      </c>
      <c r="FN13" s="7">
        <v>0.410806</v>
      </c>
      <c r="FO13" s="7">
        <v>1.3652</v>
      </c>
      <c r="FP13" s="7">
        <v>0.346308</v>
      </c>
      <c r="FQ13" s="7">
        <v>0.96792900000000004</v>
      </c>
      <c r="FR13" s="7">
        <v>0.34909000000000001</v>
      </c>
      <c r="FS13" s="7">
        <v>0.96673100000000001</v>
      </c>
      <c r="FT13" s="7">
        <v>0.35117300000000001</v>
      </c>
      <c r="FU13" s="7">
        <v>0.96833400000000003</v>
      </c>
      <c r="FV13" s="7">
        <v>0.57016100000000003</v>
      </c>
      <c r="FW13" s="7">
        <v>0.443909</v>
      </c>
      <c r="FX13" s="7">
        <v>0.32001800000000002</v>
      </c>
      <c r="FY13" s="7">
        <v>0.87976500000000002</v>
      </c>
      <c r="FZ13" s="7">
        <v>0.38978600000000002</v>
      </c>
      <c r="GA13" s="7">
        <v>1.0437799999999999</v>
      </c>
      <c r="GB13" s="7">
        <v>0.35583900000000002</v>
      </c>
      <c r="GC13" s="7">
        <v>0.97962099999999996</v>
      </c>
      <c r="GD13" s="7">
        <v>0.34610800000000003</v>
      </c>
      <c r="GE13" s="7">
        <v>0.96916100000000005</v>
      </c>
      <c r="GF13" s="7">
        <v>0.347076</v>
      </c>
      <c r="GG13" s="7">
        <v>0.95785200000000004</v>
      </c>
      <c r="GH13" s="7">
        <v>0.54221200000000003</v>
      </c>
      <c r="GI13" s="7">
        <v>0.47017199999999998</v>
      </c>
      <c r="GJ13" s="7">
        <v>0.44941700000000001</v>
      </c>
      <c r="GK13" s="7">
        <v>1.96065</v>
      </c>
      <c r="GL13" s="7">
        <v>0.32391700000000001</v>
      </c>
      <c r="GM13" s="7">
        <v>0.87686699999999995</v>
      </c>
    </row>
    <row r="14" spans="1:195" x14ac:dyDescent="0.6">
      <c r="A14" s="5">
        <v>12</v>
      </c>
      <c r="B14" s="5">
        <v>25020230</v>
      </c>
      <c r="C14" s="5">
        <v>1989</v>
      </c>
      <c r="D14" s="5">
        <v>85</v>
      </c>
      <c r="E14" s="5">
        <v>39</v>
      </c>
      <c r="F14" s="5">
        <v>105.801</v>
      </c>
      <c r="G14" s="5">
        <v>38.727499999999999</v>
      </c>
      <c r="H14" s="5">
        <v>-0.53710500000000005</v>
      </c>
      <c r="I14" s="5">
        <v>85</v>
      </c>
      <c r="J14" s="5">
        <v>25020230</v>
      </c>
      <c r="K14" s="5">
        <v>13</v>
      </c>
      <c r="L14" s="5">
        <v>0.31376900000000002</v>
      </c>
      <c r="M14" s="5">
        <v>1.07545E-2</v>
      </c>
      <c r="N14" s="5">
        <v>0.321795</v>
      </c>
      <c r="O14" s="5">
        <v>1.06126E-2</v>
      </c>
      <c r="P14" s="5">
        <v>0.31795000000000001</v>
      </c>
      <c r="Q14" s="5">
        <v>1.0585000000000001E-2</v>
      </c>
      <c r="R14" s="5">
        <v>0.29317700000000002</v>
      </c>
      <c r="S14" s="5">
        <v>8.9999499999999996E-3</v>
      </c>
      <c r="T14" s="5">
        <v>0.31902799999999998</v>
      </c>
      <c r="U14" s="5">
        <v>1.15006E-2</v>
      </c>
      <c r="V14" s="5">
        <v>0.31795000000000001</v>
      </c>
      <c r="W14" s="5">
        <v>1.0585000000000001E-2</v>
      </c>
      <c r="X14" s="5">
        <v>0.50109099999999995</v>
      </c>
      <c r="Y14" s="5">
        <v>7.3075099999999997E-3</v>
      </c>
      <c r="Z14" s="5">
        <v>0.30299100000000001</v>
      </c>
      <c r="AA14" s="5">
        <v>1.0745299999999999E-2</v>
      </c>
      <c r="AB14" s="5">
        <v>0.317942</v>
      </c>
      <c r="AC14" s="5">
        <v>1.05865E-2</v>
      </c>
      <c r="AD14" s="5">
        <v>0.316436</v>
      </c>
      <c r="AE14" s="5">
        <v>1.0651000000000001E-2</v>
      </c>
      <c r="AF14" s="5">
        <v>0.30197600000000002</v>
      </c>
      <c r="AG14" s="5">
        <v>1.12493E-2</v>
      </c>
      <c r="AH14" s="5">
        <v>0.31795000000000001</v>
      </c>
      <c r="AI14" s="5">
        <v>1.0585000000000001E-2</v>
      </c>
      <c r="AJ14" s="5">
        <v>0.500336</v>
      </c>
      <c r="AK14" s="5">
        <v>7.3493899999999999E-3</v>
      </c>
      <c r="AL14" s="5">
        <v>0.30988100000000002</v>
      </c>
      <c r="AM14" s="5">
        <v>1.11628E-2</v>
      </c>
      <c r="AN14" s="5">
        <v>0.226877</v>
      </c>
      <c r="AO14" s="5">
        <v>3.6033900000000001E-2</v>
      </c>
      <c r="AP14" s="5">
        <v>0.33561000000000002</v>
      </c>
      <c r="AQ14" s="5">
        <v>7.8188500000000005E-3</v>
      </c>
      <c r="AR14" s="5">
        <v>0.24376800000000001</v>
      </c>
      <c r="AS14" s="5">
        <v>7.0890600000000003E-3</v>
      </c>
      <c r="AT14" s="5">
        <v>0.323604</v>
      </c>
      <c r="AU14" s="5">
        <v>1.22492E-2</v>
      </c>
      <c r="AV14" s="5">
        <v>0.35829800000000001</v>
      </c>
      <c r="AW14" s="5">
        <v>1.33343E-2</v>
      </c>
      <c r="AX14" s="5">
        <v>0.36155900000000002</v>
      </c>
      <c r="AY14" s="5">
        <v>1.1266699999999999E-2</v>
      </c>
      <c r="AZ14" s="5">
        <v>0.25605800000000001</v>
      </c>
      <c r="BA14" s="5">
        <v>9.4229299999999995E-3</v>
      </c>
      <c r="BB14" s="5">
        <v>0.314886</v>
      </c>
      <c r="BC14" s="5">
        <v>1.07224E-2</v>
      </c>
      <c r="BD14" s="5">
        <v>0.31847300000000001</v>
      </c>
      <c r="BE14" s="5">
        <v>1.0707599999999999E-2</v>
      </c>
      <c r="BF14" s="5">
        <v>0.33613399999999999</v>
      </c>
      <c r="BG14" s="5">
        <v>1.12006E-2</v>
      </c>
      <c r="BH14" s="5">
        <v>0.29489100000000001</v>
      </c>
      <c r="BI14" s="5">
        <v>8.9427499999999993E-3</v>
      </c>
      <c r="BJ14" s="5">
        <v>0.35086200000000001</v>
      </c>
      <c r="BK14" s="5">
        <v>1.0703499999999999E-2</v>
      </c>
      <c r="BL14" s="5">
        <v>0.23161999999999999</v>
      </c>
      <c r="BM14" s="5">
        <v>8.5686500000000006E-3</v>
      </c>
      <c r="BN14" s="5">
        <v>0.31493100000000002</v>
      </c>
      <c r="BO14" s="5">
        <v>1.7794600000000001E-2</v>
      </c>
      <c r="BP14" s="5">
        <v>0.35383999999999999</v>
      </c>
      <c r="BQ14" s="5">
        <v>0.97078600000000004</v>
      </c>
      <c r="BR14" s="5">
        <v>0.27151799999999998</v>
      </c>
      <c r="BS14" s="5">
        <v>9.3848600000000001E-3</v>
      </c>
      <c r="BT14" s="5">
        <v>0.346086</v>
      </c>
      <c r="BU14" s="5">
        <v>0.96893499999999999</v>
      </c>
      <c r="BV14" s="5">
        <v>0.320326</v>
      </c>
      <c r="BW14" s="5">
        <v>9.9777700000000004E-3</v>
      </c>
      <c r="BX14" s="5">
        <v>0.30108499999999999</v>
      </c>
      <c r="BY14" s="5">
        <v>1.0796200000000001E-2</v>
      </c>
      <c r="BZ14" s="5">
        <v>0.33221600000000001</v>
      </c>
      <c r="CA14" s="5">
        <v>1.4048E-2</v>
      </c>
      <c r="CB14" s="5">
        <v>0.326685</v>
      </c>
      <c r="CC14" s="5">
        <v>1.00956E-2</v>
      </c>
      <c r="CD14" s="5">
        <v>0.52136700000000002</v>
      </c>
      <c r="CE14" s="5">
        <v>4.9554999999999998E-3</v>
      </c>
      <c r="CF14" s="5">
        <v>0.30907499999999999</v>
      </c>
      <c r="CG14" s="5">
        <v>1.0896899999999999E-2</v>
      </c>
      <c r="CH14" s="5">
        <v>0.29317700000000002</v>
      </c>
      <c r="CI14" s="5">
        <v>8.9999499999999996E-3</v>
      </c>
      <c r="CJ14" s="5">
        <v>0.50109099999999995</v>
      </c>
      <c r="CK14" s="5">
        <v>7.3075099999999997E-3</v>
      </c>
      <c r="CL14" s="5">
        <v>0.32174199999999997</v>
      </c>
      <c r="CM14" s="5">
        <v>1.0800499999999999E-2</v>
      </c>
      <c r="CN14" s="5">
        <v>0.331125</v>
      </c>
      <c r="CO14" s="5">
        <v>1.02804E-2</v>
      </c>
      <c r="CP14" s="5">
        <v>0.31650800000000001</v>
      </c>
      <c r="CQ14" s="5">
        <v>1.06491E-2</v>
      </c>
      <c r="CR14" s="5">
        <v>0.32962999999999998</v>
      </c>
      <c r="CS14" s="5">
        <v>9.8206100000000005E-3</v>
      </c>
      <c r="CT14" s="5">
        <v>0.29500300000000002</v>
      </c>
      <c r="CU14" s="5">
        <v>8.8317099999999996E-3</v>
      </c>
      <c r="CV14" s="5">
        <v>0.29317700000000002</v>
      </c>
      <c r="CW14" s="5">
        <v>8.9999499999999996E-3</v>
      </c>
      <c r="CX14" s="5">
        <v>0.32491599999999998</v>
      </c>
      <c r="CY14" s="5">
        <v>2.4503899999999999E-2</v>
      </c>
      <c r="CZ14" s="5">
        <v>0.330486</v>
      </c>
      <c r="DA14" s="5">
        <v>9.9747399999999993E-3</v>
      </c>
      <c r="DB14" s="5">
        <v>0.36547400000000002</v>
      </c>
      <c r="DC14" s="5">
        <v>0.97640899999999997</v>
      </c>
      <c r="DD14" s="5">
        <v>0.37559999999999999</v>
      </c>
      <c r="DE14" s="5">
        <v>0.80746099999999998</v>
      </c>
      <c r="DF14" s="5">
        <v>0.61020600000000003</v>
      </c>
      <c r="DG14" s="5">
        <v>0.30302200000000001</v>
      </c>
      <c r="DH14" s="5">
        <v>0.34608499999999998</v>
      </c>
      <c r="DI14" s="5">
        <v>0.96893399999999996</v>
      </c>
      <c r="DJ14" s="5">
        <v>0.30788399999999999</v>
      </c>
      <c r="DK14" s="5">
        <v>1.1299399999999999</v>
      </c>
      <c r="DL14" s="5">
        <v>0.35749199999999998</v>
      </c>
      <c r="DM14" s="5">
        <v>0.97811199999999998</v>
      </c>
      <c r="DN14" s="5">
        <v>0.57016100000000003</v>
      </c>
      <c r="DO14" s="5">
        <v>0.443909</v>
      </c>
      <c r="DP14" s="5">
        <v>0.346086</v>
      </c>
      <c r="DQ14" s="5">
        <v>0.96893399999999996</v>
      </c>
      <c r="DR14" s="5">
        <v>0.34610299999999999</v>
      </c>
      <c r="DS14" s="5">
        <v>0.96834600000000004</v>
      </c>
      <c r="DT14" s="5">
        <v>0.34567700000000001</v>
      </c>
      <c r="DU14" s="5">
        <v>0.97391700000000003</v>
      </c>
      <c r="DV14" s="5">
        <v>0.31143999999999999</v>
      </c>
      <c r="DW14" s="5">
        <v>1.01244</v>
      </c>
      <c r="DX14" s="5">
        <v>0.47433500000000001</v>
      </c>
      <c r="DY14" s="5">
        <v>0.76757900000000001</v>
      </c>
      <c r="DZ14" s="5">
        <v>0.30112100000000003</v>
      </c>
      <c r="EA14" s="5">
        <v>0.91503699999999999</v>
      </c>
      <c r="EB14" s="5">
        <v>0.40829599999999999</v>
      </c>
      <c r="EC14" s="5">
        <v>2.7804099999999998</v>
      </c>
      <c r="ED14" s="5">
        <v>0.33429900000000001</v>
      </c>
      <c r="EE14" s="5">
        <v>0.803817</v>
      </c>
      <c r="EF14" s="5">
        <v>0.28673700000000002</v>
      </c>
      <c r="EG14" s="5">
        <v>0.81196999999999997</v>
      </c>
      <c r="EH14" s="5">
        <v>0.39340599999999998</v>
      </c>
      <c r="EI14" s="5">
        <v>1.23645</v>
      </c>
      <c r="EJ14" s="5">
        <v>0.43140699999999998</v>
      </c>
      <c r="EK14" s="5">
        <v>1.25021</v>
      </c>
      <c r="EL14" s="5">
        <v>0.42400300000000002</v>
      </c>
      <c r="EM14" s="5">
        <v>1.0804499999999999</v>
      </c>
      <c r="EN14" s="5">
        <v>0.313695</v>
      </c>
      <c r="EO14" s="5">
        <v>1.09477</v>
      </c>
      <c r="EP14" s="5">
        <v>0.36913000000000001</v>
      </c>
      <c r="EQ14" s="5">
        <v>0.982707</v>
      </c>
      <c r="ER14" s="5">
        <v>0.37051600000000001</v>
      </c>
      <c r="ES14" s="5">
        <v>0.97668900000000003</v>
      </c>
      <c r="ET14" s="5">
        <v>0.41059400000000001</v>
      </c>
      <c r="EU14" s="5">
        <v>0.87214100000000006</v>
      </c>
      <c r="EV14" s="5">
        <v>0.31114199999999997</v>
      </c>
      <c r="EW14" s="5">
        <v>0.90152600000000005</v>
      </c>
      <c r="EX14" s="5">
        <v>0.44754100000000002</v>
      </c>
      <c r="EY14" s="5">
        <v>0.80611200000000005</v>
      </c>
      <c r="EZ14" s="5">
        <v>0.28563300000000003</v>
      </c>
      <c r="FA14" s="5">
        <v>1.06107</v>
      </c>
      <c r="FB14" s="5">
        <v>0.33376299999999998</v>
      </c>
      <c r="FC14" s="5">
        <v>1.3485499999999999</v>
      </c>
      <c r="FD14" s="5">
        <v>0.31987399999999999</v>
      </c>
      <c r="FE14" s="5">
        <v>0.89426300000000003</v>
      </c>
      <c r="FF14" s="5">
        <v>0.32781100000000002</v>
      </c>
      <c r="FG14" s="5">
        <v>1.0498499999999999</v>
      </c>
      <c r="FH14" s="5">
        <v>0.34608699999999998</v>
      </c>
      <c r="FI14" s="5">
        <v>0.96893700000000005</v>
      </c>
      <c r="FJ14" s="5">
        <v>0.37778</v>
      </c>
      <c r="FK14" s="5">
        <v>1.0308200000000001</v>
      </c>
      <c r="FL14" s="5">
        <v>0.30116799999999999</v>
      </c>
      <c r="FM14" s="5">
        <v>0.884602</v>
      </c>
      <c r="FN14" s="5">
        <v>0.410806</v>
      </c>
      <c r="FO14" s="5">
        <v>1.3652</v>
      </c>
      <c r="FP14" s="5">
        <v>0.346308</v>
      </c>
      <c r="FQ14" s="5">
        <v>0.96792900000000004</v>
      </c>
      <c r="FR14" s="5">
        <v>0.34909000000000001</v>
      </c>
      <c r="FS14" s="5">
        <v>0.96673100000000001</v>
      </c>
      <c r="FT14" s="5">
        <v>0.35117300000000001</v>
      </c>
      <c r="FU14" s="5">
        <v>0.96833400000000003</v>
      </c>
      <c r="FV14" s="5">
        <v>0.57016100000000003</v>
      </c>
      <c r="FW14" s="5">
        <v>0.443909</v>
      </c>
      <c r="FX14" s="5">
        <v>0.32001800000000002</v>
      </c>
      <c r="FY14" s="5">
        <v>0.87976500000000002</v>
      </c>
      <c r="FZ14" s="5">
        <v>0.38978600000000002</v>
      </c>
      <c r="GA14" s="5">
        <v>1.0437799999999999</v>
      </c>
      <c r="GB14" s="5">
        <v>0.35583900000000002</v>
      </c>
      <c r="GC14" s="5">
        <v>0.97962099999999996</v>
      </c>
      <c r="GD14" s="5">
        <v>0.34610800000000003</v>
      </c>
      <c r="GE14" s="5">
        <v>0.96916100000000005</v>
      </c>
      <c r="GF14" s="5">
        <v>0.347076</v>
      </c>
      <c r="GG14" s="5">
        <v>0.95785200000000004</v>
      </c>
      <c r="GH14" s="5">
        <v>0.54221200000000003</v>
      </c>
      <c r="GI14" s="5">
        <v>0.47017199999999998</v>
      </c>
      <c r="GJ14" s="5">
        <v>0.44941700000000001</v>
      </c>
      <c r="GK14" s="5">
        <v>1.96065</v>
      </c>
      <c r="GL14" s="5">
        <v>0.32391700000000001</v>
      </c>
      <c r="GM14" s="5">
        <v>0.87686699999999995</v>
      </c>
    </row>
    <row r="15" spans="1:195" x14ac:dyDescent="0.6">
      <c r="A15" s="7">
        <v>13</v>
      </c>
      <c r="B15" s="7">
        <v>25020230</v>
      </c>
      <c r="C15" s="7">
        <v>1990</v>
      </c>
      <c r="D15" s="7">
        <v>89</v>
      </c>
      <c r="E15" s="7">
        <v>39</v>
      </c>
      <c r="F15" s="7">
        <v>105.801</v>
      </c>
      <c r="G15" s="7">
        <v>38.727499999999999</v>
      </c>
      <c r="H15" s="7">
        <v>-0.43381900000000001</v>
      </c>
      <c r="I15" s="7">
        <v>89</v>
      </c>
      <c r="J15" s="7">
        <v>25020230</v>
      </c>
      <c r="K15" s="7">
        <v>14</v>
      </c>
      <c r="L15" s="7">
        <v>0.35742299999999999</v>
      </c>
      <c r="M15" s="7">
        <v>1.10463E-2</v>
      </c>
      <c r="N15" s="7">
        <v>0.36468699999999998</v>
      </c>
      <c r="O15" s="7">
        <v>1.08098E-2</v>
      </c>
      <c r="P15" s="7">
        <v>0.36081299999999999</v>
      </c>
      <c r="Q15" s="7">
        <v>1.0822200000000001E-2</v>
      </c>
      <c r="R15" s="7">
        <v>0.33015299999999997</v>
      </c>
      <c r="S15" s="7">
        <v>9.4752199999999995E-3</v>
      </c>
      <c r="T15" s="7">
        <v>0.36619699999999999</v>
      </c>
      <c r="U15" s="7">
        <v>1.1992900000000001E-2</v>
      </c>
      <c r="V15" s="7">
        <v>0.36081299999999999</v>
      </c>
      <c r="W15" s="7">
        <v>1.0822200000000001E-2</v>
      </c>
      <c r="X15" s="7">
        <v>0.52948200000000001</v>
      </c>
      <c r="Y15" s="7">
        <v>6.8916799999999999E-3</v>
      </c>
      <c r="Z15" s="7">
        <v>0.346943</v>
      </c>
      <c r="AA15" s="7">
        <v>1.12032E-2</v>
      </c>
      <c r="AB15" s="7">
        <v>0.36081000000000002</v>
      </c>
      <c r="AC15" s="7">
        <v>1.0823899999999999E-2</v>
      </c>
      <c r="AD15" s="7">
        <v>0.35959799999999997</v>
      </c>
      <c r="AE15" s="7">
        <v>1.09049E-2</v>
      </c>
      <c r="AF15" s="7">
        <v>0.34809400000000001</v>
      </c>
      <c r="AG15" s="7">
        <v>1.17736E-2</v>
      </c>
      <c r="AH15" s="7">
        <v>0.36081299999999999</v>
      </c>
      <c r="AI15" s="7">
        <v>1.0822200000000001E-2</v>
      </c>
      <c r="AJ15" s="7">
        <v>0.52888599999999997</v>
      </c>
      <c r="AK15" s="7">
        <v>6.9294700000000001E-3</v>
      </c>
      <c r="AL15" s="7">
        <v>0.35530800000000001</v>
      </c>
      <c r="AM15" s="7">
        <v>1.15178E-2</v>
      </c>
      <c r="AN15" s="7">
        <v>0.36007699999999998</v>
      </c>
      <c r="AO15" s="7">
        <v>3.0265199999999999E-2</v>
      </c>
      <c r="AP15" s="7">
        <v>0.367006</v>
      </c>
      <c r="AQ15" s="7">
        <v>7.8758000000000005E-3</v>
      </c>
      <c r="AR15" s="7">
        <v>0.27351399999999998</v>
      </c>
      <c r="AS15" s="7">
        <v>7.7883099999999997E-3</v>
      </c>
      <c r="AT15" s="7">
        <v>0.372863</v>
      </c>
      <c r="AU15" s="7">
        <v>1.2341299999999999E-2</v>
      </c>
      <c r="AV15" s="7">
        <v>0.41042699999999999</v>
      </c>
      <c r="AW15" s="7">
        <v>1.27213E-2</v>
      </c>
      <c r="AX15" s="7">
        <v>0.40593600000000002</v>
      </c>
      <c r="AY15" s="7">
        <v>1.0916E-2</v>
      </c>
      <c r="AZ15" s="7">
        <v>0.29587999999999998</v>
      </c>
      <c r="BA15" s="7">
        <v>1.04812E-2</v>
      </c>
      <c r="BB15" s="7">
        <v>0.35837999999999998</v>
      </c>
      <c r="BC15" s="7">
        <v>1.09984E-2</v>
      </c>
      <c r="BD15" s="7">
        <v>0.36180699999999999</v>
      </c>
      <c r="BE15" s="7">
        <v>1.09338E-2</v>
      </c>
      <c r="BF15" s="7">
        <v>0.38106499999999999</v>
      </c>
      <c r="BG15" s="7">
        <v>1.1236599999999999E-2</v>
      </c>
      <c r="BH15" s="7">
        <v>0.33161400000000002</v>
      </c>
      <c r="BI15" s="7">
        <v>9.4062399999999997E-3</v>
      </c>
      <c r="BJ15" s="7">
        <v>0.39357500000000001</v>
      </c>
      <c r="BK15" s="7">
        <v>1.0632300000000001E-2</v>
      </c>
      <c r="BL15" s="7">
        <v>0.26856000000000002</v>
      </c>
      <c r="BM15" s="7">
        <v>9.9352399999999997E-3</v>
      </c>
      <c r="BN15" s="7">
        <v>0.38253599999999999</v>
      </c>
      <c r="BO15" s="7">
        <v>1.6038500000000001E-2</v>
      </c>
      <c r="BP15" s="7">
        <v>0.39928599999999997</v>
      </c>
      <c r="BQ15" s="7">
        <v>1.0035499999999999</v>
      </c>
      <c r="BR15" s="7">
        <v>0.31063600000000002</v>
      </c>
      <c r="BS15" s="7">
        <v>1.01604E-2</v>
      </c>
      <c r="BT15" s="7">
        <v>0.39161299999999999</v>
      </c>
      <c r="BU15" s="7">
        <v>1.00901</v>
      </c>
      <c r="BV15" s="7">
        <v>0.36072399999999999</v>
      </c>
      <c r="BW15" s="7">
        <v>1.0203500000000001E-2</v>
      </c>
      <c r="BX15" s="7">
        <v>0.34542600000000001</v>
      </c>
      <c r="BY15" s="7">
        <v>1.13466E-2</v>
      </c>
      <c r="BZ15" s="7">
        <v>0.38799099999999997</v>
      </c>
      <c r="CA15" s="7">
        <v>1.3787499999999999E-2</v>
      </c>
      <c r="CB15" s="7">
        <v>0.36743100000000001</v>
      </c>
      <c r="CC15" s="7">
        <v>1.026E-2</v>
      </c>
      <c r="CD15" s="7">
        <v>0.54086299999999998</v>
      </c>
      <c r="CE15" s="7">
        <v>4.7919E-3</v>
      </c>
      <c r="CF15" s="7">
        <v>0.353433</v>
      </c>
      <c r="CG15" s="7">
        <v>1.12532E-2</v>
      </c>
      <c r="CH15" s="7">
        <v>0.33015299999999997</v>
      </c>
      <c r="CI15" s="7">
        <v>9.4752199999999995E-3</v>
      </c>
      <c r="CJ15" s="7">
        <v>0.52948200000000001</v>
      </c>
      <c r="CK15" s="7">
        <v>6.8916799999999999E-3</v>
      </c>
      <c r="CL15" s="7">
        <v>0.365371</v>
      </c>
      <c r="CM15" s="7">
        <v>1.0988700000000001E-2</v>
      </c>
      <c r="CN15" s="7">
        <v>0.37248500000000001</v>
      </c>
      <c r="CO15" s="7">
        <v>1.0382000000000001E-2</v>
      </c>
      <c r="CP15" s="7">
        <v>0.35966100000000001</v>
      </c>
      <c r="CQ15" s="7">
        <v>1.0902500000000001E-2</v>
      </c>
      <c r="CR15" s="7">
        <v>0.36924299999999999</v>
      </c>
      <c r="CS15" s="7">
        <v>9.9710600000000003E-3</v>
      </c>
      <c r="CT15" s="7">
        <v>0.33132600000000001</v>
      </c>
      <c r="CU15" s="7">
        <v>9.31739E-3</v>
      </c>
      <c r="CV15" s="7">
        <v>0.33015299999999997</v>
      </c>
      <c r="CW15" s="7">
        <v>9.4752199999999995E-3</v>
      </c>
      <c r="CX15" s="7">
        <v>0.41575800000000002</v>
      </c>
      <c r="CY15" s="7">
        <v>2.0932800000000001E-2</v>
      </c>
      <c r="CZ15" s="7">
        <v>0.37070199999999998</v>
      </c>
      <c r="DA15" s="7">
        <v>1.0116999999999999E-2</v>
      </c>
      <c r="DB15" s="7">
        <v>0.41102899999999998</v>
      </c>
      <c r="DC15" s="7">
        <v>1.0026299999999999</v>
      </c>
      <c r="DD15" s="7">
        <v>0.41316599999999998</v>
      </c>
      <c r="DE15" s="7">
        <v>0.825129</v>
      </c>
      <c r="DF15" s="7">
        <v>0.623807</v>
      </c>
      <c r="DG15" s="7">
        <v>0.288684</v>
      </c>
      <c r="DH15" s="7">
        <v>0.39161200000000002</v>
      </c>
      <c r="DI15" s="7">
        <v>1.00901</v>
      </c>
      <c r="DJ15" s="7">
        <v>0.36172900000000002</v>
      </c>
      <c r="DK15" s="7">
        <v>1.20153</v>
      </c>
      <c r="DL15" s="7">
        <v>0.40326499999999998</v>
      </c>
      <c r="DM15" s="7">
        <v>1.01041</v>
      </c>
      <c r="DN15" s="7">
        <v>0.59009699999999998</v>
      </c>
      <c r="DO15" s="7">
        <v>0.423321</v>
      </c>
      <c r="DP15" s="7">
        <v>0.39161299999999999</v>
      </c>
      <c r="DQ15" s="7">
        <v>1.00901</v>
      </c>
      <c r="DR15" s="7">
        <v>0.39159699999999997</v>
      </c>
      <c r="DS15" s="7">
        <v>1.0082</v>
      </c>
      <c r="DT15" s="7">
        <v>0.39143699999999998</v>
      </c>
      <c r="DU15" s="7">
        <v>1.0141100000000001</v>
      </c>
      <c r="DV15" s="7">
        <v>0.35978599999999999</v>
      </c>
      <c r="DW15" s="7">
        <v>1.08748</v>
      </c>
      <c r="DX15" s="7">
        <v>0.50932699999999997</v>
      </c>
      <c r="DY15" s="7">
        <v>0.75356100000000004</v>
      </c>
      <c r="DZ15" s="7">
        <v>0.345335</v>
      </c>
      <c r="EA15" s="7">
        <v>1.00701</v>
      </c>
      <c r="EB15" s="7">
        <v>0.52100100000000005</v>
      </c>
      <c r="EC15" s="7">
        <v>2.1457899999999999</v>
      </c>
      <c r="ED15" s="7">
        <v>0.372444</v>
      </c>
      <c r="EE15" s="7">
        <v>0.85472999999999999</v>
      </c>
      <c r="EF15" s="7">
        <v>0.32600099999999999</v>
      </c>
      <c r="EG15" s="7">
        <v>0.89584200000000003</v>
      </c>
      <c r="EH15" s="7">
        <v>0.449768</v>
      </c>
      <c r="EI15" s="7">
        <v>1.21072</v>
      </c>
      <c r="EJ15" s="7">
        <v>0.48710799999999999</v>
      </c>
      <c r="EK15" s="7">
        <v>1.1716200000000001</v>
      </c>
      <c r="EL15" s="7">
        <v>0.47264699999999998</v>
      </c>
      <c r="EM15" s="7">
        <v>1.0345899999999999</v>
      </c>
      <c r="EN15" s="7">
        <v>0.366533</v>
      </c>
      <c r="EO15" s="7">
        <v>1.1996100000000001</v>
      </c>
      <c r="EP15" s="7">
        <v>0.41492800000000002</v>
      </c>
      <c r="EQ15" s="7">
        <v>1.00685</v>
      </c>
      <c r="ER15" s="7">
        <v>0.41597200000000001</v>
      </c>
      <c r="ES15" s="7">
        <v>0.99804700000000002</v>
      </c>
      <c r="ET15" s="7">
        <v>0.45039000000000001</v>
      </c>
      <c r="EU15" s="7">
        <v>0.85724999999999996</v>
      </c>
      <c r="EV15" s="7">
        <v>0.354294</v>
      </c>
      <c r="EW15" s="7">
        <v>0.97411499999999995</v>
      </c>
      <c r="EX15" s="7">
        <v>0.48415599999999998</v>
      </c>
      <c r="EY15" s="7">
        <v>0.78557200000000005</v>
      </c>
      <c r="EZ15" s="7">
        <v>0.33884199999999998</v>
      </c>
      <c r="FA15" s="7">
        <v>1.2587299999999999</v>
      </c>
      <c r="FB15" s="7">
        <v>0.40191100000000002</v>
      </c>
      <c r="FC15" s="7">
        <v>1.6238999999999999</v>
      </c>
      <c r="FD15" s="7">
        <v>0.36243700000000001</v>
      </c>
      <c r="FE15" s="7">
        <v>0.955654</v>
      </c>
      <c r="FF15" s="7">
        <v>0.377774</v>
      </c>
      <c r="FG15" s="7">
        <v>1.1199300000000001</v>
      </c>
      <c r="FH15" s="7">
        <v>0.39161400000000002</v>
      </c>
      <c r="FI15" s="7">
        <v>1.00901</v>
      </c>
      <c r="FJ15" s="7">
        <v>0.42541099999999998</v>
      </c>
      <c r="FK15" s="7">
        <v>1.03844</v>
      </c>
      <c r="FL15" s="7">
        <v>0.343912</v>
      </c>
      <c r="FM15" s="7">
        <v>0.97399500000000006</v>
      </c>
      <c r="FN15" s="7">
        <v>0.47201199999999999</v>
      </c>
      <c r="FO15" s="7">
        <v>1.2927</v>
      </c>
      <c r="FP15" s="7">
        <v>0.39178299999999999</v>
      </c>
      <c r="FQ15" s="7">
        <v>1.00776</v>
      </c>
      <c r="FR15" s="7">
        <v>0.39447100000000002</v>
      </c>
      <c r="FS15" s="7">
        <v>1.0048600000000001</v>
      </c>
      <c r="FT15" s="7">
        <v>0.39660000000000001</v>
      </c>
      <c r="FU15" s="7">
        <v>1.00525</v>
      </c>
      <c r="FV15" s="7">
        <v>0.59009699999999998</v>
      </c>
      <c r="FW15" s="7">
        <v>0.423321</v>
      </c>
      <c r="FX15" s="7">
        <v>0.36187200000000003</v>
      </c>
      <c r="FY15" s="7">
        <v>0.93945400000000001</v>
      </c>
      <c r="FZ15" s="7">
        <v>0.43770900000000001</v>
      </c>
      <c r="GA15" s="7">
        <v>1.0383899999999999</v>
      </c>
      <c r="GB15" s="7">
        <v>0.40162100000000001</v>
      </c>
      <c r="GC15" s="7">
        <v>1.0092099999999999</v>
      </c>
      <c r="GD15" s="7">
        <v>0.39164599999999999</v>
      </c>
      <c r="GE15" s="7">
        <v>1.00925</v>
      </c>
      <c r="GF15" s="7">
        <v>0.39210800000000001</v>
      </c>
      <c r="GG15" s="7">
        <v>0.99856199999999995</v>
      </c>
      <c r="GH15" s="7">
        <v>0.56341200000000002</v>
      </c>
      <c r="GI15" s="7">
        <v>0.45194000000000001</v>
      </c>
      <c r="GJ15" s="7">
        <v>0.53129899999999997</v>
      </c>
      <c r="GK15" s="7">
        <v>1.61181</v>
      </c>
      <c r="GL15" s="7">
        <v>0.365595</v>
      </c>
      <c r="GM15" s="7">
        <v>0.93475299999999995</v>
      </c>
    </row>
    <row r="16" spans="1:195" x14ac:dyDescent="0.6">
      <c r="A16" s="5">
        <v>14</v>
      </c>
      <c r="B16" s="5">
        <v>25020230</v>
      </c>
      <c r="C16" s="5">
        <v>1993</v>
      </c>
      <c r="D16" s="5">
        <v>90</v>
      </c>
      <c r="E16" s="5">
        <v>39</v>
      </c>
      <c r="F16" s="5">
        <v>105.801</v>
      </c>
      <c r="G16" s="5">
        <v>38.727499999999999</v>
      </c>
      <c r="H16" s="5">
        <v>-0.407997</v>
      </c>
      <c r="I16" s="5">
        <v>90</v>
      </c>
      <c r="J16" s="5">
        <v>25020230</v>
      </c>
      <c r="K16" s="5">
        <v>15</v>
      </c>
      <c r="L16" s="5">
        <v>0.36849500000000002</v>
      </c>
      <c r="M16" s="5">
        <v>1.1094400000000001E-2</v>
      </c>
      <c r="N16" s="5">
        <v>0.37551200000000001</v>
      </c>
      <c r="O16" s="5">
        <v>1.0836999999999999E-2</v>
      </c>
      <c r="P16" s="5">
        <v>0.37165399999999998</v>
      </c>
      <c r="Q16" s="5">
        <v>1.0859199999999999E-2</v>
      </c>
      <c r="R16" s="5">
        <v>0.33968199999999998</v>
      </c>
      <c r="S16" s="5">
        <v>9.5814999999999997E-3</v>
      </c>
      <c r="T16" s="5">
        <v>0.37820599999999999</v>
      </c>
      <c r="U16" s="5">
        <v>1.2015899999999999E-2</v>
      </c>
      <c r="V16" s="5">
        <v>0.37165399999999998</v>
      </c>
      <c r="W16" s="5">
        <v>1.0859199999999999E-2</v>
      </c>
      <c r="X16" s="5">
        <v>0.53632299999999999</v>
      </c>
      <c r="Y16" s="5">
        <v>6.79147E-3</v>
      </c>
      <c r="Z16" s="5">
        <v>0.35819099999999998</v>
      </c>
      <c r="AA16" s="5">
        <v>1.12912E-2</v>
      </c>
      <c r="AB16" s="5">
        <v>0.37165300000000001</v>
      </c>
      <c r="AC16" s="5">
        <v>1.08609E-2</v>
      </c>
      <c r="AD16" s="5">
        <v>0.37052299999999999</v>
      </c>
      <c r="AE16" s="5">
        <v>1.0945E-2</v>
      </c>
      <c r="AF16" s="5">
        <v>0.35991699999999999</v>
      </c>
      <c r="AG16" s="5">
        <v>1.1870199999999999E-2</v>
      </c>
      <c r="AH16" s="5">
        <v>0.37165399999999998</v>
      </c>
      <c r="AI16" s="5">
        <v>1.0859199999999999E-2</v>
      </c>
      <c r="AJ16" s="5">
        <v>0.53576500000000005</v>
      </c>
      <c r="AK16" s="5">
        <v>6.8282899999999999E-3</v>
      </c>
      <c r="AL16" s="5">
        <v>0.36685600000000002</v>
      </c>
      <c r="AM16" s="5">
        <v>1.1575200000000001E-2</v>
      </c>
      <c r="AN16" s="5">
        <v>0.38956000000000002</v>
      </c>
      <c r="AO16" s="5">
        <v>2.8704500000000001E-2</v>
      </c>
      <c r="AP16" s="5">
        <v>0.374888</v>
      </c>
      <c r="AQ16" s="5">
        <v>7.8867399999999997E-3</v>
      </c>
      <c r="AR16" s="5">
        <v>0.28139199999999998</v>
      </c>
      <c r="AS16" s="5">
        <v>7.9667100000000001E-3</v>
      </c>
      <c r="AT16" s="5">
        <v>0.38519999999999999</v>
      </c>
      <c r="AU16" s="5">
        <v>1.2329E-2</v>
      </c>
      <c r="AV16" s="5">
        <v>0.423068</v>
      </c>
      <c r="AW16" s="5">
        <v>1.2560099999999999E-2</v>
      </c>
      <c r="AX16" s="5">
        <v>0.41680600000000001</v>
      </c>
      <c r="AY16" s="5">
        <v>1.0823299999999999E-2</v>
      </c>
      <c r="AZ16" s="5">
        <v>0.30648900000000001</v>
      </c>
      <c r="BA16" s="5">
        <v>1.07361E-2</v>
      </c>
      <c r="BB16" s="5">
        <v>0.36940099999999998</v>
      </c>
      <c r="BC16" s="5">
        <v>1.1043000000000001E-2</v>
      </c>
      <c r="BD16" s="5">
        <v>0.37275799999999998</v>
      </c>
      <c r="BE16" s="5">
        <v>1.0966800000000001E-2</v>
      </c>
      <c r="BF16" s="5">
        <v>0.39229399999999998</v>
      </c>
      <c r="BG16" s="5">
        <v>1.12195E-2</v>
      </c>
      <c r="BH16" s="5">
        <v>0.34107199999999999</v>
      </c>
      <c r="BI16" s="5">
        <v>9.5098200000000004E-3</v>
      </c>
      <c r="BJ16" s="5">
        <v>0.40418900000000002</v>
      </c>
      <c r="BK16" s="5">
        <v>1.0596E-2</v>
      </c>
      <c r="BL16" s="5">
        <v>0.27868199999999999</v>
      </c>
      <c r="BM16" s="5">
        <v>1.03097E-2</v>
      </c>
      <c r="BN16" s="5">
        <v>0.398368</v>
      </c>
      <c r="BO16" s="5">
        <v>1.56273E-2</v>
      </c>
      <c r="BP16" s="5">
        <v>0.41053200000000001</v>
      </c>
      <c r="BQ16" s="5">
        <v>1.0094700000000001</v>
      </c>
      <c r="BR16" s="5">
        <v>0.32088699999999998</v>
      </c>
      <c r="BS16" s="5">
        <v>1.0339599999999999E-2</v>
      </c>
      <c r="BT16" s="5">
        <v>0.40293099999999998</v>
      </c>
      <c r="BU16" s="5">
        <v>1.01675</v>
      </c>
      <c r="BV16" s="5">
        <v>0.370948</v>
      </c>
      <c r="BW16" s="5">
        <v>1.0243E-2</v>
      </c>
      <c r="BX16" s="5">
        <v>0.35682900000000001</v>
      </c>
      <c r="BY16" s="5">
        <v>1.1457E-2</v>
      </c>
      <c r="BZ16" s="5">
        <v>0.40172400000000003</v>
      </c>
      <c r="CA16" s="5">
        <v>1.3677399999999999E-2</v>
      </c>
      <c r="CB16" s="5">
        <v>0.37770399999999998</v>
      </c>
      <c r="CC16" s="5">
        <v>1.0284700000000001E-2</v>
      </c>
      <c r="CD16" s="5">
        <v>0.54563399999999995</v>
      </c>
      <c r="CE16" s="5">
        <v>4.7508899999999998E-3</v>
      </c>
      <c r="CF16" s="5">
        <v>0.36471799999999999</v>
      </c>
      <c r="CG16" s="5">
        <v>1.13147E-2</v>
      </c>
      <c r="CH16" s="5">
        <v>0.33968199999999998</v>
      </c>
      <c r="CI16" s="5">
        <v>9.5814999999999997E-3</v>
      </c>
      <c r="CJ16" s="5">
        <v>0.53632299999999999</v>
      </c>
      <c r="CK16" s="5">
        <v>6.79147E-3</v>
      </c>
      <c r="CL16" s="5">
        <v>0.37637199999999998</v>
      </c>
      <c r="CM16" s="5">
        <v>1.10125E-2</v>
      </c>
      <c r="CN16" s="5">
        <v>0.38287199999999999</v>
      </c>
      <c r="CO16" s="5">
        <v>1.03914E-2</v>
      </c>
      <c r="CP16" s="5">
        <v>0.37058400000000002</v>
      </c>
      <c r="CQ16" s="5">
        <v>1.0942500000000001E-2</v>
      </c>
      <c r="CR16" s="5">
        <v>0.37922699999999998</v>
      </c>
      <c r="CS16" s="5">
        <v>9.9948699999999994E-3</v>
      </c>
      <c r="CT16" s="5">
        <v>0.340698</v>
      </c>
      <c r="CU16" s="5">
        <v>9.4265500000000006E-3</v>
      </c>
      <c r="CV16" s="5">
        <v>0.33968199999999998</v>
      </c>
      <c r="CW16" s="5">
        <v>9.5814999999999997E-3</v>
      </c>
      <c r="CX16" s="5">
        <v>0.43626100000000001</v>
      </c>
      <c r="CY16" s="5">
        <v>2.0077399999999999E-2</v>
      </c>
      <c r="CZ16" s="5">
        <v>0.38082899999999997</v>
      </c>
      <c r="DA16" s="5">
        <v>1.0137500000000001E-2</v>
      </c>
      <c r="DB16" s="5">
        <v>0.42225699999999999</v>
      </c>
      <c r="DC16" s="5">
        <v>1.0069300000000001</v>
      </c>
      <c r="DD16" s="5">
        <v>0.42240299999999997</v>
      </c>
      <c r="DE16" s="5">
        <v>0.82827799999999996</v>
      </c>
      <c r="DF16" s="5">
        <v>0.62701399999999996</v>
      </c>
      <c r="DG16" s="5">
        <v>0.285362</v>
      </c>
      <c r="DH16" s="5">
        <v>0.40293000000000001</v>
      </c>
      <c r="DI16" s="5">
        <v>1.01675</v>
      </c>
      <c r="DJ16" s="5">
        <v>0.375193</v>
      </c>
      <c r="DK16" s="5">
        <v>1.2075100000000001</v>
      </c>
      <c r="DL16" s="5">
        <v>0.41458800000000001</v>
      </c>
      <c r="DM16" s="5">
        <v>1.0161899999999999</v>
      </c>
      <c r="DN16" s="5">
        <v>0.5948</v>
      </c>
      <c r="DO16" s="5">
        <v>0.418464</v>
      </c>
      <c r="DP16" s="5">
        <v>0.40293099999999998</v>
      </c>
      <c r="DQ16" s="5">
        <v>1.01675</v>
      </c>
      <c r="DR16" s="5">
        <v>0.40290599999999999</v>
      </c>
      <c r="DS16" s="5">
        <v>1.0158799999999999</v>
      </c>
      <c r="DT16" s="5">
        <v>0.402812</v>
      </c>
      <c r="DU16" s="5">
        <v>1.0218400000000001</v>
      </c>
      <c r="DV16" s="5">
        <v>0.37202499999999999</v>
      </c>
      <c r="DW16" s="5">
        <v>1.1029800000000001</v>
      </c>
      <c r="DX16" s="5">
        <v>0.51772399999999996</v>
      </c>
      <c r="DY16" s="5">
        <v>0.74951400000000001</v>
      </c>
      <c r="DZ16" s="5">
        <v>0.35670600000000002</v>
      </c>
      <c r="EA16" s="5">
        <v>1.0282800000000001</v>
      </c>
      <c r="EB16" s="5">
        <v>0.544234</v>
      </c>
      <c r="EC16" s="5">
        <v>2.0143200000000001</v>
      </c>
      <c r="ED16" s="5">
        <v>0.38206099999999998</v>
      </c>
      <c r="EE16" s="5">
        <v>0.866622</v>
      </c>
      <c r="EF16" s="5">
        <v>0.33612500000000001</v>
      </c>
      <c r="EG16" s="5">
        <v>0.91623399999999999</v>
      </c>
      <c r="EH16" s="5">
        <v>0.46324199999999999</v>
      </c>
      <c r="EI16" s="5">
        <v>1.20092</v>
      </c>
      <c r="EJ16" s="5">
        <v>0.50008900000000001</v>
      </c>
      <c r="EK16" s="5">
        <v>1.15194</v>
      </c>
      <c r="EL16" s="5">
        <v>0.48414200000000002</v>
      </c>
      <c r="EM16" s="5">
        <v>1.0229299999999999</v>
      </c>
      <c r="EN16" s="5">
        <v>0.38005899999999998</v>
      </c>
      <c r="EO16" s="5">
        <v>1.2212400000000001</v>
      </c>
      <c r="EP16" s="5">
        <v>0.42620000000000002</v>
      </c>
      <c r="EQ16" s="5">
        <v>1.01061</v>
      </c>
      <c r="ER16" s="5">
        <v>0.42714200000000002</v>
      </c>
      <c r="ES16" s="5">
        <v>1.00118</v>
      </c>
      <c r="ET16" s="5">
        <v>0.45994099999999999</v>
      </c>
      <c r="EU16" s="5">
        <v>0.85239699999999996</v>
      </c>
      <c r="EV16" s="5">
        <v>0.36527100000000001</v>
      </c>
      <c r="EW16" s="5">
        <v>0.99058199999999996</v>
      </c>
      <c r="EX16" s="5">
        <v>0.49290200000000001</v>
      </c>
      <c r="EY16" s="5">
        <v>0.77988000000000002</v>
      </c>
      <c r="EZ16" s="5">
        <v>0.35320200000000002</v>
      </c>
      <c r="FA16" s="5">
        <v>1.3120799999999999</v>
      </c>
      <c r="FB16" s="5">
        <v>0.42047099999999998</v>
      </c>
      <c r="FC16" s="5">
        <v>1.69889</v>
      </c>
      <c r="FD16" s="5">
        <v>0.37319200000000002</v>
      </c>
      <c r="FE16" s="5">
        <v>0.96935499999999997</v>
      </c>
      <c r="FF16" s="5">
        <v>0.39036599999999999</v>
      </c>
      <c r="FG16" s="5">
        <v>1.13384</v>
      </c>
      <c r="FH16" s="5">
        <v>0.40293200000000001</v>
      </c>
      <c r="FI16" s="5">
        <v>1.01675</v>
      </c>
      <c r="FJ16" s="5">
        <v>0.43701400000000001</v>
      </c>
      <c r="FK16" s="5">
        <v>1.0381899999999999</v>
      </c>
      <c r="FL16" s="5">
        <v>0.35491299999999998</v>
      </c>
      <c r="FM16" s="5">
        <v>0.99511300000000003</v>
      </c>
      <c r="FN16" s="5">
        <v>0.48633999999999999</v>
      </c>
      <c r="FO16" s="5">
        <v>1.2718400000000001</v>
      </c>
      <c r="FP16" s="5">
        <v>0.40308699999999997</v>
      </c>
      <c r="FQ16" s="5">
        <v>1.01545</v>
      </c>
      <c r="FR16" s="5">
        <v>0.40573999999999999</v>
      </c>
      <c r="FS16" s="5">
        <v>1.01214</v>
      </c>
      <c r="FT16" s="5">
        <v>0.40787099999999998</v>
      </c>
      <c r="FU16" s="5">
        <v>1.01223</v>
      </c>
      <c r="FV16" s="5">
        <v>0.5948</v>
      </c>
      <c r="FW16" s="5">
        <v>0.418464</v>
      </c>
      <c r="FX16" s="5">
        <v>0.372444</v>
      </c>
      <c r="FY16" s="5">
        <v>0.95286700000000002</v>
      </c>
      <c r="FZ16" s="5">
        <v>0.44929400000000003</v>
      </c>
      <c r="GA16" s="5">
        <v>1.03522</v>
      </c>
      <c r="GB16" s="5">
        <v>0.41292600000000002</v>
      </c>
      <c r="GC16" s="5">
        <v>1.0142899999999999</v>
      </c>
      <c r="GD16" s="5">
        <v>0.40296700000000002</v>
      </c>
      <c r="GE16" s="5">
        <v>1.0169900000000001</v>
      </c>
      <c r="GF16" s="5">
        <v>0.40331099999999998</v>
      </c>
      <c r="GG16" s="5">
        <v>1.0064500000000001</v>
      </c>
      <c r="GH16" s="5">
        <v>0.56843699999999997</v>
      </c>
      <c r="GI16" s="5">
        <v>0.44758999999999999</v>
      </c>
      <c r="GJ16" s="5">
        <v>0.54888800000000004</v>
      </c>
      <c r="GK16" s="5">
        <v>1.5372300000000001</v>
      </c>
      <c r="GL16" s="5">
        <v>0.376112</v>
      </c>
      <c r="GM16" s="5">
        <v>0.94777599999999995</v>
      </c>
    </row>
    <row r="17" spans="1:195" x14ac:dyDescent="0.6">
      <c r="A17" s="7">
        <v>15</v>
      </c>
      <c r="B17" s="7">
        <v>25020230</v>
      </c>
      <c r="C17" s="7">
        <v>2006</v>
      </c>
      <c r="D17" s="7">
        <v>90</v>
      </c>
      <c r="E17" s="7">
        <v>39</v>
      </c>
      <c r="F17" s="7">
        <v>105.801</v>
      </c>
      <c r="G17" s="7">
        <v>38.727499999999999</v>
      </c>
      <c r="H17" s="7">
        <v>-0.407997</v>
      </c>
      <c r="I17" s="7">
        <v>90</v>
      </c>
      <c r="J17" s="7">
        <v>25020230</v>
      </c>
      <c r="K17" s="7">
        <v>16</v>
      </c>
      <c r="L17" s="7">
        <v>0.36849500000000002</v>
      </c>
      <c r="M17" s="7">
        <v>1.1094400000000001E-2</v>
      </c>
      <c r="N17" s="7">
        <v>0.37551200000000001</v>
      </c>
      <c r="O17" s="7">
        <v>1.0836999999999999E-2</v>
      </c>
      <c r="P17" s="7">
        <v>0.37165399999999998</v>
      </c>
      <c r="Q17" s="7">
        <v>1.0859199999999999E-2</v>
      </c>
      <c r="R17" s="7">
        <v>0.33968199999999998</v>
      </c>
      <c r="S17" s="7">
        <v>9.5814999999999997E-3</v>
      </c>
      <c r="T17" s="7">
        <v>0.37820599999999999</v>
      </c>
      <c r="U17" s="7">
        <v>1.2015899999999999E-2</v>
      </c>
      <c r="V17" s="7">
        <v>0.37165399999999998</v>
      </c>
      <c r="W17" s="7">
        <v>1.0859199999999999E-2</v>
      </c>
      <c r="X17" s="7">
        <v>0.53632299999999999</v>
      </c>
      <c r="Y17" s="7">
        <v>6.79147E-3</v>
      </c>
      <c r="Z17" s="7">
        <v>0.35819099999999998</v>
      </c>
      <c r="AA17" s="7">
        <v>1.12912E-2</v>
      </c>
      <c r="AB17" s="7">
        <v>0.37165300000000001</v>
      </c>
      <c r="AC17" s="7">
        <v>1.08609E-2</v>
      </c>
      <c r="AD17" s="7">
        <v>0.37052299999999999</v>
      </c>
      <c r="AE17" s="7">
        <v>1.0945E-2</v>
      </c>
      <c r="AF17" s="7">
        <v>0.35991699999999999</v>
      </c>
      <c r="AG17" s="7">
        <v>1.1870199999999999E-2</v>
      </c>
      <c r="AH17" s="7">
        <v>0.37165399999999998</v>
      </c>
      <c r="AI17" s="7">
        <v>1.0859199999999999E-2</v>
      </c>
      <c r="AJ17" s="7">
        <v>0.53576500000000005</v>
      </c>
      <c r="AK17" s="7">
        <v>6.8282899999999999E-3</v>
      </c>
      <c r="AL17" s="7">
        <v>0.36685600000000002</v>
      </c>
      <c r="AM17" s="7">
        <v>1.1575200000000001E-2</v>
      </c>
      <c r="AN17" s="7">
        <v>0.38956000000000002</v>
      </c>
      <c r="AO17" s="7">
        <v>2.8704500000000001E-2</v>
      </c>
      <c r="AP17" s="7">
        <v>0.374888</v>
      </c>
      <c r="AQ17" s="7">
        <v>7.8867399999999997E-3</v>
      </c>
      <c r="AR17" s="7">
        <v>0.28139199999999998</v>
      </c>
      <c r="AS17" s="7">
        <v>7.9667100000000001E-3</v>
      </c>
      <c r="AT17" s="7">
        <v>0.38519999999999999</v>
      </c>
      <c r="AU17" s="7">
        <v>1.2329E-2</v>
      </c>
      <c r="AV17" s="7">
        <v>0.423068</v>
      </c>
      <c r="AW17" s="7">
        <v>1.2560099999999999E-2</v>
      </c>
      <c r="AX17" s="7">
        <v>0.41680600000000001</v>
      </c>
      <c r="AY17" s="7">
        <v>1.0823299999999999E-2</v>
      </c>
      <c r="AZ17" s="7">
        <v>0.30648900000000001</v>
      </c>
      <c r="BA17" s="7">
        <v>1.07361E-2</v>
      </c>
      <c r="BB17" s="7">
        <v>0.36940099999999998</v>
      </c>
      <c r="BC17" s="7">
        <v>1.1043000000000001E-2</v>
      </c>
      <c r="BD17" s="7">
        <v>0.37275799999999998</v>
      </c>
      <c r="BE17" s="7">
        <v>1.0966800000000001E-2</v>
      </c>
      <c r="BF17" s="7">
        <v>0.39229399999999998</v>
      </c>
      <c r="BG17" s="7">
        <v>1.12195E-2</v>
      </c>
      <c r="BH17" s="7">
        <v>0.34107199999999999</v>
      </c>
      <c r="BI17" s="7">
        <v>9.5098200000000004E-3</v>
      </c>
      <c r="BJ17" s="7">
        <v>0.40418900000000002</v>
      </c>
      <c r="BK17" s="7">
        <v>1.0596E-2</v>
      </c>
      <c r="BL17" s="7">
        <v>0.27868199999999999</v>
      </c>
      <c r="BM17" s="7">
        <v>1.03097E-2</v>
      </c>
      <c r="BN17" s="7">
        <v>0.398368</v>
      </c>
      <c r="BO17" s="7">
        <v>1.56273E-2</v>
      </c>
      <c r="BP17" s="7">
        <v>0.41053200000000001</v>
      </c>
      <c r="BQ17" s="7">
        <v>1.0094700000000001</v>
      </c>
      <c r="BR17" s="7">
        <v>0.32088699999999998</v>
      </c>
      <c r="BS17" s="7">
        <v>1.0339599999999999E-2</v>
      </c>
      <c r="BT17" s="7">
        <v>0.40293099999999998</v>
      </c>
      <c r="BU17" s="7">
        <v>1.01675</v>
      </c>
      <c r="BV17" s="7">
        <v>0.370948</v>
      </c>
      <c r="BW17" s="7">
        <v>1.0243E-2</v>
      </c>
      <c r="BX17" s="7">
        <v>0.35682900000000001</v>
      </c>
      <c r="BY17" s="7">
        <v>1.1457E-2</v>
      </c>
      <c r="BZ17" s="7">
        <v>0.40172400000000003</v>
      </c>
      <c r="CA17" s="7">
        <v>1.3677399999999999E-2</v>
      </c>
      <c r="CB17" s="7">
        <v>0.37770399999999998</v>
      </c>
      <c r="CC17" s="7">
        <v>1.0284700000000001E-2</v>
      </c>
      <c r="CD17" s="7">
        <v>0.54563399999999995</v>
      </c>
      <c r="CE17" s="7">
        <v>4.7508899999999998E-3</v>
      </c>
      <c r="CF17" s="7">
        <v>0.36471799999999999</v>
      </c>
      <c r="CG17" s="7">
        <v>1.13147E-2</v>
      </c>
      <c r="CH17" s="7">
        <v>0.33968199999999998</v>
      </c>
      <c r="CI17" s="7">
        <v>9.5814999999999997E-3</v>
      </c>
      <c r="CJ17" s="7">
        <v>0.53632299999999999</v>
      </c>
      <c r="CK17" s="7">
        <v>6.79147E-3</v>
      </c>
      <c r="CL17" s="7">
        <v>0.37637199999999998</v>
      </c>
      <c r="CM17" s="7">
        <v>1.10125E-2</v>
      </c>
      <c r="CN17" s="7">
        <v>0.38287199999999999</v>
      </c>
      <c r="CO17" s="7">
        <v>1.03914E-2</v>
      </c>
      <c r="CP17" s="7">
        <v>0.37058400000000002</v>
      </c>
      <c r="CQ17" s="7">
        <v>1.0942500000000001E-2</v>
      </c>
      <c r="CR17" s="7">
        <v>0.37922699999999998</v>
      </c>
      <c r="CS17" s="7">
        <v>9.9948699999999994E-3</v>
      </c>
      <c r="CT17" s="7">
        <v>0.340698</v>
      </c>
      <c r="CU17" s="7">
        <v>9.4265500000000006E-3</v>
      </c>
      <c r="CV17" s="7">
        <v>0.33968199999999998</v>
      </c>
      <c r="CW17" s="7">
        <v>9.5814999999999997E-3</v>
      </c>
      <c r="CX17" s="7">
        <v>0.43626100000000001</v>
      </c>
      <c r="CY17" s="7">
        <v>2.0077399999999999E-2</v>
      </c>
      <c r="CZ17" s="7">
        <v>0.38082899999999997</v>
      </c>
      <c r="DA17" s="7">
        <v>1.0137500000000001E-2</v>
      </c>
      <c r="DB17" s="7">
        <v>0.42225699999999999</v>
      </c>
      <c r="DC17" s="7">
        <v>1.0069300000000001</v>
      </c>
      <c r="DD17" s="7">
        <v>0.42240299999999997</v>
      </c>
      <c r="DE17" s="7">
        <v>0.82827799999999996</v>
      </c>
      <c r="DF17" s="7">
        <v>0.62701399999999996</v>
      </c>
      <c r="DG17" s="7">
        <v>0.285362</v>
      </c>
      <c r="DH17" s="7">
        <v>0.40293000000000001</v>
      </c>
      <c r="DI17" s="7">
        <v>1.01675</v>
      </c>
      <c r="DJ17" s="7">
        <v>0.375193</v>
      </c>
      <c r="DK17" s="7">
        <v>1.2075100000000001</v>
      </c>
      <c r="DL17" s="7">
        <v>0.41458800000000001</v>
      </c>
      <c r="DM17" s="7">
        <v>1.0161899999999999</v>
      </c>
      <c r="DN17" s="7">
        <v>0.5948</v>
      </c>
      <c r="DO17" s="7">
        <v>0.418464</v>
      </c>
      <c r="DP17" s="7">
        <v>0.40293099999999998</v>
      </c>
      <c r="DQ17" s="7">
        <v>1.01675</v>
      </c>
      <c r="DR17" s="7">
        <v>0.40290599999999999</v>
      </c>
      <c r="DS17" s="7">
        <v>1.0158799999999999</v>
      </c>
      <c r="DT17" s="7">
        <v>0.402812</v>
      </c>
      <c r="DU17" s="7">
        <v>1.0218400000000001</v>
      </c>
      <c r="DV17" s="7">
        <v>0.37202499999999999</v>
      </c>
      <c r="DW17" s="7">
        <v>1.1029800000000001</v>
      </c>
      <c r="DX17" s="7">
        <v>0.51772399999999996</v>
      </c>
      <c r="DY17" s="7">
        <v>0.74951400000000001</v>
      </c>
      <c r="DZ17" s="7">
        <v>0.35670600000000002</v>
      </c>
      <c r="EA17" s="7">
        <v>1.0282800000000001</v>
      </c>
      <c r="EB17" s="7">
        <v>0.544234</v>
      </c>
      <c r="EC17" s="7">
        <v>2.0143200000000001</v>
      </c>
      <c r="ED17" s="7">
        <v>0.38206099999999998</v>
      </c>
      <c r="EE17" s="7">
        <v>0.866622</v>
      </c>
      <c r="EF17" s="7">
        <v>0.33612500000000001</v>
      </c>
      <c r="EG17" s="7">
        <v>0.91623399999999999</v>
      </c>
      <c r="EH17" s="7">
        <v>0.46324199999999999</v>
      </c>
      <c r="EI17" s="7">
        <v>1.20092</v>
      </c>
      <c r="EJ17" s="7">
        <v>0.50008900000000001</v>
      </c>
      <c r="EK17" s="7">
        <v>1.15194</v>
      </c>
      <c r="EL17" s="7">
        <v>0.48414200000000002</v>
      </c>
      <c r="EM17" s="7">
        <v>1.0229299999999999</v>
      </c>
      <c r="EN17" s="7">
        <v>0.38005899999999998</v>
      </c>
      <c r="EO17" s="7">
        <v>1.2212400000000001</v>
      </c>
      <c r="EP17" s="7">
        <v>0.42620000000000002</v>
      </c>
      <c r="EQ17" s="7">
        <v>1.01061</v>
      </c>
      <c r="ER17" s="7">
        <v>0.42714200000000002</v>
      </c>
      <c r="ES17" s="7">
        <v>1.00118</v>
      </c>
      <c r="ET17" s="7">
        <v>0.45994099999999999</v>
      </c>
      <c r="EU17" s="7">
        <v>0.85239699999999996</v>
      </c>
      <c r="EV17" s="7">
        <v>0.36527100000000001</v>
      </c>
      <c r="EW17" s="7">
        <v>0.99058199999999996</v>
      </c>
      <c r="EX17" s="7">
        <v>0.49290200000000001</v>
      </c>
      <c r="EY17" s="7">
        <v>0.77988000000000002</v>
      </c>
      <c r="EZ17" s="7">
        <v>0.35320200000000002</v>
      </c>
      <c r="FA17" s="7">
        <v>1.3120799999999999</v>
      </c>
      <c r="FB17" s="7">
        <v>0.42047099999999998</v>
      </c>
      <c r="FC17" s="7">
        <v>1.69889</v>
      </c>
      <c r="FD17" s="7">
        <v>0.37319200000000002</v>
      </c>
      <c r="FE17" s="7">
        <v>0.96935499999999997</v>
      </c>
      <c r="FF17" s="7">
        <v>0.39036599999999999</v>
      </c>
      <c r="FG17" s="7">
        <v>1.13384</v>
      </c>
      <c r="FH17" s="7">
        <v>0.40293200000000001</v>
      </c>
      <c r="FI17" s="7">
        <v>1.01675</v>
      </c>
      <c r="FJ17" s="7">
        <v>0.43701400000000001</v>
      </c>
      <c r="FK17" s="7">
        <v>1.0381899999999999</v>
      </c>
      <c r="FL17" s="7">
        <v>0.35491299999999998</v>
      </c>
      <c r="FM17" s="7">
        <v>0.99511300000000003</v>
      </c>
      <c r="FN17" s="7">
        <v>0.48633999999999999</v>
      </c>
      <c r="FO17" s="7">
        <v>1.2718400000000001</v>
      </c>
      <c r="FP17" s="7">
        <v>0.40308699999999997</v>
      </c>
      <c r="FQ17" s="7">
        <v>1.01545</v>
      </c>
      <c r="FR17" s="7">
        <v>0.40573999999999999</v>
      </c>
      <c r="FS17" s="7">
        <v>1.01214</v>
      </c>
      <c r="FT17" s="7">
        <v>0.40787099999999998</v>
      </c>
      <c r="FU17" s="7">
        <v>1.01223</v>
      </c>
      <c r="FV17" s="7">
        <v>0.5948</v>
      </c>
      <c r="FW17" s="7">
        <v>0.418464</v>
      </c>
      <c r="FX17" s="7">
        <v>0.372444</v>
      </c>
      <c r="FY17" s="7">
        <v>0.95286700000000002</v>
      </c>
      <c r="FZ17" s="7">
        <v>0.44929400000000003</v>
      </c>
      <c r="GA17" s="7">
        <v>1.03522</v>
      </c>
      <c r="GB17" s="7">
        <v>0.41292600000000002</v>
      </c>
      <c r="GC17" s="7">
        <v>1.0142899999999999</v>
      </c>
      <c r="GD17" s="7">
        <v>0.40296700000000002</v>
      </c>
      <c r="GE17" s="7">
        <v>1.0169900000000001</v>
      </c>
      <c r="GF17" s="7">
        <v>0.40331099999999998</v>
      </c>
      <c r="GG17" s="7">
        <v>1.0064500000000001</v>
      </c>
      <c r="GH17" s="7">
        <v>0.56843699999999997</v>
      </c>
      <c r="GI17" s="7">
        <v>0.44758999999999999</v>
      </c>
      <c r="GJ17" s="7">
        <v>0.54888800000000004</v>
      </c>
      <c r="GK17" s="7">
        <v>1.5372300000000001</v>
      </c>
      <c r="GL17" s="7">
        <v>0.376112</v>
      </c>
      <c r="GM17" s="7">
        <v>0.94777599999999995</v>
      </c>
    </row>
    <row r="18" spans="1:195" x14ac:dyDescent="0.6">
      <c r="A18" s="5">
        <v>16</v>
      </c>
      <c r="B18" s="5">
        <v>25020230</v>
      </c>
      <c r="C18" s="5">
        <v>1995</v>
      </c>
      <c r="D18" s="5">
        <v>90</v>
      </c>
      <c r="E18" s="5">
        <v>39</v>
      </c>
      <c r="F18" s="5">
        <v>105.801</v>
      </c>
      <c r="G18" s="5">
        <v>38.727499999999999</v>
      </c>
      <c r="H18" s="5">
        <v>-0.407997</v>
      </c>
      <c r="I18" s="5">
        <v>90</v>
      </c>
      <c r="J18" s="5">
        <v>25020230</v>
      </c>
      <c r="K18" s="5">
        <v>17</v>
      </c>
      <c r="L18" s="5">
        <v>0.36849500000000002</v>
      </c>
      <c r="M18" s="5">
        <v>1.1094400000000001E-2</v>
      </c>
      <c r="N18" s="5">
        <v>0.37551200000000001</v>
      </c>
      <c r="O18" s="5">
        <v>1.0836999999999999E-2</v>
      </c>
      <c r="P18" s="5">
        <v>0.37165399999999998</v>
      </c>
      <c r="Q18" s="5">
        <v>1.0859199999999999E-2</v>
      </c>
      <c r="R18" s="5">
        <v>0.33968199999999998</v>
      </c>
      <c r="S18" s="5">
        <v>9.5814999999999997E-3</v>
      </c>
      <c r="T18" s="5">
        <v>0.37820599999999999</v>
      </c>
      <c r="U18" s="5">
        <v>1.2015899999999999E-2</v>
      </c>
      <c r="V18" s="5">
        <v>0.37165399999999998</v>
      </c>
      <c r="W18" s="5">
        <v>1.0859199999999999E-2</v>
      </c>
      <c r="X18" s="5">
        <v>0.53632299999999999</v>
      </c>
      <c r="Y18" s="5">
        <v>6.79147E-3</v>
      </c>
      <c r="Z18" s="5">
        <v>0.35819099999999998</v>
      </c>
      <c r="AA18" s="5">
        <v>1.12912E-2</v>
      </c>
      <c r="AB18" s="5">
        <v>0.37165300000000001</v>
      </c>
      <c r="AC18" s="5">
        <v>1.08609E-2</v>
      </c>
      <c r="AD18" s="5">
        <v>0.37052299999999999</v>
      </c>
      <c r="AE18" s="5">
        <v>1.0945E-2</v>
      </c>
      <c r="AF18" s="5">
        <v>0.35991699999999999</v>
      </c>
      <c r="AG18" s="5">
        <v>1.1870199999999999E-2</v>
      </c>
      <c r="AH18" s="5">
        <v>0.37165399999999998</v>
      </c>
      <c r="AI18" s="5">
        <v>1.0859199999999999E-2</v>
      </c>
      <c r="AJ18" s="5">
        <v>0.53576500000000005</v>
      </c>
      <c r="AK18" s="5">
        <v>6.8282899999999999E-3</v>
      </c>
      <c r="AL18" s="5">
        <v>0.36685600000000002</v>
      </c>
      <c r="AM18" s="5">
        <v>1.1575200000000001E-2</v>
      </c>
      <c r="AN18" s="5">
        <v>0.38956000000000002</v>
      </c>
      <c r="AO18" s="5">
        <v>2.8704500000000001E-2</v>
      </c>
      <c r="AP18" s="5">
        <v>0.374888</v>
      </c>
      <c r="AQ18" s="5">
        <v>7.8867399999999997E-3</v>
      </c>
      <c r="AR18" s="5">
        <v>0.28139199999999998</v>
      </c>
      <c r="AS18" s="5">
        <v>7.9667100000000001E-3</v>
      </c>
      <c r="AT18" s="5">
        <v>0.38519999999999999</v>
      </c>
      <c r="AU18" s="5">
        <v>1.2329E-2</v>
      </c>
      <c r="AV18" s="5">
        <v>0.423068</v>
      </c>
      <c r="AW18" s="5">
        <v>1.2560099999999999E-2</v>
      </c>
      <c r="AX18" s="5">
        <v>0.41680600000000001</v>
      </c>
      <c r="AY18" s="5">
        <v>1.0823299999999999E-2</v>
      </c>
      <c r="AZ18" s="5">
        <v>0.30648900000000001</v>
      </c>
      <c r="BA18" s="5">
        <v>1.07361E-2</v>
      </c>
      <c r="BB18" s="5">
        <v>0.36940099999999998</v>
      </c>
      <c r="BC18" s="5">
        <v>1.1043000000000001E-2</v>
      </c>
      <c r="BD18" s="5">
        <v>0.37275799999999998</v>
      </c>
      <c r="BE18" s="5">
        <v>1.0966800000000001E-2</v>
      </c>
      <c r="BF18" s="5">
        <v>0.39229399999999998</v>
      </c>
      <c r="BG18" s="5">
        <v>1.12195E-2</v>
      </c>
      <c r="BH18" s="5">
        <v>0.34107199999999999</v>
      </c>
      <c r="BI18" s="5">
        <v>9.5098200000000004E-3</v>
      </c>
      <c r="BJ18" s="5">
        <v>0.40418900000000002</v>
      </c>
      <c r="BK18" s="5">
        <v>1.0596E-2</v>
      </c>
      <c r="BL18" s="5">
        <v>0.27868199999999999</v>
      </c>
      <c r="BM18" s="5">
        <v>1.03097E-2</v>
      </c>
      <c r="BN18" s="5">
        <v>0.398368</v>
      </c>
      <c r="BO18" s="5">
        <v>1.56273E-2</v>
      </c>
      <c r="BP18" s="5">
        <v>0.41053200000000001</v>
      </c>
      <c r="BQ18" s="5">
        <v>1.0094700000000001</v>
      </c>
      <c r="BR18" s="5">
        <v>0.32088699999999998</v>
      </c>
      <c r="BS18" s="5">
        <v>1.0339599999999999E-2</v>
      </c>
      <c r="BT18" s="5">
        <v>0.40293099999999998</v>
      </c>
      <c r="BU18" s="5">
        <v>1.01675</v>
      </c>
      <c r="BV18" s="5">
        <v>0.370948</v>
      </c>
      <c r="BW18" s="5">
        <v>1.0243E-2</v>
      </c>
      <c r="BX18" s="5">
        <v>0.35682900000000001</v>
      </c>
      <c r="BY18" s="5">
        <v>1.1457E-2</v>
      </c>
      <c r="BZ18" s="5">
        <v>0.40172400000000003</v>
      </c>
      <c r="CA18" s="5">
        <v>1.3677399999999999E-2</v>
      </c>
      <c r="CB18" s="5">
        <v>0.37770399999999998</v>
      </c>
      <c r="CC18" s="5">
        <v>1.0284700000000001E-2</v>
      </c>
      <c r="CD18" s="5">
        <v>0.54563399999999995</v>
      </c>
      <c r="CE18" s="5">
        <v>4.7508899999999998E-3</v>
      </c>
      <c r="CF18" s="5">
        <v>0.36471799999999999</v>
      </c>
      <c r="CG18" s="5">
        <v>1.13147E-2</v>
      </c>
      <c r="CH18" s="5">
        <v>0.33968199999999998</v>
      </c>
      <c r="CI18" s="5">
        <v>9.5814999999999997E-3</v>
      </c>
      <c r="CJ18" s="5">
        <v>0.53632299999999999</v>
      </c>
      <c r="CK18" s="5">
        <v>6.79147E-3</v>
      </c>
      <c r="CL18" s="5">
        <v>0.37637199999999998</v>
      </c>
      <c r="CM18" s="5">
        <v>1.10125E-2</v>
      </c>
      <c r="CN18" s="5">
        <v>0.38287199999999999</v>
      </c>
      <c r="CO18" s="5">
        <v>1.03914E-2</v>
      </c>
      <c r="CP18" s="5">
        <v>0.37058400000000002</v>
      </c>
      <c r="CQ18" s="5">
        <v>1.0942500000000001E-2</v>
      </c>
      <c r="CR18" s="5">
        <v>0.37922699999999998</v>
      </c>
      <c r="CS18" s="5">
        <v>9.9948699999999994E-3</v>
      </c>
      <c r="CT18" s="5">
        <v>0.340698</v>
      </c>
      <c r="CU18" s="5">
        <v>9.4265500000000006E-3</v>
      </c>
      <c r="CV18" s="5">
        <v>0.33968199999999998</v>
      </c>
      <c r="CW18" s="5">
        <v>9.5814999999999997E-3</v>
      </c>
      <c r="CX18" s="5">
        <v>0.43626100000000001</v>
      </c>
      <c r="CY18" s="5">
        <v>2.0077399999999999E-2</v>
      </c>
      <c r="CZ18" s="5">
        <v>0.38082899999999997</v>
      </c>
      <c r="DA18" s="5">
        <v>1.0137500000000001E-2</v>
      </c>
      <c r="DB18" s="5">
        <v>0.42225699999999999</v>
      </c>
      <c r="DC18" s="5">
        <v>1.0069300000000001</v>
      </c>
      <c r="DD18" s="5">
        <v>0.42240299999999997</v>
      </c>
      <c r="DE18" s="5">
        <v>0.82827799999999996</v>
      </c>
      <c r="DF18" s="5">
        <v>0.62701399999999996</v>
      </c>
      <c r="DG18" s="5">
        <v>0.285362</v>
      </c>
      <c r="DH18" s="5">
        <v>0.40293000000000001</v>
      </c>
      <c r="DI18" s="5">
        <v>1.01675</v>
      </c>
      <c r="DJ18" s="5">
        <v>0.375193</v>
      </c>
      <c r="DK18" s="5">
        <v>1.2075100000000001</v>
      </c>
      <c r="DL18" s="5">
        <v>0.41458800000000001</v>
      </c>
      <c r="DM18" s="5">
        <v>1.0161899999999999</v>
      </c>
      <c r="DN18" s="5">
        <v>0.5948</v>
      </c>
      <c r="DO18" s="5">
        <v>0.418464</v>
      </c>
      <c r="DP18" s="5">
        <v>0.40293099999999998</v>
      </c>
      <c r="DQ18" s="5">
        <v>1.01675</v>
      </c>
      <c r="DR18" s="5">
        <v>0.40290599999999999</v>
      </c>
      <c r="DS18" s="5">
        <v>1.0158799999999999</v>
      </c>
      <c r="DT18" s="5">
        <v>0.402812</v>
      </c>
      <c r="DU18" s="5">
        <v>1.0218400000000001</v>
      </c>
      <c r="DV18" s="5">
        <v>0.37202499999999999</v>
      </c>
      <c r="DW18" s="5">
        <v>1.1029800000000001</v>
      </c>
      <c r="DX18" s="5">
        <v>0.51772399999999996</v>
      </c>
      <c r="DY18" s="5">
        <v>0.74951400000000001</v>
      </c>
      <c r="DZ18" s="5">
        <v>0.35670600000000002</v>
      </c>
      <c r="EA18" s="5">
        <v>1.0282800000000001</v>
      </c>
      <c r="EB18" s="5">
        <v>0.544234</v>
      </c>
      <c r="EC18" s="5">
        <v>2.0143200000000001</v>
      </c>
      <c r="ED18" s="5">
        <v>0.38206099999999998</v>
      </c>
      <c r="EE18" s="5">
        <v>0.866622</v>
      </c>
      <c r="EF18" s="5">
        <v>0.33612500000000001</v>
      </c>
      <c r="EG18" s="5">
        <v>0.91623399999999999</v>
      </c>
      <c r="EH18" s="5">
        <v>0.46324199999999999</v>
      </c>
      <c r="EI18" s="5">
        <v>1.20092</v>
      </c>
      <c r="EJ18" s="5">
        <v>0.50008900000000001</v>
      </c>
      <c r="EK18" s="5">
        <v>1.15194</v>
      </c>
      <c r="EL18" s="5">
        <v>0.48414200000000002</v>
      </c>
      <c r="EM18" s="5">
        <v>1.0229299999999999</v>
      </c>
      <c r="EN18" s="5">
        <v>0.38005899999999998</v>
      </c>
      <c r="EO18" s="5">
        <v>1.2212400000000001</v>
      </c>
      <c r="EP18" s="5">
        <v>0.42620000000000002</v>
      </c>
      <c r="EQ18" s="5">
        <v>1.01061</v>
      </c>
      <c r="ER18" s="5">
        <v>0.42714200000000002</v>
      </c>
      <c r="ES18" s="5">
        <v>1.00118</v>
      </c>
      <c r="ET18" s="5">
        <v>0.45994099999999999</v>
      </c>
      <c r="EU18" s="5">
        <v>0.85239699999999996</v>
      </c>
      <c r="EV18" s="5">
        <v>0.36527100000000001</v>
      </c>
      <c r="EW18" s="5">
        <v>0.99058199999999996</v>
      </c>
      <c r="EX18" s="5">
        <v>0.49290200000000001</v>
      </c>
      <c r="EY18" s="5">
        <v>0.77988000000000002</v>
      </c>
      <c r="EZ18" s="5">
        <v>0.35320200000000002</v>
      </c>
      <c r="FA18" s="5">
        <v>1.3120799999999999</v>
      </c>
      <c r="FB18" s="5">
        <v>0.42047099999999998</v>
      </c>
      <c r="FC18" s="5">
        <v>1.69889</v>
      </c>
      <c r="FD18" s="5">
        <v>0.37319200000000002</v>
      </c>
      <c r="FE18" s="5">
        <v>0.96935499999999997</v>
      </c>
      <c r="FF18" s="5">
        <v>0.39036599999999999</v>
      </c>
      <c r="FG18" s="5">
        <v>1.13384</v>
      </c>
      <c r="FH18" s="5">
        <v>0.40293200000000001</v>
      </c>
      <c r="FI18" s="5">
        <v>1.01675</v>
      </c>
      <c r="FJ18" s="5">
        <v>0.43701400000000001</v>
      </c>
      <c r="FK18" s="5">
        <v>1.0381899999999999</v>
      </c>
      <c r="FL18" s="5">
        <v>0.35491299999999998</v>
      </c>
      <c r="FM18" s="5">
        <v>0.99511300000000003</v>
      </c>
      <c r="FN18" s="5">
        <v>0.48633999999999999</v>
      </c>
      <c r="FO18" s="5">
        <v>1.2718400000000001</v>
      </c>
      <c r="FP18" s="5">
        <v>0.40308699999999997</v>
      </c>
      <c r="FQ18" s="5">
        <v>1.01545</v>
      </c>
      <c r="FR18" s="5">
        <v>0.40573999999999999</v>
      </c>
      <c r="FS18" s="5">
        <v>1.01214</v>
      </c>
      <c r="FT18" s="5">
        <v>0.40787099999999998</v>
      </c>
      <c r="FU18" s="5">
        <v>1.01223</v>
      </c>
      <c r="FV18" s="5">
        <v>0.5948</v>
      </c>
      <c r="FW18" s="5">
        <v>0.418464</v>
      </c>
      <c r="FX18" s="5">
        <v>0.372444</v>
      </c>
      <c r="FY18" s="5">
        <v>0.95286700000000002</v>
      </c>
      <c r="FZ18" s="5">
        <v>0.44929400000000003</v>
      </c>
      <c r="GA18" s="5">
        <v>1.03522</v>
      </c>
      <c r="GB18" s="5">
        <v>0.41292600000000002</v>
      </c>
      <c r="GC18" s="5">
        <v>1.0142899999999999</v>
      </c>
      <c r="GD18" s="5">
        <v>0.40296700000000002</v>
      </c>
      <c r="GE18" s="5">
        <v>1.0169900000000001</v>
      </c>
      <c r="GF18" s="5">
        <v>0.40331099999999998</v>
      </c>
      <c r="GG18" s="5">
        <v>1.0064500000000001</v>
      </c>
      <c r="GH18" s="5">
        <v>0.56843699999999997</v>
      </c>
      <c r="GI18" s="5">
        <v>0.44758999999999999</v>
      </c>
      <c r="GJ18" s="5">
        <v>0.54888800000000004</v>
      </c>
      <c r="GK18" s="5">
        <v>1.5372300000000001</v>
      </c>
      <c r="GL18" s="5">
        <v>0.376112</v>
      </c>
      <c r="GM18" s="5">
        <v>0.94777599999999995</v>
      </c>
    </row>
    <row r="19" spans="1:195" x14ac:dyDescent="0.6">
      <c r="A19" s="7">
        <v>17</v>
      </c>
      <c r="B19" s="7">
        <v>25020230</v>
      </c>
      <c r="C19" s="7">
        <v>2010</v>
      </c>
      <c r="D19" s="7">
        <v>91</v>
      </c>
      <c r="E19" s="7">
        <v>39</v>
      </c>
      <c r="F19" s="7">
        <v>105.801</v>
      </c>
      <c r="G19" s="7">
        <v>38.727499999999999</v>
      </c>
      <c r="H19" s="7">
        <v>-0.38217600000000002</v>
      </c>
      <c r="I19" s="7">
        <v>91</v>
      </c>
      <c r="J19" s="7">
        <v>25020230</v>
      </c>
      <c r="K19" s="7">
        <v>18</v>
      </c>
      <c r="L19" s="7">
        <v>0.37960899999999997</v>
      </c>
      <c r="M19" s="7">
        <v>1.1132599999999999E-2</v>
      </c>
      <c r="N19" s="7">
        <v>0.38635900000000001</v>
      </c>
      <c r="O19" s="7">
        <v>1.0855500000000001E-2</v>
      </c>
      <c r="P19" s="7">
        <v>0.38252799999999998</v>
      </c>
      <c r="Q19" s="7">
        <v>1.08874E-2</v>
      </c>
      <c r="R19" s="7">
        <v>0.34931499999999999</v>
      </c>
      <c r="S19" s="7">
        <v>9.6823499999999993E-3</v>
      </c>
      <c r="T19" s="7">
        <v>0.39021099999999997</v>
      </c>
      <c r="U19" s="7">
        <v>1.1985300000000001E-2</v>
      </c>
      <c r="V19" s="7">
        <v>0.38252799999999998</v>
      </c>
      <c r="W19" s="7">
        <v>1.08874E-2</v>
      </c>
      <c r="X19" s="7">
        <v>0.54306500000000002</v>
      </c>
      <c r="Y19" s="7">
        <v>6.69273E-3</v>
      </c>
      <c r="Z19" s="7">
        <v>0.36952200000000002</v>
      </c>
      <c r="AA19" s="7">
        <v>1.1368100000000001E-2</v>
      </c>
      <c r="AB19" s="7">
        <v>0.38252900000000001</v>
      </c>
      <c r="AC19" s="7">
        <v>1.0889100000000001E-2</v>
      </c>
      <c r="AD19" s="7">
        <v>0.38148500000000002</v>
      </c>
      <c r="AE19" s="7">
        <v>1.0976E-2</v>
      </c>
      <c r="AF19" s="7">
        <v>0.37182900000000002</v>
      </c>
      <c r="AG19" s="7">
        <v>1.1952300000000001E-2</v>
      </c>
      <c r="AH19" s="7">
        <v>0.38252799999999998</v>
      </c>
      <c r="AI19" s="7">
        <v>1.08874E-2</v>
      </c>
      <c r="AJ19" s="7">
        <v>0.542543</v>
      </c>
      <c r="AK19" s="7">
        <v>6.7285899999999996E-3</v>
      </c>
      <c r="AL19" s="7">
        <v>0.37845499999999999</v>
      </c>
      <c r="AM19" s="7">
        <v>1.16201E-2</v>
      </c>
      <c r="AN19" s="7">
        <v>0.41749900000000001</v>
      </c>
      <c r="AO19" s="7">
        <v>2.71811E-2</v>
      </c>
      <c r="AP19" s="7">
        <v>0.38277899999999998</v>
      </c>
      <c r="AQ19" s="7">
        <v>7.8963000000000002E-3</v>
      </c>
      <c r="AR19" s="7">
        <v>0.28944799999999998</v>
      </c>
      <c r="AS19" s="7">
        <v>8.1461699999999995E-3</v>
      </c>
      <c r="AT19" s="7">
        <v>0.39751700000000001</v>
      </c>
      <c r="AU19" s="7">
        <v>1.2303400000000001E-2</v>
      </c>
      <c r="AV19" s="7">
        <v>0.43554700000000002</v>
      </c>
      <c r="AW19" s="7">
        <v>1.23962E-2</v>
      </c>
      <c r="AX19" s="7">
        <v>0.42758200000000002</v>
      </c>
      <c r="AY19" s="7">
        <v>1.0728700000000001E-2</v>
      </c>
      <c r="AZ19" s="7">
        <v>0.31735000000000002</v>
      </c>
      <c r="BA19" s="7">
        <v>1.09847E-2</v>
      </c>
      <c r="BB19" s="7">
        <v>0.380463</v>
      </c>
      <c r="BC19" s="7">
        <v>1.1077999999999999E-2</v>
      </c>
      <c r="BD19" s="7">
        <v>0.38373699999999999</v>
      </c>
      <c r="BE19" s="7">
        <v>1.09906E-2</v>
      </c>
      <c r="BF19" s="7">
        <v>0.403501</v>
      </c>
      <c r="BG19" s="7">
        <v>1.11926E-2</v>
      </c>
      <c r="BH19" s="7">
        <v>0.350632</v>
      </c>
      <c r="BI19" s="7">
        <v>9.6080899999999997E-3</v>
      </c>
      <c r="BJ19" s="7">
        <v>0.41476400000000002</v>
      </c>
      <c r="BK19" s="7">
        <v>1.0553E-2</v>
      </c>
      <c r="BL19" s="7">
        <v>0.289184</v>
      </c>
      <c r="BM19" s="7">
        <v>1.06982E-2</v>
      </c>
      <c r="BN19" s="7">
        <v>0.413794</v>
      </c>
      <c r="BO19" s="7">
        <v>1.52266E-2</v>
      </c>
      <c r="BP19" s="7">
        <v>0.42171500000000001</v>
      </c>
      <c r="BQ19" s="7">
        <v>1.01451</v>
      </c>
      <c r="BR19" s="7">
        <v>0.33131300000000002</v>
      </c>
      <c r="BS19" s="7">
        <v>1.0511700000000001E-2</v>
      </c>
      <c r="BT19" s="7">
        <v>0.41420499999999999</v>
      </c>
      <c r="BU19" s="7">
        <v>1.0236000000000001</v>
      </c>
      <c r="BV19" s="7">
        <v>0.38120799999999999</v>
      </c>
      <c r="BW19" s="7">
        <v>1.0275899999999999E-2</v>
      </c>
      <c r="BX19" s="7">
        <v>0.368336</v>
      </c>
      <c r="BY19" s="7">
        <v>1.15555E-2</v>
      </c>
      <c r="BZ19" s="7">
        <v>0.41533999999999999</v>
      </c>
      <c r="CA19" s="7">
        <v>1.3552099999999999E-2</v>
      </c>
      <c r="CB19" s="7">
        <v>0.38799800000000001</v>
      </c>
      <c r="CC19" s="7">
        <v>1.03029E-2</v>
      </c>
      <c r="CD19" s="7">
        <v>0.55036399999999996</v>
      </c>
      <c r="CE19" s="7">
        <v>4.7098699999999997E-3</v>
      </c>
      <c r="CF19" s="7">
        <v>0.37605899999999998</v>
      </c>
      <c r="CG19" s="7">
        <v>1.1365200000000001E-2</v>
      </c>
      <c r="CH19" s="7">
        <v>0.34931499999999999</v>
      </c>
      <c r="CI19" s="7">
        <v>9.6823499999999993E-3</v>
      </c>
      <c r="CJ19" s="7">
        <v>0.54306500000000002</v>
      </c>
      <c r="CK19" s="7">
        <v>6.69273E-3</v>
      </c>
      <c r="CL19" s="7">
        <v>0.38739299999999999</v>
      </c>
      <c r="CM19" s="7">
        <v>1.10274E-2</v>
      </c>
      <c r="CN19" s="7">
        <v>0.39326499999999998</v>
      </c>
      <c r="CO19" s="7">
        <v>1.03946E-2</v>
      </c>
      <c r="CP19" s="7">
        <v>0.38154300000000002</v>
      </c>
      <c r="CQ19" s="7">
        <v>1.0973399999999999E-2</v>
      </c>
      <c r="CR19" s="7">
        <v>0.38923099999999999</v>
      </c>
      <c r="CS19" s="7">
        <v>1.00132E-2</v>
      </c>
      <c r="CT19" s="7">
        <v>0.35017700000000002</v>
      </c>
      <c r="CU19" s="7">
        <v>9.5303200000000001E-3</v>
      </c>
      <c r="CV19" s="7">
        <v>0.34931400000000001</v>
      </c>
      <c r="CW19" s="7">
        <v>9.6823499999999993E-3</v>
      </c>
      <c r="CX19" s="7">
        <v>0.45592199999999999</v>
      </c>
      <c r="CY19" s="7">
        <v>1.9248999999999999E-2</v>
      </c>
      <c r="CZ19" s="7">
        <v>0.39097500000000002</v>
      </c>
      <c r="DA19" s="7">
        <v>1.0152100000000001E-2</v>
      </c>
      <c r="DB19" s="7">
        <v>0.43340299999999998</v>
      </c>
      <c r="DC19" s="7">
        <v>1.0103800000000001</v>
      </c>
      <c r="DD19" s="7">
        <v>0.43157099999999998</v>
      </c>
      <c r="DE19" s="7">
        <v>0.83094299999999999</v>
      </c>
      <c r="DF19" s="7">
        <v>0.63014899999999996</v>
      </c>
      <c r="DG19" s="7">
        <v>0.282136</v>
      </c>
      <c r="DH19" s="7">
        <v>0.41420299999999999</v>
      </c>
      <c r="DI19" s="7">
        <v>1.0236000000000001</v>
      </c>
      <c r="DJ19" s="7">
        <v>0.38854</v>
      </c>
      <c r="DK19" s="7">
        <v>1.20719</v>
      </c>
      <c r="DL19" s="7">
        <v>0.425844</v>
      </c>
      <c r="DM19" s="7">
        <v>1.0210699999999999</v>
      </c>
      <c r="DN19" s="7">
        <v>0.59939799999999999</v>
      </c>
      <c r="DO19" s="7">
        <v>0.41371599999999997</v>
      </c>
      <c r="DP19" s="7">
        <v>0.41420400000000002</v>
      </c>
      <c r="DQ19" s="7">
        <v>1.0236000000000001</v>
      </c>
      <c r="DR19" s="7">
        <v>0.41416999999999998</v>
      </c>
      <c r="DS19" s="7">
        <v>1.02268</v>
      </c>
      <c r="DT19" s="7">
        <v>0.41414200000000001</v>
      </c>
      <c r="DU19" s="7">
        <v>1.02867</v>
      </c>
      <c r="DV19" s="7">
        <v>0.38429099999999999</v>
      </c>
      <c r="DW19" s="7">
        <v>1.1170899999999999</v>
      </c>
      <c r="DX19" s="7">
        <v>0.52598299999999998</v>
      </c>
      <c r="DY19" s="7">
        <v>0.74527900000000002</v>
      </c>
      <c r="DZ19" s="7">
        <v>0.36818200000000001</v>
      </c>
      <c r="EA19" s="7">
        <v>1.04871</v>
      </c>
      <c r="EB19" s="7">
        <v>0.56581300000000001</v>
      </c>
      <c r="EC19" s="7">
        <v>1.89289</v>
      </c>
      <c r="ED19" s="7">
        <v>0.39169999999999999</v>
      </c>
      <c r="EE19" s="7">
        <v>0.87814899999999996</v>
      </c>
      <c r="EF19" s="7">
        <v>0.34636</v>
      </c>
      <c r="EG19" s="7">
        <v>0.93632300000000002</v>
      </c>
      <c r="EH19" s="7">
        <v>0.47645300000000002</v>
      </c>
      <c r="EI19" s="7">
        <v>1.19004</v>
      </c>
      <c r="EJ19" s="7">
        <v>0.51271</v>
      </c>
      <c r="EK19" s="7">
        <v>1.1323000000000001</v>
      </c>
      <c r="EL19" s="7">
        <v>0.49538100000000002</v>
      </c>
      <c r="EM19" s="7">
        <v>1.0112099999999999</v>
      </c>
      <c r="EN19" s="7">
        <v>0.39366400000000001</v>
      </c>
      <c r="EO19" s="7">
        <v>1.2407699999999999</v>
      </c>
      <c r="EP19" s="7">
        <v>0.437384</v>
      </c>
      <c r="EQ19" s="7">
        <v>1.0135099999999999</v>
      </c>
      <c r="ER19" s="7">
        <v>0.438218</v>
      </c>
      <c r="ES19" s="7">
        <v>1.0034700000000001</v>
      </c>
      <c r="ET19" s="7">
        <v>0.46933200000000003</v>
      </c>
      <c r="EU19" s="7">
        <v>0.84716599999999997</v>
      </c>
      <c r="EV19" s="7">
        <v>0.37630400000000003</v>
      </c>
      <c r="EW19" s="7">
        <v>1.00631</v>
      </c>
      <c r="EX19" s="7">
        <v>0.50148700000000002</v>
      </c>
      <c r="EY19" s="7">
        <v>0.774011</v>
      </c>
      <c r="EZ19" s="7">
        <v>0.368002</v>
      </c>
      <c r="FA19" s="7">
        <v>1.3670599999999999</v>
      </c>
      <c r="FB19" s="7">
        <v>0.43894300000000003</v>
      </c>
      <c r="FC19" s="7">
        <v>1.6447400000000001</v>
      </c>
      <c r="FD19" s="7">
        <v>0.38397500000000001</v>
      </c>
      <c r="FE19" s="7">
        <v>0.98236000000000001</v>
      </c>
      <c r="FF19" s="7">
        <v>0.40296500000000002</v>
      </c>
      <c r="FG19" s="7">
        <v>1.1462399999999999</v>
      </c>
      <c r="FH19" s="7">
        <v>0.41420600000000002</v>
      </c>
      <c r="FI19" s="7">
        <v>1.0236000000000001</v>
      </c>
      <c r="FJ19" s="7">
        <v>0.44847999999999999</v>
      </c>
      <c r="FK19" s="7">
        <v>1.03715</v>
      </c>
      <c r="FL19" s="7">
        <v>0.36602200000000001</v>
      </c>
      <c r="FM19" s="7">
        <v>1.0156099999999999</v>
      </c>
      <c r="FN19" s="7">
        <v>0.50027500000000003</v>
      </c>
      <c r="FO19" s="7">
        <v>1.2502599999999999</v>
      </c>
      <c r="FP19" s="7">
        <v>0.41434500000000002</v>
      </c>
      <c r="FQ19" s="7">
        <v>1.0222500000000001</v>
      </c>
      <c r="FR19" s="7">
        <v>0.41696</v>
      </c>
      <c r="FS19" s="7">
        <v>1.01854</v>
      </c>
      <c r="FT19" s="7">
        <v>0.41909099999999999</v>
      </c>
      <c r="FU19" s="7">
        <v>1.0183199999999999</v>
      </c>
      <c r="FV19" s="7">
        <v>0.59939799999999999</v>
      </c>
      <c r="FW19" s="7">
        <v>0.41371599999999997</v>
      </c>
      <c r="FX19" s="7">
        <v>0.383044</v>
      </c>
      <c r="FY19" s="7">
        <v>0.965642</v>
      </c>
      <c r="FZ19" s="7">
        <v>0.46071299999999998</v>
      </c>
      <c r="GA19" s="7">
        <v>1.0314099999999999</v>
      </c>
      <c r="GB19" s="7">
        <v>0.42415700000000001</v>
      </c>
      <c r="GC19" s="7">
        <v>1.0184800000000001</v>
      </c>
      <c r="GD19" s="7">
        <v>0.41424299999999997</v>
      </c>
      <c r="GE19" s="7">
        <v>1.0238400000000001</v>
      </c>
      <c r="GF19" s="7">
        <v>0.41447099999999998</v>
      </c>
      <c r="GG19" s="7">
        <v>1.0134399999999999</v>
      </c>
      <c r="GH19" s="7">
        <v>0.57335899999999995</v>
      </c>
      <c r="GI19" s="7">
        <v>0.44331700000000002</v>
      </c>
      <c r="GJ19" s="7">
        <v>0.56548399999999999</v>
      </c>
      <c r="GK19" s="7">
        <v>1.4672499999999999</v>
      </c>
      <c r="GL19" s="7">
        <v>0.386654</v>
      </c>
      <c r="GM19" s="7">
        <v>0.96018700000000001</v>
      </c>
    </row>
    <row r="20" spans="1:195" x14ac:dyDescent="0.6">
      <c r="A20" s="5">
        <v>18</v>
      </c>
      <c r="B20" s="5">
        <v>25020230</v>
      </c>
      <c r="C20" s="5">
        <v>1988</v>
      </c>
      <c r="D20" s="5">
        <v>95</v>
      </c>
      <c r="E20" s="5">
        <v>39</v>
      </c>
      <c r="F20" s="5">
        <v>105.801</v>
      </c>
      <c r="G20" s="5">
        <v>38.727499999999999</v>
      </c>
      <c r="H20" s="5">
        <v>-0.27889000000000003</v>
      </c>
      <c r="I20" s="5">
        <v>95</v>
      </c>
      <c r="J20" s="5">
        <v>25020230</v>
      </c>
      <c r="K20" s="5">
        <v>19</v>
      </c>
      <c r="L20" s="5">
        <v>0.42430200000000001</v>
      </c>
      <c r="M20" s="5">
        <v>1.11883E-2</v>
      </c>
      <c r="N20" s="5">
        <v>0.42980499999999999</v>
      </c>
      <c r="O20" s="5">
        <v>1.0846E-2</v>
      </c>
      <c r="P20" s="5">
        <v>0.42617699999999997</v>
      </c>
      <c r="Q20" s="5">
        <v>1.0914399999999999E-2</v>
      </c>
      <c r="R20" s="5">
        <v>0.388766</v>
      </c>
      <c r="S20" s="5">
        <v>1.0027599999999999E-2</v>
      </c>
      <c r="T20" s="5">
        <v>0.43690200000000001</v>
      </c>
      <c r="U20" s="5">
        <v>1.11375E-2</v>
      </c>
      <c r="V20" s="5">
        <v>0.42617699999999997</v>
      </c>
      <c r="W20" s="5">
        <v>1.0914399999999999E-2</v>
      </c>
      <c r="X20" s="5">
        <v>0.56906699999999999</v>
      </c>
      <c r="Y20" s="5">
        <v>6.3118799999999997E-3</v>
      </c>
      <c r="Z20" s="5">
        <v>0.41544599999999998</v>
      </c>
      <c r="AA20" s="5">
        <v>1.15636E-2</v>
      </c>
      <c r="AB20" s="5">
        <v>0.42618499999999998</v>
      </c>
      <c r="AC20" s="5">
        <v>1.09161E-2</v>
      </c>
      <c r="AD20" s="5">
        <v>0.42550399999999999</v>
      </c>
      <c r="AE20" s="5">
        <v>1.10102E-2</v>
      </c>
      <c r="AF20" s="5">
        <v>0.42008000000000001</v>
      </c>
      <c r="AG20" s="5">
        <v>1.21332E-2</v>
      </c>
      <c r="AH20" s="5">
        <v>0.42617699999999997</v>
      </c>
      <c r="AI20" s="5">
        <v>1.0914399999999999E-2</v>
      </c>
      <c r="AJ20" s="5">
        <v>0.56868099999999999</v>
      </c>
      <c r="AK20" s="5">
        <v>6.3441299999999999E-3</v>
      </c>
      <c r="AL20" s="5">
        <v>0.42511300000000002</v>
      </c>
      <c r="AM20" s="5">
        <v>1.1676600000000001E-2</v>
      </c>
      <c r="AN20" s="5">
        <v>0.51491600000000004</v>
      </c>
      <c r="AO20" s="5">
        <v>2.1711000000000001E-2</v>
      </c>
      <c r="AP20" s="5">
        <v>0.41442000000000001</v>
      </c>
      <c r="AQ20" s="5">
        <v>7.9203599999999996E-3</v>
      </c>
      <c r="AR20" s="5">
        <v>0.32347900000000002</v>
      </c>
      <c r="AS20" s="5">
        <v>8.8699699999999996E-3</v>
      </c>
      <c r="AT20" s="5">
        <v>0.44634499999999999</v>
      </c>
      <c r="AU20" s="5">
        <v>1.20798E-2</v>
      </c>
      <c r="AV20" s="5">
        <v>0.48378599999999999</v>
      </c>
      <c r="AW20" s="5">
        <v>1.17178E-2</v>
      </c>
      <c r="AX20" s="5">
        <v>0.46971400000000002</v>
      </c>
      <c r="AY20" s="5">
        <v>1.03328E-2</v>
      </c>
      <c r="AZ20" s="5">
        <v>0.36315399999999998</v>
      </c>
      <c r="BA20" s="5">
        <v>1.18893E-2</v>
      </c>
      <c r="BB20" s="5">
        <v>0.42491600000000002</v>
      </c>
      <c r="BC20" s="5">
        <v>1.11237E-2</v>
      </c>
      <c r="BD20" s="5">
        <v>0.42775800000000003</v>
      </c>
      <c r="BE20" s="5">
        <v>1.09966E-2</v>
      </c>
      <c r="BF20" s="5">
        <v>0.44792199999999999</v>
      </c>
      <c r="BG20" s="5">
        <v>1.0995E-2</v>
      </c>
      <c r="BH20" s="5">
        <v>0.389768</v>
      </c>
      <c r="BI20" s="5">
        <v>9.9443799999999992E-3</v>
      </c>
      <c r="BJ20" s="5">
        <v>0.45654</v>
      </c>
      <c r="BK20" s="5">
        <v>1.03196E-2</v>
      </c>
      <c r="BL20" s="5">
        <v>0.33530599999999999</v>
      </c>
      <c r="BM20" s="5">
        <v>1.2404399999999999E-2</v>
      </c>
      <c r="BN20" s="5">
        <v>0.47164299999999998</v>
      </c>
      <c r="BO20" s="5">
        <v>1.3724E-2</v>
      </c>
      <c r="BP20" s="5">
        <v>0.46565600000000001</v>
      </c>
      <c r="BQ20" s="5">
        <v>1.02633</v>
      </c>
      <c r="BR20" s="5">
        <v>0.374616</v>
      </c>
      <c r="BS20" s="5">
        <v>1.11159E-2</v>
      </c>
      <c r="BT20" s="5">
        <v>0.45868500000000001</v>
      </c>
      <c r="BU20" s="5">
        <v>1.0423</v>
      </c>
      <c r="BV20" s="5">
        <v>0.42247699999999999</v>
      </c>
      <c r="BW20" s="5">
        <v>1.0340999999999999E-2</v>
      </c>
      <c r="BX20" s="5">
        <v>0.41516399999999998</v>
      </c>
      <c r="BY20" s="5">
        <v>1.1824599999999999E-2</v>
      </c>
      <c r="BZ20" s="5">
        <v>0.46835399999999999</v>
      </c>
      <c r="CA20" s="5">
        <v>1.2924400000000001E-2</v>
      </c>
      <c r="CB20" s="5">
        <v>0.42926300000000001</v>
      </c>
      <c r="CC20" s="5">
        <v>1.0312699999999999E-2</v>
      </c>
      <c r="CD20" s="5">
        <v>0.56887600000000005</v>
      </c>
      <c r="CE20" s="5">
        <v>4.5459799999999998E-3</v>
      </c>
      <c r="CF20" s="5">
        <v>0.42176200000000003</v>
      </c>
      <c r="CG20" s="5">
        <v>1.1457500000000001E-2</v>
      </c>
      <c r="CH20" s="5">
        <v>0.388766</v>
      </c>
      <c r="CI20" s="5">
        <v>1.0027599999999999E-2</v>
      </c>
      <c r="CJ20" s="5">
        <v>0.56906699999999999</v>
      </c>
      <c r="CK20" s="5">
        <v>6.3118799999999997E-3</v>
      </c>
      <c r="CL20" s="5">
        <v>0.43149300000000002</v>
      </c>
      <c r="CM20" s="5">
        <v>1.10002E-2</v>
      </c>
      <c r="CN20" s="5">
        <v>0.43478099999999997</v>
      </c>
      <c r="CO20" s="5">
        <v>1.03473E-2</v>
      </c>
      <c r="CP20" s="5">
        <v>0.42555199999999999</v>
      </c>
      <c r="CQ20" s="5">
        <v>1.1007299999999999E-2</v>
      </c>
      <c r="CR20" s="5">
        <v>0.42935099999999998</v>
      </c>
      <c r="CS20" s="5">
        <v>1.00327E-2</v>
      </c>
      <c r="CT20" s="5">
        <v>0.389044</v>
      </c>
      <c r="CU20" s="5">
        <v>9.8872300000000003E-3</v>
      </c>
      <c r="CV20" s="5">
        <v>0.388766</v>
      </c>
      <c r="CW20" s="5">
        <v>1.0027599999999999E-2</v>
      </c>
      <c r="CX20" s="5">
        <v>0.52673700000000001</v>
      </c>
      <c r="CY20" s="5">
        <v>1.6243199999999999E-2</v>
      </c>
      <c r="CZ20" s="5">
        <v>0.431614</v>
      </c>
      <c r="DA20" s="5">
        <v>1.01525E-2</v>
      </c>
      <c r="DB20" s="5">
        <v>0.47703299999999998</v>
      </c>
      <c r="DC20" s="5">
        <v>1.0160400000000001</v>
      </c>
      <c r="DD20" s="5">
        <v>0.46747100000000003</v>
      </c>
      <c r="DE20" s="5">
        <v>0.83702799999999999</v>
      </c>
      <c r="DF20" s="5">
        <v>0.64202400000000004</v>
      </c>
      <c r="DG20" s="5">
        <v>0.27010200000000001</v>
      </c>
      <c r="DH20" s="5">
        <v>0.45868399999999998</v>
      </c>
      <c r="DI20" s="5">
        <v>1.0423</v>
      </c>
      <c r="DJ20" s="5">
        <v>0.43920199999999998</v>
      </c>
      <c r="DK20" s="5">
        <v>1.12201</v>
      </c>
      <c r="DL20" s="5">
        <v>0.47005200000000003</v>
      </c>
      <c r="DM20" s="5">
        <v>1.03213</v>
      </c>
      <c r="DN20" s="5">
        <v>0.61680500000000005</v>
      </c>
      <c r="DO20" s="5">
        <v>0.39573900000000001</v>
      </c>
      <c r="DP20" s="5">
        <v>0.45868500000000001</v>
      </c>
      <c r="DQ20" s="5">
        <v>1.0423</v>
      </c>
      <c r="DR20" s="5">
        <v>0.45860699999999999</v>
      </c>
      <c r="DS20" s="5">
        <v>1.0411999999999999</v>
      </c>
      <c r="DT20" s="5">
        <v>0.45883699999999999</v>
      </c>
      <c r="DU20" s="5">
        <v>1.04715</v>
      </c>
      <c r="DV20" s="5">
        <v>0.43332999999999999</v>
      </c>
      <c r="DW20" s="5">
        <v>1.1593100000000001</v>
      </c>
      <c r="DX20" s="5">
        <v>0.55765500000000001</v>
      </c>
      <c r="DY20" s="5">
        <v>0.72670999999999997</v>
      </c>
      <c r="DZ20" s="5">
        <v>0.41489199999999998</v>
      </c>
      <c r="EA20" s="5">
        <v>1.12073</v>
      </c>
      <c r="EB20" s="5">
        <v>0.63825699999999996</v>
      </c>
      <c r="EC20" s="5">
        <v>1.4935700000000001</v>
      </c>
      <c r="ED20" s="5">
        <v>0.4304</v>
      </c>
      <c r="EE20" s="5">
        <v>0.92033100000000001</v>
      </c>
      <c r="EF20" s="5">
        <v>0.388297</v>
      </c>
      <c r="EG20" s="5">
        <v>1.0128999999999999</v>
      </c>
      <c r="EH20" s="5">
        <v>0.52657299999999996</v>
      </c>
      <c r="EI20" s="5">
        <v>1.13778</v>
      </c>
      <c r="EJ20" s="5">
        <v>0.55975600000000003</v>
      </c>
      <c r="EK20" s="5">
        <v>1.0548</v>
      </c>
      <c r="EL20" s="5">
        <v>0.53787399999999996</v>
      </c>
      <c r="EM20" s="5">
        <v>0.96404199999999995</v>
      </c>
      <c r="EN20" s="5">
        <v>0.448355</v>
      </c>
      <c r="EO20" s="5">
        <v>1.29613</v>
      </c>
      <c r="EP20" s="5">
        <v>0.48110199999999997</v>
      </c>
      <c r="EQ20" s="5">
        <v>1.0169999999999999</v>
      </c>
      <c r="ER20" s="5">
        <v>0.481458</v>
      </c>
      <c r="ES20" s="5">
        <v>1.00488</v>
      </c>
      <c r="ET20" s="5">
        <v>0.50527599999999995</v>
      </c>
      <c r="EU20" s="5">
        <v>0.82307200000000003</v>
      </c>
      <c r="EV20" s="5">
        <v>0.42081400000000002</v>
      </c>
      <c r="EW20" s="5">
        <v>1.0612600000000001</v>
      </c>
      <c r="EX20" s="5">
        <v>0.53425900000000004</v>
      </c>
      <c r="EY20" s="5">
        <v>0.74912599999999996</v>
      </c>
      <c r="EZ20" s="5">
        <v>0.43176799999999999</v>
      </c>
      <c r="FA20" s="5">
        <v>1.6039399999999999</v>
      </c>
      <c r="FB20" s="5">
        <v>0.50541599999999998</v>
      </c>
      <c r="FC20" s="5">
        <v>1.4498800000000001</v>
      </c>
      <c r="FD20" s="5">
        <v>0.427232</v>
      </c>
      <c r="FE20" s="5">
        <v>1.0271300000000001</v>
      </c>
      <c r="FF20" s="5">
        <v>0.45309500000000003</v>
      </c>
      <c r="FG20" s="5">
        <v>1.18062</v>
      </c>
      <c r="FH20" s="5">
        <v>0.45868700000000001</v>
      </c>
      <c r="FI20" s="5">
        <v>1.0423</v>
      </c>
      <c r="FJ20" s="5">
        <v>0.492894</v>
      </c>
      <c r="FK20" s="5">
        <v>1.0259</v>
      </c>
      <c r="FL20" s="5">
        <v>0.41134799999999999</v>
      </c>
      <c r="FM20" s="5">
        <v>1.09006</v>
      </c>
      <c r="FN20" s="5">
        <v>0.55214399999999997</v>
      </c>
      <c r="FO20" s="5">
        <v>1.1598299999999999</v>
      </c>
      <c r="FP20" s="5">
        <v>0.45876400000000001</v>
      </c>
      <c r="FQ20" s="5">
        <v>1.04078</v>
      </c>
      <c r="FR20" s="5">
        <v>0.46118700000000001</v>
      </c>
      <c r="FS20" s="5">
        <v>1.03559</v>
      </c>
      <c r="FT20" s="5">
        <v>0.46328200000000003</v>
      </c>
      <c r="FU20" s="5">
        <v>1.03416</v>
      </c>
      <c r="FV20" s="5">
        <v>0.61680500000000005</v>
      </c>
      <c r="FW20" s="5">
        <v>0.39573900000000001</v>
      </c>
      <c r="FX20" s="5">
        <v>0.42557200000000001</v>
      </c>
      <c r="FY20" s="5">
        <v>1.0101</v>
      </c>
      <c r="FZ20" s="5">
        <v>0.50466500000000003</v>
      </c>
      <c r="GA20" s="5">
        <v>1.0104599999999999</v>
      </c>
      <c r="GB20" s="5">
        <v>0.46819499999999997</v>
      </c>
      <c r="GC20" s="5">
        <v>1.02684</v>
      </c>
      <c r="GD20" s="5">
        <v>0.45873399999999998</v>
      </c>
      <c r="GE20" s="5">
        <v>1.04253</v>
      </c>
      <c r="GF20" s="5">
        <v>0.45852500000000002</v>
      </c>
      <c r="GG20" s="5">
        <v>1.0326</v>
      </c>
      <c r="GH20" s="5">
        <v>0.59207600000000005</v>
      </c>
      <c r="GI20" s="5">
        <v>0.42697000000000002</v>
      </c>
      <c r="GJ20" s="5">
        <v>0.62327100000000002</v>
      </c>
      <c r="GK20" s="5">
        <v>1.2277899999999999</v>
      </c>
      <c r="GL20" s="5">
        <v>0.42891899999999999</v>
      </c>
      <c r="GM20" s="5">
        <v>1.0034400000000001</v>
      </c>
    </row>
    <row r="21" spans="1:195" x14ac:dyDescent="0.6">
      <c r="A21" s="7">
        <v>19</v>
      </c>
      <c r="B21" s="7">
        <v>25020230</v>
      </c>
      <c r="C21" s="7">
        <v>2014</v>
      </c>
      <c r="D21" s="7">
        <v>96</v>
      </c>
      <c r="E21" s="7">
        <v>39</v>
      </c>
      <c r="F21" s="7">
        <v>105.801</v>
      </c>
      <c r="G21" s="7">
        <v>38.727499999999999</v>
      </c>
      <c r="H21" s="7">
        <v>-0.25306800000000002</v>
      </c>
      <c r="I21" s="7">
        <v>96</v>
      </c>
      <c r="J21" s="7">
        <v>25020230</v>
      </c>
      <c r="K21" s="7">
        <v>20</v>
      </c>
      <c r="L21" s="7">
        <v>0.43548599999999998</v>
      </c>
      <c r="M21" s="7">
        <v>1.11786E-2</v>
      </c>
      <c r="N21" s="7">
        <v>0.440641</v>
      </c>
      <c r="O21" s="7">
        <v>1.0823599999999999E-2</v>
      </c>
      <c r="P21" s="7">
        <v>0.437085</v>
      </c>
      <c r="Q21" s="7">
        <v>1.09005E-2</v>
      </c>
      <c r="R21" s="7">
        <v>0.39883000000000002</v>
      </c>
      <c r="S21" s="7">
        <v>1.00985E-2</v>
      </c>
      <c r="T21" s="7">
        <v>0.44782300000000003</v>
      </c>
      <c r="U21" s="7">
        <v>1.06829E-2</v>
      </c>
      <c r="V21" s="7">
        <v>0.437085</v>
      </c>
      <c r="W21" s="7">
        <v>1.09005E-2</v>
      </c>
      <c r="X21" s="7">
        <v>0.57533299999999998</v>
      </c>
      <c r="Y21" s="7">
        <v>6.2201000000000001E-3</v>
      </c>
      <c r="Z21" s="7">
        <v>0.42702099999999998</v>
      </c>
      <c r="AA21" s="7">
        <v>1.1584199999999999E-2</v>
      </c>
      <c r="AB21" s="7">
        <v>0.43709399999999998</v>
      </c>
      <c r="AC21" s="7">
        <v>1.09021E-2</v>
      </c>
      <c r="AD21" s="7">
        <v>0.43650899999999998</v>
      </c>
      <c r="AE21" s="7">
        <v>1.0997E-2</v>
      </c>
      <c r="AF21" s="7">
        <v>0.43221799999999999</v>
      </c>
      <c r="AG21" s="7">
        <v>1.21415E-2</v>
      </c>
      <c r="AH21" s="7">
        <v>0.437085</v>
      </c>
      <c r="AI21" s="7">
        <v>1.09005E-2</v>
      </c>
      <c r="AJ21" s="7">
        <v>0.57497799999999999</v>
      </c>
      <c r="AK21" s="7">
        <v>6.2515000000000001E-3</v>
      </c>
      <c r="AL21" s="7">
        <v>0.436782</v>
      </c>
      <c r="AM21" s="7">
        <v>1.16609E-2</v>
      </c>
      <c r="AN21" s="7">
        <v>0.536026</v>
      </c>
      <c r="AO21" s="7">
        <v>2.0520099999999999E-2</v>
      </c>
      <c r="AP21" s="7">
        <v>0.422342</v>
      </c>
      <c r="AQ21" s="7">
        <v>7.9227099999999995E-3</v>
      </c>
      <c r="AR21" s="7">
        <v>0.33243899999999998</v>
      </c>
      <c r="AS21" s="7">
        <v>9.0511099999999994E-3</v>
      </c>
      <c r="AT21" s="7">
        <v>0.45838400000000001</v>
      </c>
      <c r="AU21" s="7">
        <v>1.19963E-2</v>
      </c>
      <c r="AV21" s="7">
        <v>0.49541600000000002</v>
      </c>
      <c r="AW21" s="7">
        <v>1.15435E-2</v>
      </c>
      <c r="AX21" s="7">
        <v>0.479995</v>
      </c>
      <c r="AY21" s="7">
        <v>1.0229800000000001E-2</v>
      </c>
      <c r="AZ21" s="7">
        <v>0.37514199999999998</v>
      </c>
      <c r="BA21" s="7">
        <v>1.2086100000000001E-2</v>
      </c>
      <c r="BB21" s="7">
        <v>0.43603500000000001</v>
      </c>
      <c r="BC21" s="7">
        <v>1.1112199999999999E-2</v>
      </c>
      <c r="BD21" s="7">
        <v>0.43874600000000002</v>
      </c>
      <c r="BE21" s="7">
        <v>1.09765E-2</v>
      </c>
      <c r="BF21" s="7">
        <v>0.45888299999999999</v>
      </c>
      <c r="BG21" s="7">
        <v>1.0925000000000001E-2</v>
      </c>
      <c r="BH21" s="7">
        <v>0.39974700000000002</v>
      </c>
      <c r="BI21" s="7">
        <v>1.00134E-2</v>
      </c>
      <c r="BJ21" s="7">
        <v>0.46682400000000002</v>
      </c>
      <c r="BK21" s="7">
        <v>1.02475E-2</v>
      </c>
      <c r="BL21" s="7">
        <v>0.34794199999999997</v>
      </c>
      <c r="BM21" s="7">
        <v>1.28719E-2</v>
      </c>
      <c r="BN21" s="7">
        <v>0.48519000000000001</v>
      </c>
      <c r="BO21" s="7">
        <v>1.33721E-2</v>
      </c>
      <c r="BP21" s="7">
        <v>0.47640900000000003</v>
      </c>
      <c r="BQ21" s="7">
        <v>1.0273000000000001</v>
      </c>
      <c r="BR21" s="7">
        <v>0.385797</v>
      </c>
      <c r="BS21" s="7">
        <v>1.1243E-2</v>
      </c>
      <c r="BT21" s="7">
        <v>0.46961399999999998</v>
      </c>
      <c r="BU21" s="7">
        <v>1.0448900000000001</v>
      </c>
      <c r="BV21" s="7">
        <v>0.43281900000000001</v>
      </c>
      <c r="BW21" s="7">
        <v>1.0340999999999999E-2</v>
      </c>
      <c r="BX21" s="7">
        <v>0.427008</v>
      </c>
      <c r="BY21" s="7">
        <v>1.1859400000000001E-2</v>
      </c>
      <c r="BZ21" s="7">
        <v>0.481188</v>
      </c>
      <c r="CA21" s="7">
        <v>1.2742099999999999E-2</v>
      </c>
      <c r="CB21" s="7">
        <v>0.43957000000000002</v>
      </c>
      <c r="CC21" s="7">
        <v>1.02998E-2</v>
      </c>
      <c r="CD21" s="7">
        <v>0.57340100000000005</v>
      </c>
      <c r="CE21" s="7">
        <v>4.5051199999999996E-3</v>
      </c>
      <c r="CF21" s="7">
        <v>0.43321799999999999</v>
      </c>
      <c r="CG21" s="7">
        <v>1.1453700000000001E-2</v>
      </c>
      <c r="CH21" s="7">
        <v>0.39883000000000002</v>
      </c>
      <c r="CI21" s="7">
        <v>1.00985E-2</v>
      </c>
      <c r="CJ21" s="7">
        <v>0.57533299999999998</v>
      </c>
      <c r="CK21" s="7">
        <v>6.2201000000000001E-3</v>
      </c>
      <c r="CL21" s="7">
        <v>0.44247999999999998</v>
      </c>
      <c r="CM21" s="7">
        <v>1.0972600000000001E-2</v>
      </c>
      <c r="CN21" s="7">
        <v>0.44511499999999998</v>
      </c>
      <c r="CO21" s="7">
        <v>1.03211E-2</v>
      </c>
      <c r="CP21" s="7">
        <v>0.43655300000000002</v>
      </c>
      <c r="CQ21" s="7">
        <v>1.09941E-2</v>
      </c>
      <c r="CR21" s="7">
        <v>0.43937999999999999</v>
      </c>
      <c r="CS21" s="7">
        <v>1.0024399999999999E-2</v>
      </c>
      <c r="CT21" s="7">
        <v>0.39896900000000002</v>
      </c>
      <c r="CU21" s="7">
        <v>9.9609199999999998E-3</v>
      </c>
      <c r="CV21" s="7">
        <v>0.39883000000000002</v>
      </c>
      <c r="CW21" s="7">
        <v>1.00985E-2</v>
      </c>
      <c r="CX21" s="7">
        <v>0.54264199999999996</v>
      </c>
      <c r="CY21" s="7">
        <v>1.55707E-2</v>
      </c>
      <c r="CZ21" s="7">
        <v>0.44175999999999999</v>
      </c>
      <c r="DA21" s="7">
        <v>1.0138599999999999E-2</v>
      </c>
      <c r="DB21" s="7">
        <v>0.48766999999999999</v>
      </c>
      <c r="DC21" s="7">
        <v>1.01555</v>
      </c>
      <c r="DD21" s="7">
        <v>0.47623900000000002</v>
      </c>
      <c r="DE21" s="7">
        <v>0.83747099999999997</v>
      </c>
      <c r="DF21" s="7">
        <v>0.64483800000000002</v>
      </c>
      <c r="DG21" s="7">
        <v>0.267293</v>
      </c>
      <c r="DH21" s="7">
        <v>0.469613</v>
      </c>
      <c r="DI21" s="7">
        <v>1.0448900000000001</v>
      </c>
      <c r="DJ21" s="7">
        <v>0.450706</v>
      </c>
      <c r="DK21" s="7">
        <v>1.0729200000000001</v>
      </c>
      <c r="DL21" s="7">
        <v>0.48086400000000001</v>
      </c>
      <c r="DM21" s="7">
        <v>1.03288</v>
      </c>
      <c r="DN21" s="7">
        <v>0.62092700000000001</v>
      </c>
      <c r="DO21" s="7">
        <v>0.391482</v>
      </c>
      <c r="DP21" s="7">
        <v>0.46961399999999998</v>
      </c>
      <c r="DQ21" s="7">
        <v>1.04488</v>
      </c>
      <c r="DR21" s="7">
        <v>0.469524</v>
      </c>
      <c r="DS21" s="7">
        <v>1.0437399999999999</v>
      </c>
      <c r="DT21" s="7">
        <v>0.46981600000000001</v>
      </c>
      <c r="DU21" s="7">
        <v>1.04965</v>
      </c>
      <c r="DV21" s="7">
        <v>0.44550699999999999</v>
      </c>
      <c r="DW21" s="7">
        <v>1.16628</v>
      </c>
      <c r="DX21" s="7">
        <v>0.56523900000000005</v>
      </c>
      <c r="DY21" s="7">
        <v>0.72171799999999997</v>
      </c>
      <c r="DZ21" s="7">
        <v>0.42670799999999998</v>
      </c>
      <c r="EA21" s="7">
        <v>1.1359900000000001</v>
      </c>
      <c r="EB21" s="7">
        <v>0.65346499999999996</v>
      </c>
      <c r="EC21" s="7">
        <v>1.4119600000000001</v>
      </c>
      <c r="ED21" s="7">
        <v>0.44008700000000001</v>
      </c>
      <c r="EE21" s="7">
        <v>0.92983000000000005</v>
      </c>
      <c r="EF21" s="7">
        <v>0.39899800000000002</v>
      </c>
      <c r="EG21" s="7">
        <v>1.0309200000000001</v>
      </c>
      <c r="EH21" s="7">
        <v>0.53841099999999997</v>
      </c>
      <c r="EI21" s="7">
        <v>1.12304</v>
      </c>
      <c r="EJ21" s="7">
        <v>0.57070200000000004</v>
      </c>
      <c r="EK21" s="7">
        <v>1.03579</v>
      </c>
      <c r="EL21" s="7">
        <v>0.54790700000000003</v>
      </c>
      <c r="EM21" s="7">
        <v>0.95222899999999999</v>
      </c>
      <c r="EN21" s="7">
        <v>0.46197100000000002</v>
      </c>
      <c r="EO21" s="7">
        <v>1.30402</v>
      </c>
      <c r="EP21" s="7">
        <v>0.49174600000000002</v>
      </c>
      <c r="EQ21" s="7">
        <v>1.0159899999999999</v>
      </c>
      <c r="ER21" s="7">
        <v>0.49197299999999999</v>
      </c>
      <c r="ES21" s="7">
        <v>1.00343</v>
      </c>
      <c r="ET21" s="7">
        <v>0.51385999999999998</v>
      </c>
      <c r="EU21" s="7">
        <v>0.81639799999999996</v>
      </c>
      <c r="EV21" s="7">
        <v>0.43198799999999998</v>
      </c>
      <c r="EW21" s="7">
        <v>1.0728899999999999</v>
      </c>
      <c r="EX21" s="7">
        <v>0.54206900000000002</v>
      </c>
      <c r="EY21" s="7">
        <v>0.74263400000000002</v>
      </c>
      <c r="EZ21" s="7">
        <v>0.44889499999999999</v>
      </c>
      <c r="FA21" s="7">
        <v>1.6675599999999999</v>
      </c>
      <c r="FB21" s="7">
        <v>0.52036800000000005</v>
      </c>
      <c r="FC21" s="7">
        <v>1.40605</v>
      </c>
      <c r="FD21" s="7">
        <v>0.43803700000000001</v>
      </c>
      <c r="FE21" s="7">
        <v>1.0364500000000001</v>
      </c>
      <c r="FF21" s="7">
        <v>0.46548400000000001</v>
      </c>
      <c r="FG21" s="7">
        <v>1.18543</v>
      </c>
      <c r="FH21" s="7">
        <v>0.469615</v>
      </c>
      <c r="FI21" s="7">
        <v>1.0448900000000001</v>
      </c>
      <c r="FJ21" s="7">
        <v>0.50361400000000001</v>
      </c>
      <c r="FK21" s="7">
        <v>1.0215000000000001</v>
      </c>
      <c r="FL21" s="7">
        <v>0.42284899999999997</v>
      </c>
      <c r="FM21" s="7">
        <v>1.1064799999999999</v>
      </c>
      <c r="FN21" s="7">
        <v>0.564168</v>
      </c>
      <c r="FO21" s="7">
        <v>1.1367799999999999</v>
      </c>
      <c r="FP21" s="7">
        <v>0.46967700000000001</v>
      </c>
      <c r="FQ21" s="7">
        <v>1.0433300000000001</v>
      </c>
      <c r="FR21" s="7">
        <v>0.47204299999999999</v>
      </c>
      <c r="FS21" s="7">
        <v>1.0378099999999999</v>
      </c>
      <c r="FT21" s="7">
        <v>0.47412199999999999</v>
      </c>
      <c r="FU21" s="7">
        <v>1.0360799999999999</v>
      </c>
      <c r="FV21" s="7">
        <v>0.62092700000000001</v>
      </c>
      <c r="FW21" s="7">
        <v>0.391482</v>
      </c>
      <c r="FX21" s="7">
        <v>0.436199</v>
      </c>
      <c r="FY21" s="7">
        <v>1.0195099999999999</v>
      </c>
      <c r="FZ21" s="7">
        <v>0.515212</v>
      </c>
      <c r="GA21" s="7">
        <v>1.0039800000000001</v>
      </c>
      <c r="GB21" s="7">
        <v>0.47894900000000001</v>
      </c>
      <c r="GC21" s="7">
        <v>1.0269600000000001</v>
      </c>
      <c r="GD21" s="7">
        <v>0.469665</v>
      </c>
      <c r="GE21" s="7">
        <v>1.04512</v>
      </c>
      <c r="GF21" s="7">
        <v>0.46935300000000002</v>
      </c>
      <c r="GG21" s="7">
        <v>1.0352699999999999</v>
      </c>
      <c r="GH21" s="7">
        <v>0.59652700000000003</v>
      </c>
      <c r="GI21" s="7">
        <v>0.42305900000000002</v>
      </c>
      <c r="GJ21" s="7">
        <v>0.63585800000000003</v>
      </c>
      <c r="GK21" s="7">
        <v>1.17672</v>
      </c>
      <c r="GL21" s="7">
        <v>0.439475</v>
      </c>
      <c r="GM21" s="7">
        <v>1.0125999999999999</v>
      </c>
    </row>
    <row r="22" spans="1:195" x14ac:dyDescent="0.6">
      <c r="A22" s="5">
        <v>20</v>
      </c>
      <c r="B22" s="5">
        <v>25020230</v>
      </c>
      <c r="C22" s="5">
        <v>2016</v>
      </c>
      <c r="D22" s="5">
        <v>100</v>
      </c>
      <c r="E22" s="5">
        <v>39</v>
      </c>
      <c r="F22" s="5">
        <v>105.801</v>
      </c>
      <c r="G22" s="5">
        <v>38.727499999999999</v>
      </c>
      <c r="H22" s="5">
        <v>-0.149783</v>
      </c>
      <c r="I22" s="5">
        <v>100</v>
      </c>
      <c r="J22" s="5">
        <v>25020230</v>
      </c>
      <c r="K22" s="5">
        <v>21</v>
      </c>
      <c r="L22" s="5">
        <v>0.479991</v>
      </c>
      <c r="M22" s="5">
        <v>1.1051E-2</v>
      </c>
      <c r="N22" s="5">
        <v>0.48364600000000002</v>
      </c>
      <c r="O22" s="5">
        <v>1.06596E-2</v>
      </c>
      <c r="P22" s="5">
        <v>0.48046</v>
      </c>
      <c r="Q22" s="5">
        <v>1.0766899999999999E-2</v>
      </c>
      <c r="R22" s="5">
        <v>0.43969599999999998</v>
      </c>
      <c r="S22" s="5">
        <v>1.0316499999999999E-2</v>
      </c>
      <c r="T22" s="5">
        <v>0.484788</v>
      </c>
      <c r="U22" s="5">
        <v>7.3112899999999998E-3</v>
      </c>
      <c r="V22" s="5">
        <v>0.48046</v>
      </c>
      <c r="W22" s="5">
        <v>1.0766899999999999E-2</v>
      </c>
      <c r="X22" s="5">
        <v>0.59949799999999998</v>
      </c>
      <c r="Y22" s="5">
        <v>5.8661499999999997E-3</v>
      </c>
      <c r="Z22" s="5">
        <v>0.47335700000000003</v>
      </c>
      <c r="AA22" s="5">
        <v>1.15546E-2</v>
      </c>
      <c r="AB22" s="5">
        <v>0.48047600000000001</v>
      </c>
      <c r="AC22" s="5">
        <v>1.0768399999999999E-2</v>
      </c>
      <c r="AD22" s="5">
        <v>0.480271</v>
      </c>
      <c r="AE22" s="5">
        <v>1.08629E-2</v>
      </c>
      <c r="AF22" s="5">
        <v>0.48063800000000001</v>
      </c>
      <c r="AG22" s="5">
        <v>1.2031099999999999E-2</v>
      </c>
      <c r="AH22" s="5">
        <v>0.48046</v>
      </c>
      <c r="AI22" s="5">
        <v>1.0766899999999999E-2</v>
      </c>
      <c r="AJ22" s="5">
        <v>0.59926299999999999</v>
      </c>
      <c r="AK22" s="5">
        <v>5.8943099999999998E-3</v>
      </c>
      <c r="AL22" s="5">
        <v>0.48313600000000001</v>
      </c>
      <c r="AM22" s="5">
        <v>1.1487499999999999E-2</v>
      </c>
      <c r="AN22" s="5">
        <v>0.60957899999999998</v>
      </c>
      <c r="AO22" s="5">
        <v>1.6428100000000001E-2</v>
      </c>
      <c r="AP22" s="5">
        <v>0.45402900000000002</v>
      </c>
      <c r="AQ22" s="5">
        <v>7.9167700000000001E-3</v>
      </c>
      <c r="AR22" s="5">
        <v>0.37008200000000002</v>
      </c>
      <c r="AS22" s="5">
        <v>9.7673699999999992E-3</v>
      </c>
      <c r="AT22" s="5">
        <v>0.50556199999999996</v>
      </c>
      <c r="AU22" s="5">
        <v>1.1569299999999999E-2</v>
      </c>
      <c r="AV22" s="5">
        <v>0.54017800000000005</v>
      </c>
      <c r="AW22" s="5">
        <v>1.0834399999999999E-2</v>
      </c>
      <c r="AX22" s="5">
        <v>0.520069</v>
      </c>
      <c r="AY22" s="5">
        <v>9.8034899999999998E-3</v>
      </c>
      <c r="AZ22" s="5">
        <v>0.42483799999999999</v>
      </c>
      <c r="BA22" s="5">
        <v>1.27166E-2</v>
      </c>
      <c r="BB22" s="5">
        <v>0.48026400000000002</v>
      </c>
      <c r="BC22" s="5">
        <v>1.0980200000000001E-2</v>
      </c>
      <c r="BD22" s="5">
        <v>0.48237400000000002</v>
      </c>
      <c r="BE22" s="5">
        <v>1.08168E-2</v>
      </c>
      <c r="BF22" s="5">
        <v>0.50191699999999995</v>
      </c>
      <c r="BG22" s="5">
        <v>1.0574399999999999E-2</v>
      </c>
      <c r="BH22" s="5">
        <v>0.44025999999999998</v>
      </c>
      <c r="BI22" s="5">
        <v>1.02255E-2</v>
      </c>
      <c r="BJ22" s="5">
        <v>0.50716799999999995</v>
      </c>
      <c r="BK22" s="5">
        <v>9.9128800000000006E-3</v>
      </c>
      <c r="BL22" s="5">
        <v>0.40343499999999999</v>
      </c>
      <c r="BM22" s="5">
        <v>1.49248E-2</v>
      </c>
      <c r="BN22" s="5">
        <v>0.53599399999999997</v>
      </c>
      <c r="BO22" s="5">
        <v>1.2052500000000001E-2</v>
      </c>
      <c r="BP22" s="5">
        <v>0.51831499999999997</v>
      </c>
      <c r="BQ22" s="5">
        <v>1.0239400000000001</v>
      </c>
      <c r="BR22" s="5">
        <v>0.43162400000000001</v>
      </c>
      <c r="BS22" s="5">
        <v>1.1639999999999999E-2</v>
      </c>
      <c r="BT22" s="5">
        <v>0.51236099999999996</v>
      </c>
      <c r="BU22" s="5">
        <v>1.04742</v>
      </c>
      <c r="BV22" s="5">
        <v>0.47409000000000001</v>
      </c>
      <c r="BW22" s="5">
        <v>1.0278000000000001E-2</v>
      </c>
      <c r="BX22" s="5">
        <v>0.47452800000000001</v>
      </c>
      <c r="BY22" s="5">
        <v>1.1865499999999999E-2</v>
      </c>
      <c r="BZ22" s="5">
        <v>0.53059000000000001</v>
      </c>
      <c r="CA22" s="5">
        <v>1.1942899999999999E-2</v>
      </c>
      <c r="CB22" s="5">
        <v>0.48057899999999998</v>
      </c>
      <c r="CC22" s="5">
        <v>1.0189800000000001E-2</v>
      </c>
      <c r="CD22" s="5">
        <v>0.59109599999999995</v>
      </c>
      <c r="CE22" s="5">
        <v>4.3425299999999998E-3</v>
      </c>
      <c r="CF22" s="5">
        <v>0.47885299999999997</v>
      </c>
      <c r="CG22" s="5">
        <v>1.13372E-2</v>
      </c>
      <c r="CH22" s="5">
        <v>0.43969599999999998</v>
      </c>
      <c r="CI22" s="5">
        <v>1.0316499999999999E-2</v>
      </c>
      <c r="CJ22" s="5">
        <v>0.59949799999999998</v>
      </c>
      <c r="CK22" s="5">
        <v>5.8661499999999997E-3</v>
      </c>
      <c r="CL22" s="5">
        <v>0.48603800000000003</v>
      </c>
      <c r="CM22" s="5">
        <v>1.0786499999999999E-2</v>
      </c>
      <c r="CN22" s="5">
        <v>0.48610999999999999</v>
      </c>
      <c r="CO22" s="5">
        <v>1.0162300000000001E-2</v>
      </c>
      <c r="CP22" s="5">
        <v>0.48030299999999998</v>
      </c>
      <c r="CQ22" s="5">
        <v>1.086E-2</v>
      </c>
      <c r="CR22" s="5">
        <v>0.47933599999999998</v>
      </c>
      <c r="CS22" s="5">
        <v>9.9400500000000006E-3</v>
      </c>
      <c r="CT22" s="5">
        <v>0.439305</v>
      </c>
      <c r="CU22" s="5">
        <v>1.0188600000000001E-2</v>
      </c>
      <c r="CV22" s="5">
        <v>0.43969599999999998</v>
      </c>
      <c r="CW22" s="5">
        <v>1.0316499999999999E-2</v>
      </c>
      <c r="CX22" s="5">
        <v>0.59998600000000002</v>
      </c>
      <c r="CY22" s="5">
        <v>1.3177899999999999E-2</v>
      </c>
      <c r="CZ22" s="5">
        <v>0.482124</v>
      </c>
      <c r="DA22" s="5">
        <v>1.0029E-2</v>
      </c>
      <c r="DB22" s="5">
        <v>0.52898599999999996</v>
      </c>
      <c r="DC22" s="5">
        <v>1.00685</v>
      </c>
      <c r="DD22" s="5">
        <v>0.51040300000000005</v>
      </c>
      <c r="DE22" s="5">
        <v>0.83533100000000005</v>
      </c>
      <c r="DF22" s="5">
        <v>0.655532</v>
      </c>
      <c r="DG22" s="5">
        <v>0.25675599999999998</v>
      </c>
      <c r="DH22" s="5">
        <v>0.51236000000000004</v>
      </c>
      <c r="DI22" s="5">
        <v>1.04742</v>
      </c>
      <c r="DJ22" s="5">
        <v>0.48804700000000001</v>
      </c>
      <c r="DK22" s="5">
        <v>0.69649700000000003</v>
      </c>
      <c r="DL22" s="5">
        <v>0.52298</v>
      </c>
      <c r="DM22" s="5">
        <v>1.02858</v>
      </c>
      <c r="DN22" s="5">
        <v>0.63657600000000003</v>
      </c>
      <c r="DO22" s="5">
        <v>0.37532100000000002</v>
      </c>
      <c r="DP22" s="5">
        <v>0.51236099999999996</v>
      </c>
      <c r="DQ22" s="5">
        <v>1.04742</v>
      </c>
      <c r="DR22" s="5">
        <v>0.51222199999999996</v>
      </c>
      <c r="DS22" s="5">
        <v>1.0461499999999999</v>
      </c>
      <c r="DT22" s="5">
        <v>0.51274900000000001</v>
      </c>
      <c r="DU22" s="5">
        <v>1.05175</v>
      </c>
      <c r="DV22" s="5">
        <v>0.49347200000000002</v>
      </c>
      <c r="DW22" s="5">
        <v>1.1800999999999999</v>
      </c>
      <c r="DX22" s="5">
        <v>0.594279</v>
      </c>
      <c r="DY22" s="5">
        <v>0.70066300000000004</v>
      </c>
      <c r="DZ22" s="5">
        <v>0.47413699999999998</v>
      </c>
      <c r="EA22" s="5">
        <v>1.1846099999999999</v>
      </c>
      <c r="EB22" s="5">
        <v>0.70533800000000002</v>
      </c>
      <c r="EC22" s="5">
        <v>1.14116</v>
      </c>
      <c r="ED22" s="5">
        <v>0.47874800000000001</v>
      </c>
      <c r="EE22" s="5">
        <v>0.96328999999999998</v>
      </c>
      <c r="EF22" s="5">
        <v>0.44246200000000002</v>
      </c>
      <c r="EG22" s="5">
        <v>1.0973599999999999</v>
      </c>
      <c r="EH22" s="5">
        <v>0.58299199999999995</v>
      </c>
      <c r="EI22" s="5">
        <v>1.0597799999999999</v>
      </c>
      <c r="EJ22" s="5">
        <v>0.61147200000000002</v>
      </c>
      <c r="EK22" s="5">
        <v>0.96175299999999997</v>
      </c>
      <c r="EL22" s="5">
        <v>0.58582400000000001</v>
      </c>
      <c r="EM22" s="5">
        <v>0.90516300000000005</v>
      </c>
      <c r="EN22" s="5">
        <v>0.51548899999999998</v>
      </c>
      <c r="EO22" s="5">
        <v>1.3118300000000001</v>
      </c>
      <c r="EP22" s="5">
        <v>0.53303800000000001</v>
      </c>
      <c r="EQ22" s="5">
        <v>1.00526</v>
      </c>
      <c r="ER22" s="5">
        <v>0.53272299999999995</v>
      </c>
      <c r="ES22" s="5">
        <v>0.99130700000000005</v>
      </c>
      <c r="ET22" s="5">
        <v>0.54661700000000002</v>
      </c>
      <c r="EU22" s="5">
        <v>0.78783599999999998</v>
      </c>
      <c r="EV22" s="5">
        <v>0.47659600000000002</v>
      </c>
      <c r="EW22" s="5">
        <v>1.1104099999999999</v>
      </c>
      <c r="EX22" s="5">
        <v>0.57184800000000002</v>
      </c>
      <c r="EY22" s="5">
        <v>0.71598600000000001</v>
      </c>
      <c r="EZ22" s="5">
        <v>0.52144000000000001</v>
      </c>
      <c r="FA22" s="5">
        <v>1.77776</v>
      </c>
      <c r="FB22" s="5">
        <v>0.57446399999999997</v>
      </c>
      <c r="FC22" s="5">
        <v>1.24746</v>
      </c>
      <c r="FD22" s="5">
        <v>0.480989</v>
      </c>
      <c r="FE22" s="5">
        <v>1.0660700000000001</v>
      </c>
      <c r="FF22" s="5">
        <v>0.51404799999999995</v>
      </c>
      <c r="FG22" s="5">
        <v>1.19017</v>
      </c>
      <c r="FH22" s="5">
        <v>0.51236199999999998</v>
      </c>
      <c r="FI22" s="5">
        <v>1.04742</v>
      </c>
      <c r="FJ22" s="5">
        <v>0.54487600000000003</v>
      </c>
      <c r="FK22" s="5">
        <v>0.99853000000000003</v>
      </c>
      <c r="FL22" s="5">
        <v>0.469196</v>
      </c>
      <c r="FM22" s="5">
        <v>1.1616200000000001</v>
      </c>
      <c r="FN22" s="5">
        <v>0.60871200000000003</v>
      </c>
      <c r="FO22" s="5">
        <v>1.0453399999999999</v>
      </c>
      <c r="FP22" s="5">
        <v>0.51235799999999998</v>
      </c>
      <c r="FQ22" s="5">
        <v>1.0457799999999999</v>
      </c>
      <c r="FR22" s="5">
        <v>0.51447399999999999</v>
      </c>
      <c r="FS22" s="5">
        <v>1.0390600000000001</v>
      </c>
      <c r="FT22" s="5">
        <v>0.51646000000000003</v>
      </c>
      <c r="FU22" s="5">
        <v>1.03624</v>
      </c>
      <c r="FV22" s="5">
        <v>0.63657600000000003</v>
      </c>
      <c r="FW22" s="5">
        <v>0.37532100000000002</v>
      </c>
      <c r="FX22" s="5">
        <v>0.47847499999999998</v>
      </c>
      <c r="FY22" s="5">
        <v>1.05006</v>
      </c>
      <c r="FZ22" s="5">
        <v>0.55561000000000005</v>
      </c>
      <c r="GA22" s="5">
        <v>0.97404299999999999</v>
      </c>
      <c r="GB22" s="5">
        <v>0.52077399999999996</v>
      </c>
      <c r="GC22" s="5">
        <v>1.02033</v>
      </c>
      <c r="GD22" s="5">
        <v>0.51242100000000002</v>
      </c>
      <c r="GE22" s="5">
        <v>1.0476399999999999</v>
      </c>
      <c r="GF22" s="5">
        <v>0.51171199999999994</v>
      </c>
      <c r="GG22" s="5">
        <v>1.038</v>
      </c>
      <c r="GH22" s="5">
        <v>0.61348899999999995</v>
      </c>
      <c r="GI22" s="5">
        <v>0.40806700000000001</v>
      </c>
      <c r="GJ22" s="5">
        <v>0.68018199999999995</v>
      </c>
      <c r="GK22" s="5">
        <v>1.0006600000000001</v>
      </c>
      <c r="GL22" s="5">
        <v>0.48145300000000002</v>
      </c>
      <c r="GM22" s="5">
        <v>1.0424</v>
      </c>
    </row>
    <row r="23" spans="1:195" x14ac:dyDescent="0.6">
      <c r="A23" s="7">
        <v>21</v>
      </c>
      <c r="B23" s="7">
        <v>25020230</v>
      </c>
      <c r="C23" s="7">
        <v>1980</v>
      </c>
      <c r="D23" s="7">
        <v>108</v>
      </c>
      <c r="E23" s="7">
        <v>39</v>
      </c>
      <c r="F23" s="7">
        <v>105.801</v>
      </c>
      <c r="G23" s="7">
        <v>38.727499999999999</v>
      </c>
      <c r="H23" s="7">
        <v>5.6789100000000002E-2</v>
      </c>
      <c r="I23" s="7">
        <v>108</v>
      </c>
      <c r="J23" s="7">
        <v>25020230</v>
      </c>
      <c r="K23" s="7">
        <v>22</v>
      </c>
      <c r="L23" s="7">
        <v>0.56618199999999996</v>
      </c>
      <c r="M23" s="7">
        <v>1.0421400000000001E-2</v>
      </c>
      <c r="N23" s="7">
        <v>0.56662599999999996</v>
      </c>
      <c r="O23" s="7">
        <v>1.00243E-2</v>
      </c>
      <c r="P23" s="7">
        <v>0.56448299999999996</v>
      </c>
      <c r="Q23" s="7">
        <v>1.01729E-2</v>
      </c>
      <c r="R23" s="7">
        <v>0.52293900000000004</v>
      </c>
      <c r="S23" s="7">
        <v>1.0418699999999999E-2</v>
      </c>
      <c r="T23" s="7">
        <v>0.52324000000000004</v>
      </c>
      <c r="U23" s="7">
        <v>8.4611300000000007E-3</v>
      </c>
      <c r="V23" s="7">
        <v>0.56448299999999996</v>
      </c>
      <c r="W23" s="7">
        <v>1.01729E-2</v>
      </c>
      <c r="X23" s="7">
        <v>0.64378199999999997</v>
      </c>
      <c r="Y23" s="7">
        <v>5.2175199999999998E-3</v>
      </c>
      <c r="Z23" s="7">
        <v>0.56398099999999995</v>
      </c>
      <c r="AA23" s="7">
        <v>1.09982E-2</v>
      </c>
      <c r="AB23" s="7">
        <v>0.56450800000000001</v>
      </c>
      <c r="AC23" s="7">
        <v>1.01739E-2</v>
      </c>
      <c r="AD23" s="7">
        <v>0.56500899999999998</v>
      </c>
      <c r="AE23" s="7">
        <v>1.0253E-2</v>
      </c>
      <c r="AF23" s="7">
        <v>0.57406400000000002</v>
      </c>
      <c r="AG23" s="7">
        <v>1.12056E-2</v>
      </c>
      <c r="AH23" s="7">
        <v>0.56448299999999996</v>
      </c>
      <c r="AI23" s="7">
        <v>1.01729E-2</v>
      </c>
      <c r="AJ23" s="7">
        <v>0.64374900000000002</v>
      </c>
      <c r="AK23" s="7">
        <v>5.23998E-3</v>
      </c>
      <c r="AL23" s="7">
        <v>0.57220000000000004</v>
      </c>
      <c r="AM23" s="7">
        <v>1.06906E-2</v>
      </c>
      <c r="AN23" s="7">
        <v>0.71657800000000005</v>
      </c>
      <c r="AO23" s="7">
        <v>1.0796399999999999E-2</v>
      </c>
      <c r="AP23" s="7">
        <v>0.51707599999999998</v>
      </c>
      <c r="AQ23" s="7">
        <v>7.8272399999999992E-3</v>
      </c>
      <c r="AR23" s="7">
        <v>0.45362799999999998</v>
      </c>
      <c r="AS23" s="7">
        <v>1.10802E-2</v>
      </c>
      <c r="AT23" s="7">
        <v>0.59361600000000003</v>
      </c>
      <c r="AU23" s="7">
        <v>1.0386599999999999E-2</v>
      </c>
      <c r="AV23" s="7">
        <v>0.62109899999999996</v>
      </c>
      <c r="AW23" s="7">
        <v>9.3967600000000005E-3</v>
      </c>
      <c r="AX23" s="7">
        <v>0.59491000000000005</v>
      </c>
      <c r="AY23" s="7">
        <v>8.8965799999999994E-3</v>
      </c>
      <c r="AZ23" s="7">
        <v>0.52872699999999995</v>
      </c>
      <c r="BA23" s="7">
        <v>1.3026299999999999E-2</v>
      </c>
      <c r="BB23" s="7">
        <v>0.56589400000000001</v>
      </c>
      <c r="BC23" s="7">
        <v>1.03547E-2</v>
      </c>
      <c r="BD23" s="7">
        <v>0.56657299999999999</v>
      </c>
      <c r="BE23" s="7">
        <v>1.0167499999999999E-2</v>
      </c>
      <c r="BF23" s="7">
        <v>0.58286499999999997</v>
      </c>
      <c r="BG23" s="7">
        <v>9.61622E-3</v>
      </c>
      <c r="BH23" s="7">
        <v>0.52275700000000003</v>
      </c>
      <c r="BI23" s="7">
        <v>1.03249E-2</v>
      </c>
      <c r="BJ23" s="7">
        <v>0.58324600000000004</v>
      </c>
      <c r="BK23" s="7">
        <v>9.0765299999999993E-3</v>
      </c>
      <c r="BL23" s="7">
        <v>0.53907000000000005</v>
      </c>
      <c r="BM23" s="7">
        <v>1.7051799999999999E-2</v>
      </c>
      <c r="BN23" s="7">
        <v>0.62305500000000003</v>
      </c>
      <c r="BO23" s="7">
        <v>9.7910800000000006E-3</v>
      </c>
      <c r="BP23" s="7">
        <v>0.59597199999999995</v>
      </c>
      <c r="BQ23" s="7">
        <v>0.98787599999999998</v>
      </c>
      <c r="BR23" s="7">
        <v>0.52606399999999998</v>
      </c>
      <c r="BS23" s="7">
        <v>1.1829599999999999E-2</v>
      </c>
      <c r="BT23" s="7">
        <v>0.59217699999999995</v>
      </c>
      <c r="BU23" s="7">
        <v>1.01983</v>
      </c>
      <c r="BV23" s="7">
        <v>0.55493099999999995</v>
      </c>
      <c r="BW23" s="7">
        <v>9.87414E-3</v>
      </c>
      <c r="BX23" s="7">
        <v>0.56757599999999997</v>
      </c>
      <c r="BY23" s="7">
        <v>1.12689E-2</v>
      </c>
      <c r="BZ23" s="7">
        <v>0.61916000000000004</v>
      </c>
      <c r="CA23" s="7">
        <v>1.0183899999999999E-2</v>
      </c>
      <c r="CB23" s="7">
        <v>0.56041399999999997</v>
      </c>
      <c r="CC23" s="7">
        <v>9.7167799999999995E-3</v>
      </c>
      <c r="CD23" s="7">
        <v>0.62455400000000005</v>
      </c>
      <c r="CE23" s="7">
        <v>4.0234800000000003E-3</v>
      </c>
      <c r="CF23" s="7">
        <v>0.56725099999999995</v>
      </c>
      <c r="CG23" s="7">
        <v>1.06762E-2</v>
      </c>
      <c r="CH23" s="7">
        <v>0.52293900000000004</v>
      </c>
      <c r="CI23" s="7">
        <v>1.0418699999999999E-2</v>
      </c>
      <c r="CJ23" s="7">
        <v>0.64378199999999997</v>
      </c>
      <c r="CK23" s="7">
        <v>5.2175199999999998E-3</v>
      </c>
      <c r="CL23" s="7">
        <v>0.56984000000000001</v>
      </c>
      <c r="CM23" s="7">
        <v>1.01025E-2</v>
      </c>
      <c r="CN23" s="7">
        <v>0.56540800000000002</v>
      </c>
      <c r="CO23" s="7">
        <v>9.6153000000000002E-3</v>
      </c>
      <c r="CP23" s="7">
        <v>0.56501900000000005</v>
      </c>
      <c r="CQ23" s="7">
        <v>1.02504E-2</v>
      </c>
      <c r="CR23" s="7">
        <v>0.55746399999999996</v>
      </c>
      <c r="CS23" s="7">
        <v>9.5440300000000002E-3</v>
      </c>
      <c r="CT23" s="7">
        <v>0.52157299999999995</v>
      </c>
      <c r="CU23" s="7">
        <v>1.0300399999999999E-2</v>
      </c>
      <c r="CV23" s="7">
        <v>0.52293900000000004</v>
      </c>
      <c r="CW23" s="7">
        <v>1.0418699999999999E-2</v>
      </c>
      <c r="CX23" s="7">
        <v>0.69009699999999996</v>
      </c>
      <c r="CY23" s="7">
        <v>9.5810300000000008E-3</v>
      </c>
      <c r="CZ23" s="7">
        <v>0.56073600000000001</v>
      </c>
      <c r="DA23" s="7">
        <v>9.5754900000000007E-3</v>
      </c>
      <c r="DB23" s="7">
        <v>0.60499400000000003</v>
      </c>
      <c r="DC23" s="7">
        <v>0.96263299999999996</v>
      </c>
      <c r="DD23" s="7">
        <v>0.57404299999999997</v>
      </c>
      <c r="DE23" s="7">
        <v>0.81505399999999995</v>
      </c>
      <c r="DF23" s="7">
        <v>0.67457800000000001</v>
      </c>
      <c r="DG23" s="7">
        <v>0.23852100000000001</v>
      </c>
      <c r="DH23" s="7">
        <v>0.59217600000000004</v>
      </c>
      <c r="DI23" s="7">
        <v>1.01983</v>
      </c>
      <c r="DJ23" s="7">
        <v>0.52876800000000002</v>
      </c>
      <c r="DK23" s="7">
        <v>0.92976599999999998</v>
      </c>
      <c r="DL23" s="7">
        <v>0.60091300000000003</v>
      </c>
      <c r="DM23" s="7">
        <v>0.99035700000000004</v>
      </c>
      <c r="DN23" s="7">
        <v>0.66434300000000002</v>
      </c>
      <c r="DO23" s="7">
        <v>0.34664499999999998</v>
      </c>
      <c r="DP23" s="7">
        <v>0.59217600000000004</v>
      </c>
      <c r="DQ23" s="7">
        <v>1.01983</v>
      </c>
      <c r="DR23" s="7">
        <v>0.59193300000000004</v>
      </c>
      <c r="DS23" s="7">
        <v>1.01844</v>
      </c>
      <c r="DT23" s="7">
        <v>0.59285399999999999</v>
      </c>
      <c r="DU23" s="7">
        <v>1.0229699999999999</v>
      </c>
      <c r="DV23" s="7">
        <v>0.58351799999999998</v>
      </c>
      <c r="DW23" s="7">
        <v>1.14737</v>
      </c>
      <c r="DX23" s="7">
        <v>0.64649199999999996</v>
      </c>
      <c r="DY23" s="7">
        <v>0.65504600000000002</v>
      </c>
      <c r="DZ23" s="7">
        <v>0.56709299999999996</v>
      </c>
      <c r="EA23" s="7">
        <v>1.2166699999999999</v>
      </c>
      <c r="EB23" s="7">
        <v>0.77836799999999995</v>
      </c>
      <c r="EC23" s="7">
        <v>0.78424099999999997</v>
      </c>
      <c r="ED23" s="7">
        <v>0.55473899999999998</v>
      </c>
      <c r="EE23" s="7">
        <v>1.0065900000000001</v>
      </c>
      <c r="EF23" s="7">
        <v>0.53100000000000003</v>
      </c>
      <c r="EG23" s="7">
        <v>1.1963299999999999</v>
      </c>
      <c r="EH23" s="7">
        <v>0.65945200000000004</v>
      </c>
      <c r="EI23" s="7">
        <v>0.92498100000000005</v>
      </c>
      <c r="EJ23" s="7">
        <v>0.68020199999999997</v>
      </c>
      <c r="EK23" s="7">
        <v>0.82538500000000004</v>
      </c>
      <c r="EL23" s="7">
        <v>0.651972</v>
      </c>
      <c r="EM23" s="7">
        <v>0.81337099999999996</v>
      </c>
      <c r="EN23" s="7">
        <v>0.61405200000000004</v>
      </c>
      <c r="EO23" s="7">
        <v>1.22997</v>
      </c>
      <c r="EP23" s="7">
        <v>0.60878900000000002</v>
      </c>
      <c r="EQ23" s="7">
        <v>0.95764400000000005</v>
      </c>
      <c r="ER23" s="7">
        <v>0.60734299999999997</v>
      </c>
      <c r="ES23" s="7">
        <v>0.94258299999999995</v>
      </c>
      <c r="ET23" s="7">
        <v>0.60491200000000001</v>
      </c>
      <c r="EU23" s="7">
        <v>0.72558400000000001</v>
      </c>
      <c r="EV23" s="7">
        <v>0.56359199999999998</v>
      </c>
      <c r="EW23" s="7">
        <v>1.1408</v>
      </c>
      <c r="EX23" s="7">
        <v>0.62488100000000002</v>
      </c>
      <c r="EY23" s="7">
        <v>0.661443</v>
      </c>
      <c r="EZ23" s="7">
        <v>0.64043799999999995</v>
      </c>
      <c r="FA23" s="7">
        <v>1.3357000000000001</v>
      </c>
      <c r="FB23" s="7">
        <v>0.66041000000000005</v>
      </c>
      <c r="FC23" s="7">
        <v>0.99551000000000001</v>
      </c>
      <c r="FD23" s="7">
        <v>0.56419799999999998</v>
      </c>
      <c r="FE23" s="7">
        <v>1.0885100000000001</v>
      </c>
      <c r="FF23" s="7">
        <v>0.60417299999999996</v>
      </c>
      <c r="FG23" s="7">
        <v>1.1394</v>
      </c>
      <c r="FH23" s="7">
        <v>0.59217799999999998</v>
      </c>
      <c r="FI23" s="7">
        <v>1.01983</v>
      </c>
      <c r="FJ23" s="7">
        <v>0.61937799999999998</v>
      </c>
      <c r="FK23" s="7">
        <v>0.93321399999999999</v>
      </c>
      <c r="FL23" s="7">
        <v>0.56107899999999999</v>
      </c>
      <c r="FM23" s="7">
        <v>1.21288</v>
      </c>
      <c r="FN23" s="7">
        <v>0.68257100000000004</v>
      </c>
      <c r="FO23" s="7">
        <v>0.87564399999999998</v>
      </c>
      <c r="FP23" s="7">
        <v>0.59204500000000004</v>
      </c>
      <c r="FQ23" s="7">
        <v>1.01816</v>
      </c>
      <c r="FR23" s="7">
        <v>0.59357700000000002</v>
      </c>
      <c r="FS23" s="7">
        <v>1.00987</v>
      </c>
      <c r="FT23" s="7">
        <v>0.595275</v>
      </c>
      <c r="FU23" s="7">
        <v>1.0053000000000001</v>
      </c>
      <c r="FV23" s="7">
        <v>0.66434300000000002</v>
      </c>
      <c r="FW23" s="7">
        <v>0.34664499999999998</v>
      </c>
      <c r="FX23" s="7">
        <v>0.56060600000000005</v>
      </c>
      <c r="FY23" s="7">
        <v>1.0771299999999999</v>
      </c>
      <c r="FZ23" s="7">
        <v>0.62787000000000004</v>
      </c>
      <c r="GA23" s="7">
        <v>0.900482</v>
      </c>
      <c r="GB23" s="7">
        <v>0.59793499999999999</v>
      </c>
      <c r="GC23" s="7">
        <v>0.97883399999999998</v>
      </c>
      <c r="GD23" s="7">
        <v>0.59225099999999997</v>
      </c>
      <c r="GE23" s="7">
        <v>1.02</v>
      </c>
      <c r="GF23" s="7">
        <v>0.59079999999999999</v>
      </c>
      <c r="GG23" s="7">
        <v>1.0102500000000001</v>
      </c>
      <c r="GH23" s="7">
        <v>0.64383999999999997</v>
      </c>
      <c r="GI23" s="7">
        <v>0.38088499999999997</v>
      </c>
      <c r="GJ23" s="7">
        <v>0.74691799999999997</v>
      </c>
      <c r="GK23" s="7">
        <v>0.74862600000000001</v>
      </c>
      <c r="GL23" s="7">
        <v>0.56296199999999996</v>
      </c>
      <c r="GM23" s="7">
        <v>1.06877</v>
      </c>
    </row>
    <row r="24" spans="1:195" x14ac:dyDescent="0.6">
      <c r="A24" s="5">
        <v>22</v>
      </c>
      <c r="B24" s="5">
        <v>25020230</v>
      </c>
      <c r="C24" s="5">
        <v>2002</v>
      </c>
      <c r="D24" s="5">
        <v>109</v>
      </c>
      <c r="E24" s="5">
        <v>39</v>
      </c>
      <c r="F24" s="5">
        <v>105.801</v>
      </c>
      <c r="G24" s="5">
        <v>38.727499999999999</v>
      </c>
      <c r="H24" s="5">
        <v>8.2610600000000006E-2</v>
      </c>
      <c r="I24" s="5">
        <v>109</v>
      </c>
      <c r="J24" s="5">
        <v>25020230</v>
      </c>
      <c r="K24" s="5">
        <v>23</v>
      </c>
      <c r="L24" s="5">
        <v>0.57655000000000001</v>
      </c>
      <c r="M24" s="5">
        <v>1.0313299999999999E-2</v>
      </c>
      <c r="N24" s="5">
        <v>0.5766</v>
      </c>
      <c r="O24" s="5">
        <v>9.9209899999999993E-3</v>
      </c>
      <c r="P24" s="5">
        <v>0.57460599999999995</v>
      </c>
      <c r="Q24" s="5">
        <v>1.00728E-2</v>
      </c>
      <c r="R24" s="5">
        <v>0.53334899999999996</v>
      </c>
      <c r="S24" s="5">
        <v>1.0399500000000001E-2</v>
      </c>
      <c r="T24" s="5">
        <v>0.53217400000000004</v>
      </c>
      <c r="U24" s="5">
        <v>9.3747299999999995E-3</v>
      </c>
      <c r="V24" s="5">
        <v>0.57460599999999995</v>
      </c>
      <c r="W24" s="5">
        <v>1.00728E-2</v>
      </c>
      <c r="X24" s="5">
        <v>0.64896200000000004</v>
      </c>
      <c r="Y24" s="5">
        <v>5.1416600000000002E-3</v>
      </c>
      <c r="Z24" s="5">
        <v>0.57492500000000002</v>
      </c>
      <c r="AA24" s="5">
        <v>1.08877E-2</v>
      </c>
      <c r="AB24" s="5">
        <v>0.57463200000000003</v>
      </c>
      <c r="AC24" s="5">
        <v>1.00737E-2</v>
      </c>
      <c r="AD24" s="5">
        <v>0.57521100000000003</v>
      </c>
      <c r="AE24" s="5">
        <v>1.01499E-2</v>
      </c>
      <c r="AF24" s="5">
        <v>0.58519600000000005</v>
      </c>
      <c r="AG24" s="5">
        <v>1.10565E-2</v>
      </c>
      <c r="AH24" s="5">
        <v>0.57460599999999995</v>
      </c>
      <c r="AI24" s="5">
        <v>1.00728E-2</v>
      </c>
      <c r="AJ24" s="5">
        <v>0.64895099999999994</v>
      </c>
      <c r="AK24" s="5">
        <v>5.1634699999999999E-3</v>
      </c>
      <c r="AL24" s="5">
        <v>0.58282400000000001</v>
      </c>
      <c r="AM24" s="5">
        <v>1.0557499999999999E-2</v>
      </c>
      <c r="AN24" s="5">
        <v>0.72710900000000001</v>
      </c>
      <c r="AO24" s="5">
        <v>1.02714E-2</v>
      </c>
      <c r="AP24" s="5">
        <v>0.52489399999999997</v>
      </c>
      <c r="AQ24" s="5">
        <v>7.8084399999999998E-3</v>
      </c>
      <c r="AR24" s="5">
        <v>0.46478000000000003</v>
      </c>
      <c r="AS24" s="5">
        <v>1.1224400000000001E-2</v>
      </c>
      <c r="AT24" s="5">
        <v>0.60391899999999998</v>
      </c>
      <c r="AU24" s="5">
        <v>1.02183E-2</v>
      </c>
      <c r="AV24" s="5">
        <v>0.63040700000000005</v>
      </c>
      <c r="AW24" s="5">
        <v>9.2185600000000006E-3</v>
      </c>
      <c r="AX24" s="5">
        <v>0.60374799999999995</v>
      </c>
      <c r="AY24" s="5">
        <v>8.7794499999999994E-3</v>
      </c>
      <c r="AZ24" s="5">
        <v>0.54172500000000001</v>
      </c>
      <c r="BA24" s="5">
        <v>1.2967299999999999E-2</v>
      </c>
      <c r="BB24" s="5">
        <v>0.57619600000000004</v>
      </c>
      <c r="BC24" s="5">
        <v>1.02481E-2</v>
      </c>
      <c r="BD24" s="5">
        <v>0.57668799999999998</v>
      </c>
      <c r="BE24" s="5">
        <v>1.0060700000000001E-2</v>
      </c>
      <c r="BF24" s="5">
        <v>0.59241299999999997</v>
      </c>
      <c r="BG24" s="5">
        <v>9.4795399999999998E-3</v>
      </c>
      <c r="BH24" s="5">
        <v>0.53307300000000002</v>
      </c>
      <c r="BI24" s="5">
        <v>1.03062E-2</v>
      </c>
      <c r="BJ24" s="5">
        <v>0.59226500000000004</v>
      </c>
      <c r="BK24" s="5">
        <v>8.9609500000000005E-3</v>
      </c>
      <c r="BL24" s="5">
        <v>0.55581000000000003</v>
      </c>
      <c r="BM24" s="5">
        <v>1.6432499999999999E-2</v>
      </c>
      <c r="BN24" s="5">
        <v>0.63271999999999995</v>
      </c>
      <c r="BO24" s="5">
        <v>9.5400399999999996E-3</v>
      </c>
      <c r="BP24" s="5">
        <v>0.60504599999999997</v>
      </c>
      <c r="BQ24" s="5">
        <v>0.98111800000000005</v>
      </c>
      <c r="BR24" s="5">
        <v>0.53787700000000005</v>
      </c>
      <c r="BS24" s="5">
        <v>1.1793700000000001E-2</v>
      </c>
      <c r="BT24" s="5">
        <v>0.601549</v>
      </c>
      <c r="BU24" s="5">
        <v>1.01379</v>
      </c>
      <c r="BV24" s="5">
        <v>0.56476800000000005</v>
      </c>
      <c r="BW24" s="5">
        <v>9.8002699999999998E-3</v>
      </c>
      <c r="BX24" s="5">
        <v>0.57878300000000005</v>
      </c>
      <c r="BY24" s="5">
        <v>1.1143699999999999E-2</v>
      </c>
      <c r="BZ24" s="5">
        <v>0.62923300000000004</v>
      </c>
      <c r="CA24" s="5">
        <v>9.9614500000000002E-3</v>
      </c>
      <c r="CB24" s="5">
        <v>0.57009100000000001</v>
      </c>
      <c r="CC24" s="5">
        <v>9.6367599999999994E-3</v>
      </c>
      <c r="CD24" s="5">
        <v>0.62855799999999995</v>
      </c>
      <c r="CE24" s="5">
        <v>3.9843500000000002E-3</v>
      </c>
      <c r="CF24" s="5">
        <v>0.57786899999999997</v>
      </c>
      <c r="CG24" s="5">
        <v>1.0560099999999999E-2</v>
      </c>
      <c r="CH24" s="5">
        <v>0.53334899999999996</v>
      </c>
      <c r="CI24" s="5">
        <v>1.0399500000000001E-2</v>
      </c>
      <c r="CJ24" s="5">
        <v>0.64896200000000004</v>
      </c>
      <c r="CK24" s="5">
        <v>5.1416600000000002E-3</v>
      </c>
      <c r="CL24" s="5">
        <v>0.57988799999999996</v>
      </c>
      <c r="CM24" s="5">
        <v>9.9931599999999992E-3</v>
      </c>
      <c r="CN24" s="5">
        <v>0.57498000000000005</v>
      </c>
      <c r="CO24" s="5">
        <v>9.5283499999999997E-3</v>
      </c>
      <c r="CP24" s="5">
        <v>0.57521800000000001</v>
      </c>
      <c r="CQ24" s="5">
        <v>1.01473E-2</v>
      </c>
      <c r="CR24" s="5">
        <v>0.56697399999999998</v>
      </c>
      <c r="CS24" s="5">
        <v>9.4751200000000001E-3</v>
      </c>
      <c r="CT24" s="5">
        <v>0.53186500000000003</v>
      </c>
      <c r="CU24" s="5">
        <v>1.02813E-2</v>
      </c>
      <c r="CV24" s="5">
        <v>0.53334899999999996</v>
      </c>
      <c r="CW24" s="5">
        <v>1.0399500000000001E-2</v>
      </c>
      <c r="CX24" s="5">
        <v>0.69949700000000004</v>
      </c>
      <c r="CY24" s="5">
        <v>9.2208399999999992E-3</v>
      </c>
      <c r="CZ24" s="5">
        <v>0.57027399999999995</v>
      </c>
      <c r="DA24" s="5">
        <v>9.4992500000000007E-3</v>
      </c>
      <c r="DB24" s="5">
        <v>0.61383200000000004</v>
      </c>
      <c r="DC24" s="5">
        <v>0.95511599999999997</v>
      </c>
      <c r="DD24" s="5">
        <v>0.581538</v>
      </c>
      <c r="DE24" s="5">
        <v>0.81127099999999996</v>
      </c>
      <c r="DF24" s="5">
        <v>0.67676700000000001</v>
      </c>
      <c r="DG24" s="5">
        <v>0.23646700000000001</v>
      </c>
      <c r="DH24" s="5">
        <v>0.60154799999999997</v>
      </c>
      <c r="DI24" s="5">
        <v>1.01379</v>
      </c>
      <c r="DJ24" s="5">
        <v>0.53768899999999997</v>
      </c>
      <c r="DK24" s="5">
        <v>1.0033700000000001</v>
      </c>
      <c r="DL24" s="5">
        <v>0.61000799999999999</v>
      </c>
      <c r="DM24" s="5">
        <v>0.98331500000000005</v>
      </c>
      <c r="DN24" s="5">
        <v>0.66752199999999995</v>
      </c>
      <c r="DO24" s="5">
        <v>0.34336100000000003</v>
      </c>
      <c r="DP24" s="5">
        <v>0.60154799999999997</v>
      </c>
      <c r="DQ24" s="5">
        <v>1.01379</v>
      </c>
      <c r="DR24" s="5">
        <v>0.60129200000000005</v>
      </c>
      <c r="DS24" s="5">
        <v>1.0124</v>
      </c>
      <c r="DT24" s="5">
        <v>0.60225499999999998</v>
      </c>
      <c r="DU24" s="5">
        <v>1.01677</v>
      </c>
      <c r="DV24" s="5">
        <v>0.59405300000000005</v>
      </c>
      <c r="DW24" s="5">
        <v>1.13853</v>
      </c>
      <c r="DX24" s="5">
        <v>0.65250200000000003</v>
      </c>
      <c r="DY24" s="5">
        <v>0.64915</v>
      </c>
      <c r="DZ24" s="5">
        <v>0.57829699999999995</v>
      </c>
      <c r="EA24" s="5">
        <v>1.2144999999999999</v>
      </c>
      <c r="EB24" s="5">
        <v>0.785443</v>
      </c>
      <c r="EC24" s="5">
        <v>0.751444</v>
      </c>
      <c r="ED24" s="5">
        <v>0.56403099999999995</v>
      </c>
      <c r="EE24" s="5">
        <v>1.00966</v>
      </c>
      <c r="EF24" s="5">
        <v>0.54206600000000005</v>
      </c>
      <c r="EG24" s="5">
        <v>1.2049399999999999</v>
      </c>
      <c r="EH24" s="5">
        <v>0.66790000000000005</v>
      </c>
      <c r="EI24" s="5">
        <v>0.908188</v>
      </c>
      <c r="EJ24" s="5">
        <v>0.68773600000000001</v>
      </c>
      <c r="EK24" s="5">
        <v>0.80955299999999997</v>
      </c>
      <c r="EL24" s="5">
        <v>0.65941799999999995</v>
      </c>
      <c r="EM24" s="5">
        <v>0.80222300000000002</v>
      </c>
      <c r="EN24" s="5">
        <v>0.62531099999999995</v>
      </c>
      <c r="EO24" s="5">
        <v>1.21292</v>
      </c>
      <c r="EP24" s="5">
        <v>0.61757899999999999</v>
      </c>
      <c r="EQ24" s="5">
        <v>0.94977400000000001</v>
      </c>
      <c r="ER24" s="5">
        <v>0.61599499999999996</v>
      </c>
      <c r="ES24" s="5">
        <v>0.93471899999999997</v>
      </c>
      <c r="ET24" s="5">
        <v>0.61156299999999997</v>
      </c>
      <c r="EU24" s="5">
        <v>0.71760500000000005</v>
      </c>
      <c r="EV24" s="5">
        <v>0.57410499999999998</v>
      </c>
      <c r="EW24" s="5">
        <v>1.1404399999999999</v>
      </c>
      <c r="EX24" s="5">
        <v>0.63094600000000001</v>
      </c>
      <c r="EY24" s="5">
        <v>0.65465099999999998</v>
      </c>
      <c r="EZ24" s="5">
        <v>0.65254000000000001</v>
      </c>
      <c r="FA24" s="5">
        <v>1.2907500000000001</v>
      </c>
      <c r="FB24" s="5">
        <v>0.66946300000000003</v>
      </c>
      <c r="FC24" s="5">
        <v>0.96897299999999997</v>
      </c>
      <c r="FD24" s="5">
        <v>0.57422799999999996</v>
      </c>
      <c r="FE24" s="5">
        <v>1.0879799999999999</v>
      </c>
      <c r="FF24" s="5">
        <v>0.61462499999999998</v>
      </c>
      <c r="FG24" s="5">
        <v>1.1285099999999999</v>
      </c>
      <c r="FH24" s="5">
        <v>0.60155000000000003</v>
      </c>
      <c r="FI24" s="5">
        <v>1.01379</v>
      </c>
      <c r="FJ24" s="5">
        <v>0.62793600000000005</v>
      </c>
      <c r="FK24" s="5">
        <v>0.92374999999999996</v>
      </c>
      <c r="FL24" s="5">
        <v>0.57226100000000002</v>
      </c>
      <c r="FM24" s="5">
        <v>1.2133</v>
      </c>
      <c r="FN24" s="5">
        <v>0.69055100000000003</v>
      </c>
      <c r="FO24" s="5">
        <v>0.856151</v>
      </c>
      <c r="FP24" s="5">
        <v>0.60140199999999999</v>
      </c>
      <c r="FQ24" s="5">
        <v>1.01214</v>
      </c>
      <c r="FR24" s="5">
        <v>0.60285699999999998</v>
      </c>
      <c r="FS24" s="5">
        <v>1.00373</v>
      </c>
      <c r="FT24" s="5">
        <v>0.60451200000000005</v>
      </c>
      <c r="FU24" s="5">
        <v>0.99898699999999996</v>
      </c>
      <c r="FV24" s="5">
        <v>0.66752199999999995</v>
      </c>
      <c r="FW24" s="5">
        <v>0.34336100000000003</v>
      </c>
      <c r="FX24" s="5">
        <v>0.57053500000000001</v>
      </c>
      <c r="FY24" s="5">
        <v>1.0773900000000001</v>
      </c>
      <c r="FZ24" s="5">
        <v>0.63612299999999999</v>
      </c>
      <c r="GA24" s="5">
        <v>0.89044299999999998</v>
      </c>
      <c r="GB24" s="5">
        <v>0.60692299999999999</v>
      </c>
      <c r="GC24" s="5">
        <v>0.97152899999999998</v>
      </c>
      <c r="GD24" s="5">
        <v>0.60162499999999997</v>
      </c>
      <c r="GE24" s="5">
        <v>1.0139499999999999</v>
      </c>
      <c r="GF24" s="5">
        <v>0.60008399999999995</v>
      </c>
      <c r="GG24" s="5">
        <v>1.0041599999999999</v>
      </c>
      <c r="GH24" s="5">
        <v>0.64733600000000002</v>
      </c>
      <c r="GI24" s="5">
        <v>0.377724</v>
      </c>
      <c r="GJ24" s="5">
        <v>0.75370400000000004</v>
      </c>
      <c r="GK24" s="5">
        <v>0.72398799999999996</v>
      </c>
      <c r="GL24" s="5">
        <v>0.57281400000000005</v>
      </c>
      <c r="GM24" s="5">
        <v>1.069</v>
      </c>
    </row>
    <row r="25" spans="1:195" x14ac:dyDescent="0.6">
      <c r="A25" s="7">
        <v>23</v>
      </c>
      <c r="B25" s="7">
        <v>25020230</v>
      </c>
      <c r="C25" s="7">
        <v>1999</v>
      </c>
      <c r="D25" s="7">
        <v>110</v>
      </c>
      <c r="E25" s="7">
        <v>39</v>
      </c>
      <c r="F25" s="7">
        <v>105.801</v>
      </c>
      <c r="G25" s="7">
        <v>38.727499999999999</v>
      </c>
      <c r="H25" s="7">
        <v>0.108432</v>
      </c>
      <c r="I25" s="7">
        <v>110</v>
      </c>
      <c r="J25" s="7">
        <v>25020230</v>
      </c>
      <c r="K25" s="7">
        <v>24</v>
      </c>
      <c r="L25" s="7">
        <v>0.58680699999999997</v>
      </c>
      <c r="M25" s="7">
        <v>1.0199700000000001E-2</v>
      </c>
      <c r="N25" s="7">
        <v>0.58646699999999996</v>
      </c>
      <c r="O25" s="7">
        <v>9.8132299999999992E-3</v>
      </c>
      <c r="P25" s="7">
        <v>0.58462599999999998</v>
      </c>
      <c r="Q25" s="7">
        <v>9.9677600000000009E-3</v>
      </c>
      <c r="R25" s="7">
        <v>0.543736</v>
      </c>
      <c r="S25" s="7">
        <v>1.0373200000000001E-2</v>
      </c>
      <c r="T25" s="7">
        <v>0.54192899999999999</v>
      </c>
      <c r="U25" s="7">
        <v>1.0108600000000001E-2</v>
      </c>
      <c r="V25" s="7">
        <v>0.58462599999999998</v>
      </c>
      <c r="W25" s="7">
        <v>9.9677600000000009E-3</v>
      </c>
      <c r="X25" s="7">
        <v>0.65406600000000004</v>
      </c>
      <c r="Y25" s="7">
        <v>5.0669E-3</v>
      </c>
      <c r="Z25" s="7">
        <v>0.585754</v>
      </c>
      <c r="AA25" s="7">
        <v>1.0769300000000001E-2</v>
      </c>
      <c r="AB25" s="7">
        <v>0.58465400000000001</v>
      </c>
      <c r="AC25" s="7">
        <v>9.9686199999999992E-3</v>
      </c>
      <c r="AD25" s="7">
        <v>0.58530700000000002</v>
      </c>
      <c r="AE25" s="7">
        <v>1.0041700000000001E-2</v>
      </c>
      <c r="AF25" s="7">
        <v>0.59617500000000001</v>
      </c>
      <c r="AG25" s="7">
        <v>1.08992E-2</v>
      </c>
      <c r="AH25" s="7">
        <v>0.58462599999999998</v>
      </c>
      <c r="AI25" s="7">
        <v>9.9677600000000009E-3</v>
      </c>
      <c r="AJ25" s="7">
        <v>0.65407599999999999</v>
      </c>
      <c r="AK25" s="7">
        <v>5.08808E-3</v>
      </c>
      <c r="AL25" s="7">
        <v>0.59331299999999998</v>
      </c>
      <c r="AM25" s="7">
        <v>1.0418500000000001E-2</v>
      </c>
      <c r="AN25" s="7">
        <v>0.73713099999999998</v>
      </c>
      <c r="AO25" s="7">
        <v>9.77746E-3</v>
      </c>
      <c r="AP25" s="7">
        <v>0.53269299999999997</v>
      </c>
      <c r="AQ25" s="7">
        <v>7.7879100000000003E-3</v>
      </c>
      <c r="AR25" s="7">
        <v>0.476074</v>
      </c>
      <c r="AS25" s="7">
        <v>1.13624E-2</v>
      </c>
      <c r="AT25" s="7">
        <v>0.61405200000000004</v>
      </c>
      <c r="AU25" s="7">
        <v>1.0046899999999999E-2</v>
      </c>
      <c r="AV25" s="7">
        <v>0.63953700000000002</v>
      </c>
      <c r="AW25" s="7">
        <v>9.0411899999999993E-3</v>
      </c>
      <c r="AX25" s="7">
        <v>0.61246900000000004</v>
      </c>
      <c r="AY25" s="7">
        <v>8.6617099999999995E-3</v>
      </c>
      <c r="AZ25" s="7">
        <v>0.55465399999999998</v>
      </c>
      <c r="BA25" s="7">
        <v>1.28872E-2</v>
      </c>
      <c r="BB25" s="7">
        <v>0.58638800000000002</v>
      </c>
      <c r="BC25" s="7">
        <v>1.01362E-2</v>
      </c>
      <c r="BD25" s="7">
        <v>0.58669300000000002</v>
      </c>
      <c r="BE25" s="7">
        <v>9.9492699999999996E-3</v>
      </c>
      <c r="BF25" s="7">
        <v>0.60182400000000003</v>
      </c>
      <c r="BG25" s="7">
        <v>9.3402399999999997E-3</v>
      </c>
      <c r="BH25" s="7">
        <v>0.54336700000000004</v>
      </c>
      <c r="BI25" s="7">
        <v>1.0280600000000001E-2</v>
      </c>
      <c r="BJ25" s="7">
        <v>0.60116800000000004</v>
      </c>
      <c r="BK25" s="7">
        <v>8.84361E-3</v>
      </c>
      <c r="BL25" s="7">
        <v>0.57194299999999998</v>
      </c>
      <c r="BM25" s="7">
        <v>1.5835700000000001E-2</v>
      </c>
      <c r="BN25" s="7">
        <v>0.64213699999999996</v>
      </c>
      <c r="BO25" s="7">
        <v>9.2954300000000004E-3</v>
      </c>
      <c r="BP25" s="7">
        <v>0.61397400000000002</v>
      </c>
      <c r="BQ25" s="7">
        <v>0.973943</v>
      </c>
      <c r="BR25" s="7">
        <v>0.549647</v>
      </c>
      <c r="BS25" s="7">
        <v>1.1744900000000001E-2</v>
      </c>
      <c r="BT25" s="7">
        <v>0.61077800000000004</v>
      </c>
      <c r="BU25" s="7">
        <v>1.00726</v>
      </c>
      <c r="BV25" s="7">
        <v>0.57452899999999996</v>
      </c>
      <c r="BW25" s="7">
        <v>9.7217199999999997E-3</v>
      </c>
      <c r="BX25" s="7">
        <v>0.58986000000000005</v>
      </c>
      <c r="BY25" s="7">
        <v>1.1009E-2</v>
      </c>
      <c r="BZ25" s="7">
        <v>0.63908299999999996</v>
      </c>
      <c r="CA25" s="7">
        <v>9.7400500000000001E-3</v>
      </c>
      <c r="CB25" s="7">
        <v>0.57968699999999995</v>
      </c>
      <c r="CC25" s="7">
        <v>9.5526199999999995E-3</v>
      </c>
      <c r="CD25" s="7">
        <v>0.63252200000000003</v>
      </c>
      <c r="CE25" s="7">
        <v>3.9454099999999999E-3</v>
      </c>
      <c r="CF25" s="7">
        <v>0.58836900000000003</v>
      </c>
      <c r="CG25" s="7">
        <v>1.0437800000000001E-2</v>
      </c>
      <c r="CH25" s="7">
        <v>0.543736</v>
      </c>
      <c r="CI25" s="7">
        <v>1.0373200000000001E-2</v>
      </c>
      <c r="CJ25" s="7">
        <v>0.65406600000000004</v>
      </c>
      <c r="CK25" s="7">
        <v>5.0668900000000001E-3</v>
      </c>
      <c r="CL25" s="7">
        <v>0.58982500000000004</v>
      </c>
      <c r="CM25" s="7">
        <v>9.8793800000000001E-3</v>
      </c>
      <c r="CN25" s="7">
        <v>0.58446299999999995</v>
      </c>
      <c r="CO25" s="7">
        <v>9.4377899999999997E-3</v>
      </c>
      <c r="CP25" s="7">
        <v>0.58531200000000005</v>
      </c>
      <c r="CQ25" s="7">
        <v>1.00392E-2</v>
      </c>
      <c r="CR25" s="7">
        <v>0.57641299999999995</v>
      </c>
      <c r="CS25" s="7">
        <v>9.4022700000000008E-3</v>
      </c>
      <c r="CT25" s="7">
        <v>0.54213299999999998</v>
      </c>
      <c r="CU25" s="7">
        <v>1.0255E-2</v>
      </c>
      <c r="CV25" s="7">
        <v>0.543736</v>
      </c>
      <c r="CW25" s="7">
        <v>1.0373200000000001E-2</v>
      </c>
      <c r="CX25" s="7">
        <v>0.70854399999999995</v>
      </c>
      <c r="CY25" s="7">
        <v>8.8771700000000002E-3</v>
      </c>
      <c r="CZ25" s="7">
        <v>0.57973399999999997</v>
      </c>
      <c r="DA25" s="7">
        <v>9.4191199999999996E-3</v>
      </c>
      <c r="DB25" s="7">
        <v>0.62251900000000004</v>
      </c>
      <c r="DC25" s="7">
        <v>0.94723999999999997</v>
      </c>
      <c r="DD25" s="7">
        <v>0.58892900000000004</v>
      </c>
      <c r="DE25" s="7">
        <v>0.80725100000000005</v>
      </c>
      <c r="DF25" s="7">
        <v>0.67891699999999999</v>
      </c>
      <c r="DG25" s="7">
        <v>0.234457</v>
      </c>
      <c r="DH25" s="7">
        <v>0.61077700000000001</v>
      </c>
      <c r="DI25" s="7">
        <v>1.00726</v>
      </c>
      <c r="DJ25" s="7">
        <v>0.54712899999999998</v>
      </c>
      <c r="DK25" s="7">
        <v>1.0617000000000001</v>
      </c>
      <c r="DL25" s="7">
        <v>0.61895500000000003</v>
      </c>
      <c r="DM25" s="7">
        <v>0.97585599999999995</v>
      </c>
      <c r="DN25" s="7">
        <v>0.67064299999999999</v>
      </c>
      <c r="DO25" s="7">
        <v>0.340138</v>
      </c>
      <c r="DP25" s="7">
        <v>0.61077700000000001</v>
      </c>
      <c r="DQ25" s="7">
        <v>1.00726</v>
      </c>
      <c r="DR25" s="7">
        <v>0.61050899999999997</v>
      </c>
      <c r="DS25" s="7">
        <v>1.00587</v>
      </c>
      <c r="DT25" s="7">
        <v>0.61151</v>
      </c>
      <c r="DU25" s="7">
        <v>1.01007</v>
      </c>
      <c r="DV25" s="7">
        <v>0.60440700000000003</v>
      </c>
      <c r="DW25" s="7">
        <v>1.12883</v>
      </c>
      <c r="DX25" s="7">
        <v>0.65840399999999999</v>
      </c>
      <c r="DY25" s="7">
        <v>0.64322900000000005</v>
      </c>
      <c r="DZ25" s="7">
        <v>0.58937399999999995</v>
      </c>
      <c r="EA25" s="7">
        <v>1.21102</v>
      </c>
      <c r="EB25" s="7">
        <v>0.79216399999999998</v>
      </c>
      <c r="EC25" s="7">
        <v>0.72061600000000003</v>
      </c>
      <c r="ED25" s="7">
        <v>0.57326299999999997</v>
      </c>
      <c r="EE25" s="7">
        <v>1.0122</v>
      </c>
      <c r="EF25" s="7">
        <v>0.55310599999999999</v>
      </c>
      <c r="EG25" s="7">
        <v>1.2126300000000001</v>
      </c>
      <c r="EH25" s="7">
        <v>0.676118</v>
      </c>
      <c r="EI25" s="7">
        <v>0.89150700000000005</v>
      </c>
      <c r="EJ25" s="7">
        <v>0.69505799999999995</v>
      </c>
      <c r="EK25" s="7">
        <v>0.79400000000000004</v>
      </c>
      <c r="EL25" s="7">
        <v>0.66669299999999998</v>
      </c>
      <c r="EM25" s="7">
        <v>0.791161</v>
      </c>
      <c r="EN25" s="7">
        <v>0.63630600000000004</v>
      </c>
      <c r="EO25" s="7">
        <v>1.19479</v>
      </c>
      <c r="EP25" s="7">
        <v>0.62621599999999999</v>
      </c>
      <c r="EQ25" s="7">
        <v>0.94156300000000004</v>
      </c>
      <c r="ER25" s="7">
        <v>0.62449399999999999</v>
      </c>
      <c r="ES25" s="7">
        <v>0.92654300000000001</v>
      </c>
      <c r="ET25" s="7">
        <v>0.61807999999999996</v>
      </c>
      <c r="EU25" s="7">
        <v>0.70961799999999997</v>
      </c>
      <c r="EV25" s="7">
        <v>0.58451500000000001</v>
      </c>
      <c r="EW25" s="7">
        <v>1.1391899999999999</v>
      </c>
      <c r="EX25" s="7">
        <v>0.63689399999999996</v>
      </c>
      <c r="EY25" s="7">
        <v>0.64788199999999996</v>
      </c>
      <c r="EZ25" s="7">
        <v>0.66413</v>
      </c>
      <c r="FA25" s="7">
        <v>1.24769</v>
      </c>
      <c r="FB25" s="7">
        <v>0.67819399999999996</v>
      </c>
      <c r="FC25" s="7">
        <v>0.94337599999999999</v>
      </c>
      <c r="FD25" s="7">
        <v>0.58415899999999998</v>
      </c>
      <c r="FE25" s="7">
        <v>1.08674</v>
      </c>
      <c r="FF25" s="7">
        <v>0.62487800000000004</v>
      </c>
      <c r="FG25" s="7">
        <v>1.1168100000000001</v>
      </c>
      <c r="FH25" s="7">
        <v>0.61077899999999996</v>
      </c>
      <c r="FI25" s="7">
        <v>1.00726</v>
      </c>
      <c r="FJ25" s="7">
        <v>0.636328</v>
      </c>
      <c r="FK25" s="7">
        <v>0.91407499999999997</v>
      </c>
      <c r="FL25" s="7">
        <v>0.58333800000000002</v>
      </c>
      <c r="FM25" s="7">
        <v>1.2123999999999999</v>
      </c>
      <c r="FN25" s="7">
        <v>0.69828299999999999</v>
      </c>
      <c r="FO25" s="7">
        <v>0.83707600000000004</v>
      </c>
      <c r="FP25" s="7">
        <v>0.61061600000000005</v>
      </c>
      <c r="FQ25" s="7">
        <v>1.00562</v>
      </c>
      <c r="FR25" s="7">
        <v>0.61199300000000001</v>
      </c>
      <c r="FS25" s="7">
        <v>0.99710900000000002</v>
      </c>
      <c r="FT25" s="7">
        <v>0.61360499999999996</v>
      </c>
      <c r="FU25" s="7">
        <v>0.99221099999999995</v>
      </c>
      <c r="FV25" s="7">
        <v>0.67064299999999999</v>
      </c>
      <c r="FW25" s="7">
        <v>0.340138</v>
      </c>
      <c r="FX25" s="7">
        <v>0.58037300000000003</v>
      </c>
      <c r="FY25" s="7">
        <v>1.07698</v>
      </c>
      <c r="FZ25" s="7">
        <v>0.64420900000000003</v>
      </c>
      <c r="GA25" s="7">
        <v>0.88027999999999995</v>
      </c>
      <c r="GB25" s="7">
        <v>0.615761</v>
      </c>
      <c r="GC25" s="7">
        <v>0.96384000000000003</v>
      </c>
      <c r="GD25" s="7">
        <v>0.61085599999999995</v>
      </c>
      <c r="GE25" s="7">
        <v>1.00742</v>
      </c>
      <c r="GF25" s="7">
        <v>0.60922399999999999</v>
      </c>
      <c r="GG25" s="7">
        <v>0.99756500000000004</v>
      </c>
      <c r="GH25" s="7">
        <v>0.65077099999999999</v>
      </c>
      <c r="GI25" s="7">
        <v>0.37461100000000003</v>
      </c>
      <c r="GJ25" s="7">
        <v>0.76020799999999999</v>
      </c>
      <c r="GK25" s="7">
        <v>0.70055599999999996</v>
      </c>
      <c r="GL25" s="7">
        <v>0.58257499999999995</v>
      </c>
      <c r="GM25" s="7">
        <v>1.06856</v>
      </c>
    </row>
    <row r="26" spans="1:195" x14ac:dyDescent="0.6">
      <c r="A26" s="5">
        <v>24</v>
      </c>
      <c r="B26" s="5">
        <v>25020230</v>
      </c>
      <c r="C26" s="5">
        <v>2011</v>
      </c>
      <c r="D26" s="5">
        <v>110</v>
      </c>
      <c r="E26" s="5">
        <v>39</v>
      </c>
      <c r="F26" s="5">
        <v>105.801</v>
      </c>
      <c r="G26" s="5">
        <v>38.727499999999999</v>
      </c>
      <c r="H26" s="5">
        <v>0.108432</v>
      </c>
      <c r="I26" s="5">
        <v>110</v>
      </c>
      <c r="J26" s="5">
        <v>25020230</v>
      </c>
      <c r="K26" s="5">
        <v>25</v>
      </c>
      <c r="L26" s="5">
        <v>0.58680699999999997</v>
      </c>
      <c r="M26" s="5">
        <v>1.0199700000000001E-2</v>
      </c>
      <c r="N26" s="5">
        <v>0.58646699999999996</v>
      </c>
      <c r="O26" s="5">
        <v>9.8132299999999992E-3</v>
      </c>
      <c r="P26" s="5">
        <v>0.58462599999999998</v>
      </c>
      <c r="Q26" s="5">
        <v>9.9677600000000009E-3</v>
      </c>
      <c r="R26" s="5">
        <v>0.543736</v>
      </c>
      <c r="S26" s="5">
        <v>1.0373200000000001E-2</v>
      </c>
      <c r="T26" s="5">
        <v>0.54192899999999999</v>
      </c>
      <c r="U26" s="5">
        <v>1.0108600000000001E-2</v>
      </c>
      <c r="V26" s="5">
        <v>0.58462599999999998</v>
      </c>
      <c r="W26" s="5">
        <v>9.9677600000000009E-3</v>
      </c>
      <c r="X26" s="5">
        <v>0.65406600000000004</v>
      </c>
      <c r="Y26" s="5">
        <v>5.0669E-3</v>
      </c>
      <c r="Z26" s="5">
        <v>0.585754</v>
      </c>
      <c r="AA26" s="5">
        <v>1.0769300000000001E-2</v>
      </c>
      <c r="AB26" s="5">
        <v>0.58465400000000001</v>
      </c>
      <c r="AC26" s="5">
        <v>9.9686199999999992E-3</v>
      </c>
      <c r="AD26" s="5">
        <v>0.58530700000000002</v>
      </c>
      <c r="AE26" s="5">
        <v>1.0041700000000001E-2</v>
      </c>
      <c r="AF26" s="5">
        <v>0.59617500000000001</v>
      </c>
      <c r="AG26" s="5">
        <v>1.08992E-2</v>
      </c>
      <c r="AH26" s="5">
        <v>0.58462599999999998</v>
      </c>
      <c r="AI26" s="5">
        <v>9.9677600000000009E-3</v>
      </c>
      <c r="AJ26" s="5">
        <v>0.65407599999999999</v>
      </c>
      <c r="AK26" s="5">
        <v>5.08808E-3</v>
      </c>
      <c r="AL26" s="5">
        <v>0.59331299999999998</v>
      </c>
      <c r="AM26" s="5">
        <v>1.0418500000000001E-2</v>
      </c>
      <c r="AN26" s="5">
        <v>0.73713099999999998</v>
      </c>
      <c r="AO26" s="5">
        <v>9.77746E-3</v>
      </c>
      <c r="AP26" s="5">
        <v>0.53269299999999997</v>
      </c>
      <c r="AQ26" s="5">
        <v>7.7879100000000003E-3</v>
      </c>
      <c r="AR26" s="5">
        <v>0.476074</v>
      </c>
      <c r="AS26" s="5">
        <v>1.13624E-2</v>
      </c>
      <c r="AT26" s="5">
        <v>0.61405200000000004</v>
      </c>
      <c r="AU26" s="5">
        <v>1.0046899999999999E-2</v>
      </c>
      <c r="AV26" s="5">
        <v>0.63953700000000002</v>
      </c>
      <c r="AW26" s="5">
        <v>9.0411899999999993E-3</v>
      </c>
      <c r="AX26" s="5">
        <v>0.61246900000000004</v>
      </c>
      <c r="AY26" s="5">
        <v>8.6617099999999995E-3</v>
      </c>
      <c r="AZ26" s="5">
        <v>0.55465399999999998</v>
      </c>
      <c r="BA26" s="5">
        <v>1.28872E-2</v>
      </c>
      <c r="BB26" s="5">
        <v>0.58638800000000002</v>
      </c>
      <c r="BC26" s="5">
        <v>1.01362E-2</v>
      </c>
      <c r="BD26" s="5">
        <v>0.58669300000000002</v>
      </c>
      <c r="BE26" s="5">
        <v>9.9492699999999996E-3</v>
      </c>
      <c r="BF26" s="5">
        <v>0.60182400000000003</v>
      </c>
      <c r="BG26" s="5">
        <v>9.3402399999999997E-3</v>
      </c>
      <c r="BH26" s="5">
        <v>0.54336700000000004</v>
      </c>
      <c r="BI26" s="5">
        <v>1.0280600000000001E-2</v>
      </c>
      <c r="BJ26" s="5">
        <v>0.60116800000000004</v>
      </c>
      <c r="BK26" s="5">
        <v>8.84361E-3</v>
      </c>
      <c r="BL26" s="5">
        <v>0.57194299999999998</v>
      </c>
      <c r="BM26" s="5">
        <v>1.5835700000000001E-2</v>
      </c>
      <c r="BN26" s="5">
        <v>0.64213699999999996</v>
      </c>
      <c r="BO26" s="5">
        <v>9.2954300000000004E-3</v>
      </c>
      <c r="BP26" s="5">
        <v>0.61397400000000002</v>
      </c>
      <c r="BQ26" s="5">
        <v>0.973943</v>
      </c>
      <c r="BR26" s="5">
        <v>0.549647</v>
      </c>
      <c r="BS26" s="5">
        <v>1.1744900000000001E-2</v>
      </c>
      <c r="BT26" s="5">
        <v>0.61077800000000004</v>
      </c>
      <c r="BU26" s="5">
        <v>1.00726</v>
      </c>
      <c r="BV26" s="5">
        <v>0.57452899999999996</v>
      </c>
      <c r="BW26" s="5">
        <v>9.7217199999999997E-3</v>
      </c>
      <c r="BX26" s="5">
        <v>0.58986000000000005</v>
      </c>
      <c r="BY26" s="5">
        <v>1.1009E-2</v>
      </c>
      <c r="BZ26" s="5">
        <v>0.63908299999999996</v>
      </c>
      <c r="CA26" s="5">
        <v>9.7400500000000001E-3</v>
      </c>
      <c r="CB26" s="5">
        <v>0.57968699999999995</v>
      </c>
      <c r="CC26" s="5">
        <v>9.5526199999999995E-3</v>
      </c>
      <c r="CD26" s="5">
        <v>0.63252200000000003</v>
      </c>
      <c r="CE26" s="5">
        <v>3.9454099999999999E-3</v>
      </c>
      <c r="CF26" s="5">
        <v>0.58836900000000003</v>
      </c>
      <c r="CG26" s="5">
        <v>1.0437800000000001E-2</v>
      </c>
      <c r="CH26" s="5">
        <v>0.543736</v>
      </c>
      <c r="CI26" s="5">
        <v>1.0373200000000001E-2</v>
      </c>
      <c r="CJ26" s="5">
        <v>0.65406600000000004</v>
      </c>
      <c r="CK26" s="5">
        <v>5.0668900000000001E-3</v>
      </c>
      <c r="CL26" s="5">
        <v>0.58982500000000004</v>
      </c>
      <c r="CM26" s="5">
        <v>9.8793800000000001E-3</v>
      </c>
      <c r="CN26" s="5">
        <v>0.58446299999999995</v>
      </c>
      <c r="CO26" s="5">
        <v>9.4377899999999997E-3</v>
      </c>
      <c r="CP26" s="5">
        <v>0.58531200000000005</v>
      </c>
      <c r="CQ26" s="5">
        <v>1.00392E-2</v>
      </c>
      <c r="CR26" s="5">
        <v>0.57641299999999995</v>
      </c>
      <c r="CS26" s="5">
        <v>9.4022700000000008E-3</v>
      </c>
      <c r="CT26" s="5">
        <v>0.54213299999999998</v>
      </c>
      <c r="CU26" s="5">
        <v>1.0255E-2</v>
      </c>
      <c r="CV26" s="5">
        <v>0.543736</v>
      </c>
      <c r="CW26" s="5">
        <v>1.0373200000000001E-2</v>
      </c>
      <c r="CX26" s="5">
        <v>0.70854399999999995</v>
      </c>
      <c r="CY26" s="5">
        <v>8.8771700000000002E-3</v>
      </c>
      <c r="CZ26" s="5">
        <v>0.57973399999999997</v>
      </c>
      <c r="DA26" s="5">
        <v>9.4191199999999996E-3</v>
      </c>
      <c r="DB26" s="5">
        <v>0.62251900000000004</v>
      </c>
      <c r="DC26" s="5">
        <v>0.94723999999999997</v>
      </c>
      <c r="DD26" s="5">
        <v>0.58892900000000004</v>
      </c>
      <c r="DE26" s="5">
        <v>0.80725100000000005</v>
      </c>
      <c r="DF26" s="5">
        <v>0.67891699999999999</v>
      </c>
      <c r="DG26" s="5">
        <v>0.234457</v>
      </c>
      <c r="DH26" s="5">
        <v>0.61077700000000001</v>
      </c>
      <c r="DI26" s="5">
        <v>1.00726</v>
      </c>
      <c r="DJ26" s="5">
        <v>0.54712899999999998</v>
      </c>
      <c r="DK26" s="5">
        <v>1.0617000000000001</v>
      </c>
      <c r="DL26" s="5">
        <v>0.61895500000000003</v>
      </c>
      <c r="DM26" s="5">
        <v>0.97585599999999995</v>
      </c>
      <c r="DN26" s="5">
        <v>0.67064299999999999</v>
      </c>
      <c r="DO26" s="5">
        <v>0.340138</v>
      </c>
      <c r="DP26" s="5">
        <v>0.61077700000000001</v>
      </c>
      <c r="DQ26" s="5">
        <v>1.00726</v>
      </c>
      <c r="DR26" s="5">
        <v>0.61050899999999997</v>
      </c>
      <c r="DS26" s="5">
        <v>1.00587</v>
      </c>
      <c r="DT26" s="5">
        <v>0.61151</v>
      </c>
      <c r="DU26" s="5">
        <v>1.01007</v>
      </c>
      <c r="DV26" s="5">
        <v>0.60440700000000003</v>
      </c>
      <c r="DW26" s="5">
        <v>1.12883</v>
      </c>
      <c r="DX26" s="5">
        <v>0.65840399999999999</v>
      </c>
      <c r="DY26" s="5">
        <v>0.64322900000000005</v>
      </c>
      <c r="DZ26" s="5">
        <v>0.58937399999999995</v>
      </c>
      <c r="EA26" s="5">
        <v>1.21102</v>
      </c>
      <c r="EB26" s="5">
        <v>0.79216399999999998</v>
      </c>
      <c r="EC26" s="5">
        <v>0.72061600000000003</v>
      </c>
      <c r="ED26" s="5">
        <v>0.57326299999999997</v>
      </c>
      <c r="EE26" s="5">
        <v>1.0122</v>
      </c>
      <c r="EF26" s="5">
        <v>0.55310599999999999</v>
      </c>
      <c r="EG26" s="5">
        <v>1.2126300000000001</v>
      </c>
      <c r="EH26" s="5">
        <v>0.676118</v>
      </c>
      <c r="EI26" s="5">
        <v>0.89150700000000005</v>
      </c>
      <c r="EJ26" s="5">
        <v>0.69505799999999995</v>
      </c>
      <c r="EK26" s="5">
        <v>0.79400000000000004</v>
      </c>
      <c r="EL26" s="5">
        <v>0.66669299999999998</v>
      </c>
      <c r="EM26" s="5">
        <v>0.791161</v>
      </c>
      <c r="EN26" s="5">
        <v>0.63630600000000004</v>
      </c>
      <c r="EO26" s="5">
        <v>1.19479</v>
      </c>
      <c r="EP26" s="5">
        <v>0.62621599999999999</v>
      </c>
      <c r="EQ26" s="5">
        <v>0.94156300000000004</v>
      </c>
      <c r="ER26" s="5">
        <v>0.62449399999999999</v>
      </c>
      <c r="ES26" s="5">
        <v>0.92654300000000001</v>
      </c>
      <c r="ET26" s="5">
        <v>0.61807999999999996</v>
      </c>
      <c r="EU26" s="5">
        <v>0.70961799999999997</v>
      </c>
      <c r="EV26" s="5">
        <v>0.58451500000000001</v>
      </c>
      <c r="EW26" s="5">
        <v>1.1391899999999999</v>
      </c>
      <c r="EX26" s="5">
        <v>0.63689399999999996</v>
      </c>
      <c r="EY26" s="5">
        <v>0.64788199999999996</v>
      </c>
      <c r="EZ26" s="5">
        <v>0.66413</v>
      </c>
      <c r="FA26" s="5">
        <v>1.24769</v>
      </c>
      <c r="FB26" s="5">
        <v>0.67819399999999996</v>
      </c>
      <c r="FC26" s="5">
        <v>0.94337599999999999</v>
      </c>
      <c r="FD26" s="5">
        <v>0.58415899999999998</v>
      </c>
      <c r="FE26" s="5">
        <v>1.08674</v>
      </c>
      <c r="FF26" s="5">
        <v>0.62487800000000004</v>
      </c>
      <c r="FG26" s="5">
        <v>1.1168100000000001</v>
      </c>
      <c r="FH26" s="5">
        <v>0.61077899999999996</v>
      </c>
      <c r="FI26" s="5">
        <v>1.00726</v>
      </c>
      <c r="FJ26" s="5">
        <v>0.636328</v>
      </c>
      <c r="FK26" s="5">
        <v>0.91407499999999997</v>
      </c>
      <c r="FL26" s="5">
        <v>0.58333800000000002</v>
      </c>
      <c r="FM26" s="5">
        <v>1.2123999999999999</v>
      </c>
      <c r="FN26" s="5">
        <v>0.69828299999999999</v>
      </c>
      <c r="FO26" s="5">
        <v>0.83707600000000004</v>
      </c>
      <c r="FP26" s="5">
        <v>0.61061600000000005</v>
      </c>
      <c r="FQ26" s="5">
        <v>1.00562</v>
      </c>
      <c r="FR26" s="5">
        <v>0.61199300000000001</v>
      </c>
      <c r="FS26" s="5">
        <v>0.99710900000000002</v>
      </c>
      <c r="FT26" s="5">
        <v>0.61360499999999996</v>
      </c>
      <c r="FU26" s="5">
        <v>0.99221099999999995</v>
      </c>
      <c r="FV26" s="5">
        <v>0.67064299999999999</v>
      </c>
      <c r="FW26" s="5">
        <v>0.340138</v>
      </c>
      <c r="FX26" s="5">
        <v>0.58037300000000003</v>
      </c>
      <c r="FY26" s="5">
        <v>1.07698</v>
      </c>
      <c r="FZ26" s="5">
        <v>0.64420900000000003</v>
      </c>
      <c r="GA26" s="5">
        <v>0.88027999999999995</v>
      </c>
      <c r="GB26" s="5">
        <v>0.615761</v>
      </c>
      <c r="GC26" s="5">
        <v>0.96384000000000003</v>
      </c>
      <c r="GD26" s="5">
        <v>0.61085599999999995</v>
      </c>
      <c r="GE26" s="5">
        <v>1.00742</v>
      </c>
      <c r="GF26" s="5">
        <v>0.60922399999999999</v>
      </c>
      <c r="GG26" s="5">
        <v>0.99756500000000004</v>
      </c>
      <c r="GH26" s="5">
        <v>0.65077099999999999</v>
      </c>
      <c r="GI26" s="5">
        <v>0.37461100000000003</v>
      </c>
      <c r="GJ26" s="5">
        <v>0.76020799999999999</v>
      </c>
      <c r="GK26" s="5">
        <v>0.70055599999999996</v>
      </c>
      <c r="GL26" s="5">
        <v>0.58257499999999995</v>
      </c>
      <c r="GM26" s="5">
        <v>1.06856</v>
      </c>
    </row>
    <row r="27" spans="1:195" x14ac:dyDescent="0.6">
      <c r="A27" s="7">
        <v>25</v>
      </c>
      <c r="B27" s="7">
        <v>25020230</v>
      </c>
      <c r="C27" s="7">
        <v>1983</v>
      </c>
      <c r="D27" s="7">
        <v>120</v>
      </c>
      <c r="E27" s="7">
        <v>39</v>
      </c>
      <c r="F27" s="7">
        <v>105.801</v>
      </c>
      <c r="G27" s="7">
        <v>38.727499999999999</v>
      </c>
      <c r="H27" s="7">
        <v>0.366647</v>
      </c>
      <c r="I27" s="7">
        <v>120</v>
      </c>
      <c r="J27" s="7">
        <v>25020230</v>
      </c>
      <c r="K27" s="7">
        <v>26</v>
      </c>
      <c r="L27" s="7">
        <v>0.68225999999999998</v>
      </c>
      <c r="M27" s="7">
        <v>8.8312300000000007E-3</v>
      </c>
      <c r="N27" s="7">
        <v>0.67851499999999998</v>
      </c>
      <c r="O27" s="7">
        <v>8.5477399999999999E-3</v>
      </c>
      <c r="P27" s="7">
        <v>0.67827800000000005</v>
      </c>
      <c r="Q27" s="7">
        <v>8.7075699999999995E-3</v>
      </c>
      <c r="R27" s="7">
        <v>0.644845</v>
      </c>
      <c r="S27" s="7">
        <v>9.7403000000000003E-3</v>
      </c>
      <c r="T27" s="7">
        <v>0.65781699999999999</v>
      </c>
      <c r="U27" s="7">
        <v>1.1813000000000001E-2</v>
      </c>
      <c r="V27" s="7">
        <v>0.67827800000000005</v>
      </c>
      <c r="W27" s="7">
        <v>8.7075699999999995E-3</v>
      </c>
      <c r="X27" s="7">
        <v>0.70119900000000002</v>
      </c>
      <c r="Y27" s="7">
        <v>4.3765399999999999E-3</v>
      </c>
      <c r="Z27" s="7">
        <v>0.68627400000000005</v>
      </c>
      <c r="AA27" s="7">
        <v>9.2470399999999998E-3</v>
      </c>
      <c r="AB27" s="7">
        <v>0.678311</v>
      </c>
      <c r="AC27" s="7">
        <v>8.7076900000000006E-3</v>
      </c>
      <c r="AD27" s="7">
        <v>0.67951799999999996</v>
      </c>
      <c r="AE27" s="7">
        <v>8.74429E-3</v>
      </c>
      <c r="AF27" s="7">
        <v>0.69615800000000005</v>
      </c>
      <c r="AG27" s="7">
        <v>9.0281800000000002E-3</v>
      </c>
      <c r="AH27" s="7">
        <v>0.67827800000000005</v>
      </c>
      <c r="AI27" s="7">
        <v>8.7075699999999995E-3</v>
      </c>
      <c r="AJ27" s="7">
        <v>0.70139200000000002</v>
      </c>
      <c r="AK27" s="7">
        <v>4.3921300000000002E-3</v>
      </c>
      <c r="AL27" s="7">
        <v>0.689693</v>
      </c>
      <c r="AM27" s="7">
        <v>8.8038100000000005E-3</v>
      </c>
      <c r="AN27" s="7">
        <v>0.81505799999999995</v>
      </c>
      <c r="AO27" s="7">
        <v>6.1546099999999996E-3</v>
      </c>
      <c r="AP27" s="7">
        <v>0.60920700000000005</v>
      </c>
      <c r="AQ27" s="7">
        <v>7.4852199999999999E-3</v>
      </c>
      <c r="AR27" s="7">
        <v>0.59509000000000001</v>
      </c>
      <c r="AS27" s="7">
        <v>1.22819E-2</v>
      </c>
      <c r="AT27" s="7">
        <v>0.70562000000000002</v>
      </c>
      <c r="AU27" s="7">
        <v>8.2545099999999996E-3</v>
      </c>
      <c r="AV27" s="7">
        <v>0.72131100000000004</v>
      </c>
      <c r="AW27" s="7">
        <v>7.3387599999999997E-3</v>
      </c>
      <c r="AX27" s="7">
        <v>0.69312099999999999</v>
      </c>
      <c r="AY27" s="7">
        <v>7.4649599999999997E-3</v>
      </c>
      <c r="AZ27" s="7">
        <v>0.67599900000000002</v>
      </c>
      <c r="BA27" s="7">
        <v>1.1130599999999999E-2</v>
      </c>
      <c r="BB27" s="7">
        <v>0.68132300000000001</v>
      </c>
      <c r="BC27" s="7">
        <v>8.7926299999999992E-3</v>
      </c>
      <c r="BD27" s="7">
        <v>0.67987600000000004</v>
      </c>
      <c r="BE27" s="7">
        <v>8.6362000000000001E-3</v>
      </c>
      <c r="BF27" s="7">
        <v>0.68793099999999996</v>
      </c>
      <c r="BG27" s="7">
        <v>7.8649800000000006E-3</v>
      </c>
      <c r="BH27" s="7">
        <v>0.64361800000000002</v>
      </c>
      <c r="BI27" s="7">
        <v>9.66412E-3</v>
      </c>
      <c r="BJ27" s="7">
        <v>0.68350500000000003</v>
      </c>
      <c r="BK27" s="7">
        <v>7.61125E-3</v>
      </c>
      <c r="BL27" s="7">
        <v>0.70430999999999999</v>
      </c>
      <c r="BM27" s="7">
        <v>1.09389E-2</v>
      </c>
      <c r="BN27" s="7">
        <v>0.72399999999999998</v>
      </c>
      <c r="BO27" s="7">
        <v>7.1690599999999997E-3</v>
      </c>
      <c r="BP27" s="7">
        <v>0.69508099999999995</v>
      </c>
      <c r="BQ27" s="7">
        <v>0.88436099999999995</v>
      </c>
      <c r="BR27" s="7">
        <v>0.66233500000000001</v>
      </c>
      <c r="BS27" s="7">
        <v>1.06114E-2</v>
      </c>
      <c r="BT27" s="7">
        <v>0.69494100000000003</v>
      </c>
      <c r="BU27" s="7">
        <v>0.92017899999999997</v>
      </c>
      <c r="BV27" s="7">
        <v>0.66702600000000001</v>
      </c>
      <c r="BW27" s="7">
        <v>8.7171999999999996E-3</v>
      </c>
      <c r="BX27" s="7">
        <v>0.69173499999999999</v>
      </c>
      <c r="BY27" s="7">
        <v>9.2677300000000001E-3</v>
      </c>
      <c r="BZ27" s="7">
        <v>0.72579300000000002</v>
      </c>
      <c r="CA27" s="7">
        <v>7.6458300000000002E-3</v>
      </c>
      <c r="CB27" s="7">
        <v>0.67031499999999999</v>
      </c>
      <c r="CC27" s="7">
        <v>8.5211100000000001E-3</v>
      </c>
      <c r="CD27" s="7">
        <v>0.67007000000000005</v>
      </c>
      <c r="CE27" s="7">
        <v>3.56778E-3</v>
      </c>
      <c r="CF27" s="7">
        <v>0.68567800000000001</v>
      </c>
      <c r="CG27" s="7">
        <v>8.9591400000000009E-3</v>
      </c>
      <c r="CH27" s="7">
        <v>0.644845</v>
      </c>
      <c r="CI27" s="7">
        <v>9.7403000000000003E-3</v>
      </c>
      <c r="CJ27" s="7">
        <v>0.70119900000000002</v>
      </c>
      <c r="CK27" s="7">
        <v>4.3765399999999999E-3</v>
      </c>
      <c r="CL27" s="7">
        <v>0.68225199999999997</v>
      </c>
      <c r="CM27" s="7">
        <v>8.5595099999999993E-3</v>
      </c>
      <c r="CN27" s="7">
        <v>0.67371800000000004</v>
      </c>
      <c r="CO27" s="7">
        <v>8.3689200000000002E-3</v>
      </c>
      <c r="CP27" s="7">
        <v>0.67950100000000002</v>
      </c>
      <c r="CQ27" s="7">
        <v>8.7426599999999993E-3</v>
      </c>
      <c r="CR27" s="7">
        <v>0.66611200000000004</v>
      </c>
      <c r="CS27" s="7">
        <v>8.4846799999999997E-3</v>
      </c>
      <c r="CT27" s="7">
        <v>0.64201699999999995</v>
      </c>
      <c r="CU27" s="7">
        <v>9.6108099999999991E-3</v>
      </c>
      <c r="CV27" s="7">
        <v>0.644845</v>
      </c>
      <c r="CW27" s="7">
        <v>9.7403000000000003E-3</v>
      </c>
      <c r="CX27" s="7">
        <v>0.78282200000000002</v>
      </c>
      <c r="CY27" s="7">
        <v>6.1790500000000002E-3</v>
      </c>
      <c r="CZ27" s="7">
        <v>0.66925999999999997</v>
      </c>
      <c r="DA27" s="7">
        <v>8.4360600000000004E-3</v>
      </c>
      <c r="DB27" s="7">
        <v>0.70109200000000005</v>
      </c>
      <c r="DC27" s="7">
        <v>0.85366500000000001</v>
      </c>
      <c r="DD27" s="7">
        <v>0.65711600000000003</v>
      </c>
      <c r="DE27" s="7">
        <v>0.75646400000000003</v>
      </c>
      <c r="DF27" s="7">
        <v>0.69852099999999995</v>
      </c>
      <c r="DG27" s="7">
        <v>0.21649199999999999</v>
      </c>
      <c r="DH27" s="7">
        <v>0.69494</v>
      </c>
      <c r="DI27" s="7">
        <v>0.92018100000000003</v>
      </c>
      <c r="DJ27" s="7">
        <v>0.64937100000000003</v>
      </c>
      <c r="DK27" s="7">
        <v>1.1924999999999999</v>
      </c>
      <c r="DL27" s="7">
        <v>0.70010700000000003</v>
      </c>
      <c r="DM27" s="7">
        <v>0.88346999999999998</v>
      </c>
      <c r="DN27" s="7">
        <v>0.69894800000000001</v>
      </c>
      <c r="DO27" s="7">
        <v>0.31090600000000002</v>
      </c>
      <c r="DP27" s="7">
        <v>0.69494100000000003</v>
      </c>
      <c r="DQ27" s="7">
        <v>0.92017800000000005</v>
      </c>
      <c r="DR27" s="7">
        <v>0.69455599999999995</v>
      </c>
      <c r="DS27" s="7">
        <v>0.91894399999999998</v>
      </c>
      <c r="DT27" s="7">
        <v>0.69584599999999996</v>
      </c>
      <c r="DU27" s="7">
        <v>0.92132700000000001</v>
      </c>
      <c r="DV27" s="7">
        <v>0.69733999999999996</v>
      </c>
      <c r="DW27" s="7">
        <v>0.99644100000000002</v>
      </c>
      <c r="DX27" s="7">
        <v>0.711816</v>
      </c>
      <c r="DY27" s="7">
        <v>0.58363600000000004</v>
      </c>
      <c r="DZ27" s="7">
        <v>0.69132899999999997</v>
      </c>
      <c r="EA27" s="7">
        <v>1.1137999999999999</v>
      </c>
      <c r="EB27" s="7">
        <v>0.84420600000000001</v>
      </c>
      <c r="EC27" s="7">
        <v>0.49346600000000002</v>
      </c>
      <c r="ED27" s="7">
        <v>0.661551</v>
      </c>
      <c r="EE27" s="7">
        <v>1.0082199999999999</v>
      </c>
      <c r="EF27" s="7">
        <v>0.66033200000000003</v>
      </c>
      <c r="EG27" s="7">
        <v>1.23563</v>
      </c>
      <c r="EH27" s="7">
        <v>0.746811</v>
      </c>
      <c r="EI27" s="7">
        <v>0.73452200000000001</v>
      </c>
      <c r="EJ27" s="7">
        <v>0.75792999999999999</v>
      </c>
      <c r="EK27" s="7">
        <v>0.65367399999999998</v>
      </c>
      <c r="EL27" s="7">
        <v>0.73094599999999998</v>
      </c>
      <c r="EM27" s="7">
        <v>0.685894</v>
      </c>
      <c r="EN27" s="7">
        <v>0.73138599999999998</v>
      </c>
      <c r="EO27" s="7">
        <v>0.98139200000000004</v>
      </c>
      <c r="EP27" s="7">
        <v>0.70418000000000003</v>
      </c>
      <c r="EQ27" s="7">
        <v>0.84557800000000005</v>
      </c>
      <c r="ER27" s="7">
        <v>0.70120800000000005</v>
      </c>
      <c r="ES27" s="7">
        <v>0.83224699999999996</v>
      </c>
      <c r="ET27" s="7">
        <v>0.67642800000000003</v>
      </c>
      <c r="EU27" s="7">
        <v>0.63100100000000003</v>
      </c>
      <c r="EV27" s="7">
        <v>0.68173600000000001</v>
      </c>
      <c r="EW27" s="7">
        <v>1.08178</v>
      </c>
      <c r="EX27" s="7">
        <v>0.69042199999999998</v>
      </c>
      <c r="EY27" s="7">
        <v>0.58224600000000004</v>
      </c>
      <c r="EZ27" s="7">
        <v>0.75689499999999998</v>
      </c>
      <c r="FA27" s="7">
        <v>0.903088</v>
      </c>
      <c r="FB27" s="7">
        <v>0.75064600000000004</v>
      </c>
      <c r="FC27" s="7">
        <v>0.73098300000000005</v>
      </c>
      <c r="FD27" s="7">
        <v>0.67710400000000004</v>
      </c>
      <c r="FE27" s="7">
        <v>1.03874</v>
      </c>
      <c r="FF27" s="7">
        <v>0.71603300000000003</v>
      </c>
      <c r="FG27" s="7">
        <v>0.96875</v>
      </c>
      <c r="FH27" s="7">
        <v>0.69494199999999995</v>
      </c>
      <c r="FI27" s="7">
        <v>0.92017400000000005</v>
      </c>
      <c r="FJ27" s="7">
        <v>0.71146500000000001</v>
      </c>
      <c r="FK27" s="7">
        <v>0.80972100000000002</v>
      </c>
      <c r="FL27" s="7">
        <v>0.68638399999999999</v>
      </c>
      <c r="FM27" s="7">
        <v>1.13584</v>
      </c>
      <c r="FN27" s="7">
        <v>0.76362099999999999</v>
      </c>
      <c r="FO27" s="7">
        <v>0.66912000000000005</v>
      </c>
      <c r="FP27" s="7">
        <v>0.69464700000000001</v>
      </c>
      <c r="FQ27" s="7">
        <v>0.918821</v>
      </c>
      <c r="FR27" s="7">
        <v>0.69526600000000005</v>
      </c>
      <c r="FS27" s="7">
        <v>0.91013299999999997</v>
      </c>
      <c r="FT27" s="7">
        <v>0.69640100000000005</v>
      </c>
      <c r="FU27" s="7">
        <v>0.90425299999999997</v>
      </c>
      <c r="FV27" s="7">
        <v>0.69894800000000001</v>
      </c>
      <c r="FW27" s="7">
        <v>0.31090600000000002</v>
      </c>
      <c r="FX27" s="7">
        <v>0.67287399999999997</v>
      </c>
      <c r="FY27" s="7">
        <v>1.0387299999999999</v>
      </c>
      <c r="FZ27" s="7">
        <v>0.71631800000000001</v>
      </c>
      <c r="GA27" s="7">
        <v>0.77497799999999994</v>
      </c>
      <c r="GB27" s="7">
        <v>0.69582100000000002</v>
      </c>
      <c r="GC27" s="7">
        <v>0.87089499999999997</v>
      </c>
      <c r="GD27" s="7">
        <v>0.69502900000000001</v>
      </c>
      <c r="GE27" s="7">
        <v>0.92025400000000002</v>
      </c>
      <c r="GF27" s="7">
        <v>0.69251600000000002</v>
      </c>
      <c r="GG27" s="7">
        <v>0.90985099999999997</v>
      </c>
      <c r="GH27" s="7">
        <v>0.68210599999999999</v>
      </c>
      <c r="GI27" s="7">
        <v>0.34592000000000001</v>
      </c>
      <c r="GJ27" s="7">
        <v>0.81274199999999996</v>
      </c>
      <c r="GK27" s="7">
        <v>0.51823900000000001</v>
      </c>
      <c r="GL27" s="7">
        <v>0.67434099999999997</v>
      </c>
      <c r="GM27" s="7">
        <v>1.0303199999999999</v>
      </c>
    </row>
    <row r="28" spans="1:195" x14ac:dyDescent="0.6">
      <c r="A28" s="5">
        <v>26</v>
      </c>
      <c r="B28" s="5">
        <v>25020230</v>
      </c>
      <c r="C28" s="5">
        <v>2017</v>
      </c>
      <c r="D28" s="5">
        <v>120.1</v>
      </c>
      <c r="E28" s="5">
        <v>39</v>
      </c>
      <c r="F28" s="5">
        <v>105.801</v>
      </c>
      <c r="G28" s="5">
        <v>38.727499999999999</v>
      </c>
      <c r="H28" s="5">
        <v>0.36922899999999997</v>
      </c>
      <c r="I28" s="5">
        <v>120.1</v>
      </c>
      <c r="J28" s="5">
        <v>25020230</v>
      </c>
      <c r="K28" s="5">
        <v>27</v>
      </c>
      <c r="L28" s="5">
        <v>0.68314299999999994</v>
      </c>
      <c r="M28" s="5">
        <v>8.8159899999999992E-3</v>
      </c>
      <c r="N28" s="5">
        <v>0.679369</v>
      </c>
      <c r="O28" s="5">
        <v>8.5338199999999993E-3</v>
      </c>
      <c r="P28" s="5">
        <v>0.67914799999999997</v>
      </c>
      <c r="Q28" s="5">
        <v>8.6935199999999997E-3</v>
      </c>
      <c r="R28" s="5">
        <v>0.64581900000000003</v>
      </c>
      <c r="S28" s="5">
        <v>9.7308099999999995E-3</v>
      </c>
      <c r="T28" s="5">
        <v>0.65899799999999997</v>
      </c>
      <c r="U28" s="5">
        <v>1.1800100000000001E-2</v>
      </c>
      <c r="V28" s="5">
        <v>0.67914799999999997</v>
      </c>
      <c r="W28" s="5">
        <v>8.6935099999999998E-3</v>
      </c>
      <c r="X28" s="5">
        <v>0.70163600000000004</v>
      </c>
      <c r="Y28" s="5">
        <v>4.3701299999999998E-3</v>
      </c>
      <c r="Z28" s="5">
        <v>0.68719799999999998</v>
      </c>
      <c r="AA28" s="5">
        <v>9.2295399999999996E-3</v>
      </c>
      <c r="AB28" s="5">
        <v>0.67918100000000003</v>
      </c>
      <c r="AC28" s="5">
        <v>8.6936300000000008E-3</v>
      </c>
      <c r="AD28" s="5">
        <v>0.68039099999999997</v>
      </c>
      <c r="AE28" s="5">
        <v>8.7298400000000009E-3</v>
      </c>
      <c r="AF28" s="5">
        <v>0.69705899999999998</v>
      </c>
      <c r="AG28" s="5">
        <v>9.0078999999999992E-3</v>
      </c>
      <c r="AH28" s="5">
        <v>0.67914799999999997</v>
      </c>
      <c r="AI28" s="5">
        <v>8.6935099999999998E-3</v>
      </c>
      <c r="AJ28" s="5">
        <v>0.70183099999999998</v>
      </c>
      <c r="AK28" s="5">
        <v>4.3856700000000004E-3</v>
      </c>
      <c r="AL28" s="5">
        <v>0.69057199999999996</v>
      </c>
      <c r="AM28" s="5">
        <v>8.7863899999999998E-3</v>
      </c>
      <c r="AN28" s="5">
        <v>0.81567199999999995</v>
      </c>
      <c r="AO28" s="5">
        <v>6.1277600000000003E-3</v>
      </c>
      <c r="AP28" s="5">
        <v>0.60995500000000002</v>
      </c>
      <c r="AQ28" s="5">
        <v>7.4812899999999998E-3</v>
      </c>
      <c r="AR28" s="5">
        <v>0.59631800000000001</v>
      </c>
      <c r="AS28" s="5">
        <v>1.2285799999999999E-2</v>
      </c>
      <c r="AT28" s="5">
        <v>0.70644499999999999</v>
      </c>
      <c r="AU28" s="5">
        <v>8.2364799999999991E-3</v>
      </c>
      <c r="AV28" s="5">
        <v>0.72204400000000002</v>
      </c>
      <c r="AW28" s="5">
        <v>7.3225699999999996E-3</v>
      </c>
      <c r="AX28" s="5">
        <v>0.69386700000000001</v>
      </c>
      <c r="AY28" s="5">
        <v>7.45293E-3</v>
      </c>
      <c r="AZ28" s="5">
        <v>0.67711100000000002</v>
      </c>
      <c r="BA28" s="5">
        <v>1.11065E-2</v>
      </c>
      <c r="BB28" s="5">
        <v>0.68220099999999995</v>
      </c>
      <c r="BC28" s="5">
        <v>8.7776799999999995E-3</v>
      </c>
      <c r="BD28" s="5">
        <v>0.68073799999999995</v>
      </c>
      <c r="BE28" s="5">
        <v>8.6217499999999992E-3</v>
      </c>
      <c r="BF28" s="5">
        <v>0.68871700000000002</v>
      </c>
      <c r="BG28" s="5">
        <v>7.8499399999999997E-3</v>
      </c>
      <c r="BH28" s="5">
        <v>0.64458400000000005</v>
      </c>
      <c r="BI28" s="5">
        <v>9.6548699999999994E-3</v>
      </c>
      <c r="BJ28" s="5">
        <v>0.68426600000000004</v>
      </c>
      <c r="BK28" s="5">
        <v>7.5986600000000001E-3</v>
      </c>
      <c r="BL28" s="5">
        <v>0.70540099999999994</v>
      </c>
      <c r="BM28" s="5">
        <v>1.08985E-2</v>
      </c>
      <c r="BN28" s="5">
        <v>0.72471600000000003</v>
      </c>
      <c r="BO28" s="5">
        <v>7.15046E-3</v>
      </c>
      <c r="BP28" s="5">
        <v>0.69581700000000002</v>
      </c>
      <c r="BQ28" s="5">
        <v>0.88334100000000004</v>
      </c>
      <c r="BR28" s="5">
        <v>0.66339499999999996</v>
      </c>
      <c r="BS28" s="5">
        <v>1.05951E-2</v>
      </c>
      <c r="BT28" s="5">
        <v>0.69570699999999996</v>
      </c>
      <c r="BU28" s="5">
        <v>0.91915100000000005</v>
      </c>
      <c r="BV28" s="5">
        <v>0.66789799999999999</v>
      </c>
      <c r="BW28" s="5">
        <v>8.7054699999999999E-3</v>
      </c>
      <c r="BX28" s="5">
        <v>0.69266000000000005</v>
      </c>
      <c r="BY28" s="5">
        <v>9.24788E-3</v>
      </c>
      <c r="BZ28" s="5">
        <v>0.72655700000000001</v>
      </c>
      <c r="CA28" s="5">
        <v>7.6263600000000004E-3</v>
      </c>
      <c r="CB28" s="5">
        <v>0.67116699999999996</v>
      </c>
      <c r="CC28" s="5">
        <v>8.5093700000000005E-3</v>
      </c>
      <c r="CD28" s="5">
        <v>0.67042599999999997</v>
      </c>
      <c r="CE28" s="5">
        <v>3.56412E-3</v>
      </c>
      <c r="CF28" s="5">
        <v>0.68657299999999999</v>
      </c>
      <c r="CG28" s="5">
        <v>8.9426999999999996E-3</v>
      </c>
      <c r="CH28" s="5">
        <v>0.64581900000000003</v>
      </c>
      <c r="CI28" s="5">
        <v>9.7308099999999995E-3</v>
      </c>
      <c r="CJ28" s="5">
        <v>0.70163600000000004</v>
      </c>
      <c r="CK28" s="5">
        <v>4.3701299999999998E-3</v>
      </c>
      <c r="CL28" s="5">
        <v>0.68310700000000002</v>
      </c>
      <c r="CM28" s="5">
        <v>8.5451099999999999E-3</v>
      </c>
      <c r="CN28" s="5">
        <v>0.67455399999999999</v>
      </c>
      <c r="CO28" s="5">
        <v>8.3570199999999997E-3</v>
      </c>
      <c r="CP28" s="5">
        <v>0.68037499999999995</v>
      </c>
      <c r="CQ28" s="5">
        <v>8.72823E-3</v>
      </c>
      <c r="CR28" s="5">
        <v>0.66696</v>
      </c>
      <c r="CS28" s="5">
        <v>8.4740100000000006E-3</v>
      </c>
      <c r="CT28" s="5">
        <v>0.64297800000000005</v>
      </c>
      <c r="CU28" s="5">
        <v>9.6011499999999993E-3</v>
      </c>
      <c r="CV28" s="5">
        <v>0.64581900000000003</v>
      </c>
      <c r="CW28" s="5">
        <v>9.7308099999999995E-3</v>
      </c>
      <c r="CX28" s="5">
        <v>0.783439</v>
      </c>
      <c r="CY28" s="5">
        <v>6.1576299999999999E-3</v>
      </c>
      <c r="CZ28" s="5">
        <v>0.670103</v>
      </c>
      <c r="DA28" s="5">
        <v>8.4248299999999995E-3</v>
      </c>
      <c r="DB28" s="5">
        <v>0.70180299999999995</v>
      </c>
      <c r="DC28" s="5">
        <v>0.85263100000000003</v>
      </c>
      <c r="DD28" s="5">
        <v>0.65774600000000005</v>
      </c>
      <c r="DE28" s="5">
        <v>0.75587800000000005</v>
      </c>
      <c r="DF28" s="5">
        <v>0.69870100000000002</v>
      </c>
      <c r="DG28" s="5">
        <v>0.21632999999999999</v>
      </c>
      <c r="DH28" s="5">
        <v>0.69570600000000005</v>
      </c>
      <c r="DI28" s="5">
        <v>0.91915199999999997</v>
      </c>
      <c r="DJ28" s="5">
        <v>0.65036400000000005</v>
      </c>
      <c r="DK28" s="5">
        <v>1.19153</v>
      </c>
      <c r="DL28" s="5">
        <v>0.70084199999999996</v>
      </c>
      <c r="DM28" s="5">
        <v>0.88242399999999999</v>
      </c>
      <c r="DN28" s="5">
        <v>0.69920700000000002</v>
      </c>
      <c r="DO28" s="5">
        <v>0.310639</v>
      </c>
      <c r="DP28" s="5">
        <v>0.69570699999999996</v>
      </c>
      <c r="DQ28" s="5">
        <v>0.91915000000000002</v>
      </c>
      <c r="DR28" s="5">
        <v>0.69532099999999997</v>
      </c>
      <c r="DS28" s="5">
        <v>0.91791800000000001</v>
      </c>
      <c r="DT28" s="5">
        <v>0.69661300000000004</v>
      </c>
      <c r="DU28" s="5">
        <v>0.92028299999999996</v>
      </c>
      <c r="DV28" s="5">
        <v>0.69816900000000004</v>
      </c>
      <c r="DW28" s="5">
        <v>0.994892</v>
      </c>
      <c r="DX28" s="5">
        <v>0.71230199999999999</v>
      </c>
      <c r="DY28" s="5">
        <v>0.58304400000000001</v>
      </c>
      <c r="DZ28" s="5">
        <v>0.69225599999999998</v>
      </c>
      <c r="EA28" s="5">
        <v>1.11236</v>
      </c>
      <c r="EB28" s="5">
        <v>0.84461600000000003</v>
      </c>
      <c r="EC28" s="5">
        <v>0.49176300000000001</v>
      </c>
      <c r="ED28" s="5">
        <v>0.66239000000000003</v>
      </c>
      <c r="EE28" s="5">
        <v>1.0079199999999999</v>
      </c>
      <c r="EF28" s="5">
        <v>0.66136099999999998</v>
      </c>
      <c r="EG28" s="5">
        <v>1.2353499999999999</v>
      </c>
      <c r="EH28" s="5">
        <v>0.74742200000000003</v>
      </c>
      <c r="EI28" s="5">
        <v>0.73306300000000002</v>
      </c>
      <c r="EJ28" s="5">
        <v>0.75847399999999998</v>
      </c>
      <c r="EK28" s="5">
        <v>0.65240699999999996</v>
      </c>
      <c r="EL28" s="5">
        <v>0.73151699999999997</v>
      </c>
      <c r="EM28" s="5">
        <v>0.684894</v>
      </c>
      <c r="EN28" s="5">
        <v>0.73220200000000002</v>
      </c>
      <c r="EO28" s="5">
        <v>0.97914900000000005</v>
      </c>
      <c r="EP28" s="5">
        <v>0.70488399999999996</v>
      </c>
      <c r="EQ28" s="5">
        <v>0.84452899999999997</v>
      </c>
      <c r="ER28" s="5">
        <v>0.701901</v>
      </c>
      <c r="ES28" s="5">
        <v>0.83122399999999996</v>
      </c>
      <c r="ET28" s="5">
        <v>0.67695399999999994</v>
      </c>
      <c r="EU28" s="5">
        <v>0.63023700000000005</v>
      </c>
      <c r="EV28" s="5">
        <v>0.68263700000000005</v>
      </c>
      <c r="EW28" s="5">
        <v>1.08084</v>
      </c>
      <c r="EX28" s="5">
        <v>0.69090600000000002</v>
      </c>
      <c r="EY28" s="5">
        <v>0.58161300000000005</v>
      </c>
      <c r="EZ28" s="5">
        <v>0.75764600000000004</v>
      </c>
      <c r="FA28" s="5">
        <v>0.90029800000000004</v>
      </c>
      <c r="FB28" s="5">
        <v>0.75125399999999998</v>
      </c>
      <c r="FC28" s="5">
        <v>0.72919999999999996</v>
      </c>
      <c r="FD28" s="5">
        <v>0.67796900000000004</v>
      </c>
      <c r="FE28" s="5">
        <v>1.0379700000000001</v>
      </c>
      <c r="FF28" s="5">
        <v>0.716839</v>
      </c>
      <c r="FG28" s="5">
        <v>0.96708700000000003</v>
      </c>
      <c r="FH28" s="5">
        <v>0.69570799999999999</v>
      </c>
      <c r="FI28" s="5">
        <v>0.91914600000000002</v>
      </c>
      <c r="FJ28" s="5">
        <v>0.71213899999999997</v>
      </c>
      <c r="FK28" s="5">
        <v>0.80863700000000005</v>
      </c>
      <c r="FL28" s="5">
        <v>0.68732899999999997</v>
      </c>
      <c r="FM28" s="5">
        <v>1.13453</v>
      </c>
      <c r="FN28" s="5">
        <v>0.764177</v>
      </c>
      <c r="FO28" s="5">
        <v>0.66764199999999996</v>
      </c>
      <c r="FP28" s="5">
        <v>0.69541200000000003</v>
      </c>
      <c r="FQ28" s="5">
        <v>0.91779699999999997</v>
      </c>
      <c r="FR28" s="5">
        <v>0.69602299999999995</v>
      </c>
      <c r="FS28" s="5">
        <v>0.90911399999999998</v>
      </c>
      <c r="FT28" s="5">
        <v>0.69715400000000005</v>
      </c>
      <c r="FU28" s="5">
        <v>0.90322999999999998</v>
      </c>
      <c r="FV28" s="5">
        <v>0.69920700000000002</v>
      </c>
      <c r="FW28" s="5">
        <v>0.310639</v>
      </c>
      <c r="FX28" s="5">
        <v>0.67373899999999998</v>
      </c>
      <c r="FY28" s="5">
        <v>1.03806</v>
      </c>
      <c r="FZ28" s="5">
        <v>0.71696300000000002</v>
      </c>
      <c r="GA28" s="5">
        <v>0.77391399999999999</v>
      </c>
      <c r="GB28" s="5">
        <v>0.696546</v>
      </c>
      <c r="GC28" s="5">
        <v>0.86985800000000002</v>
      </c>
      <c r="GD28" s="5">
        <v>0.69579500000000005</v>
      </c>
      <c r="GE28" s="5">
        <v>0.91922499999999996</v>
      </c>
      <c r="GF28" s="5">
        <v>0.69327300000000003</v>
      </c>
      <c r="GG28" s="5">
        <v>0.90881800000000001</v>
      </c>
      <c r="GH28" s="5">
        <v>0.68239399999999995</v>
      </c>
      <c r="GI28" s="5">
        <v>0.34565299999999999</v>
      </c>
      <c r="GJ28" s="5">
        <v>0.81317300000000003</v>
      </c>
      <c r="GK28" s="5">
        <v>0.51679699999999995</v>
      </c>
      <c r="GL28" s="5">
        <v>0.67519899999999999</v>
      </c>
      <c r="GM28" s="5">
        <v>1.02965</v>
      </c>
    </row>
    <row r="29" spans="1:195" x14ac:dyDescent="0.6">
      <c r="A29" s="7">
        <v>27</v>
      </c>
      <c r="B29" s="7">
        <v>25020230</v>
      </c>
      <c r="C29" s="7">
        <v>2000</v>
      </c>
      <c r="D29" s="7">
        <v>122</v>
      </c>
      <c r="E29" s="7">
        <v>39</v>
      </c>
      <c r="F29" s="7">
        <v>105.801</v>
      </c>
      <c r="G29" s="7">
        <v>38.727499999999999</v>
      </c>
      <c r="H29" s="7">
        <v>0.41829</v>
      </c>
      <c r="I29" s="7">
        <v>122</v>
      </c>
      <c r="J29" s="7">
        <v>25020230</v>
      </c>
      <c r="K29" s="7">
        <v>28</v>
      </c>
      <c r="L29" s="7">
        <v>0.69961600000000002</v>
      </c>
      <c r="M29" s="7">
        <v>8.5229099999999999E-3</v>
      </c>
      <c r="N29" s="7">
        <v>0.69533</v>
      </c>
      <c r="O29" s="7">
        <v>8.2663300000000006E-3</v>
      </c>
      <c r="P29" s="7">
        <v>0.69540999999999997</v>
      </c>
      <c r="Q29" s="7">
        <v>8.4229100000000005E-3</v>
      </c>
      <c r="R29" s="7">
        <v>0.66412899999999997</v>
      </c>
      <c r="S29" s="7">
        <v>9.5397799999999994E-3</v>
      </c>
      <c r="T29" s="7">
        <v>0.68114699999999995</v>
      </c>
      <c r="U29" s="7">
        <v>1.1497800000000001E-2</v>
      </c>
      <c r="V29" s="7">
        <v>0.69540999999999997</v>
      </c>
      <c r="W29" s="7">
        <v>8.4229100000000005E-3</v>
      </c>
      <c r="X29" s="7">
        <v>0.70982500000000004</v>
      </c>
      <c r="Y29" s="7">
        <v>4.25019E-3</v>
      </c>
      <c r="Z29" s="7">
        <v>0.70441500000000001</v>
      </c>
      <c r="AA29" s="7">
        <v>8.8918899999999995E-3</v>
      </c>
      <c r="AB29" s="7">
        <v>0.695442</v>
      </c>
      <c r="AC29" s="7">
        <v>8.4229000000000005E-3</v>
      </c>
      <c r="AD29" s="7">
        <v>0.69671499999999997</v>
      </c>
      <c r="AE29" s="7">
        <v>8.4519199999999999E-3</v>
      </c>
      <c r="AF29" s="7">
        <v>0.71380699999999997</v>
      </c>
      <c r="AG29" s="7">
        <v>8.6207200000000001E-3</v>
      </c>
      <c r="AH29" s="7">
        <v>0.69540999999999997</v>
      </c>
      <c r="AI29" s="7">
        <v>8.4229100000000005E-3</v>
      </c>
      <c r="AJ29" s="7">
        <v>0.71004800000000001</v>
      </c>
      <c r="AK29" s="7">
        <v>4.2648E-3</v>
      </c>
      <c r="AL29" s="7">
        <v>0.706951</v>
      </c>
      <c r="AM29" s="7">
        <v>8.4533300000000002E-3</v>
      </c>
      <c r="AN29" s="7">
        <v>0.82684800000000003</v>
      </c>
      <c r="AO29" s="7">
        <v>5.6443800000000001E-3</v>
      </c>
      <c r="AP29" s="7">
        <v>0.62409700000000001</v>
      </c>
      <c r="AQ29" s="7">
        <v>7.4032400000000002E-3</v>
      </c>
      <c r="AR29" s="7">
        <v>0.61971600000000004</v>
      </c>
      <c r="AS29" s="7">
        <v>1.2335499999999999E-2</v>
      </c>
      <c r="AT29" s="7">
        <v>0.72176899999999999</v>
      </c>
      <c r="AU29" s="7">
        <v>7.89546E-3</v>
      </c>
      <c r="AV29" s="7">
        <v>0.73566699999999996</v>
      </c>
      <c r="AW29" s="7">
        <v>7.0187699999999997E-3</v>
      </c>
      <c r="AX29" s="7">
        <v>0.70781000000000005</v>
      </c>
      <c r="AY29" s="7">
        <v>7.2246400000000001E-3</v>
      </c>
      <c r="AZ29" s="7">
        <v>0.69777</v>
      </c>
      <c r="BA29" s="7">
        <v>1.06351E-2</v>
      </c>
      <c r="BB29" s="7">
        <v>0.69860699999999998</v>
      </c>
      <c r="BC29" s="7">
        <v>8.4901899999999999E-3</v>
      </c>
      <c r="BD29" s="7">
        <v>0.69685699999999995</v>
      </c>
      <c r="BE29" s="7">
        <v>8.3441799999999997E-3</v>
      </c>
      <c r="BF29" s="7">
        <v>0.70335999999999999</v>
      </c>
      <c r="BG29" s="7">
        <v>7.5645599999999997E-3</v>
      </c>
      <c r="BH29" s="7">
        <v>0.66275499999999998</v>
      </c>
      <c r="BI29" s="7">
        <v>9.4686700000000002E-3</v>
      </c>
      <c r="BJ29" s="7">
        <v>0.69847599999999999</v>
      </c>
      <c r="BK29" s="7">
        <v>7.3594999999999997E-3</v>
      </c>
      <c r="BL29" s="7">
        <v>0.72539799999999999</v>
      </c>
      <c r="BM29" s="7">
        <v>1.0158800000000001E-2</v>
      </c>
      <c r="BN29" s="7">
        <v>0.73797199999999996</v>
      </c>
      <c r="BO29" s="7">
        <v>6.8061299999999996E-3</v>
      </c>
      <c r="BP29" s="7">
        <v>0.70952899999999997</v>
      </c>
      <c r="BQ29" s="7">
        <v>0.86364399999999997</v>
      </c>
      <c r="BR29" s="7">
        <v>0.68322000000000005</v>
      </c>
      <c r="BS29" s="7">
        <v>1.0269E-2</v>
      </c>
      <c r="BT29" s="7">
        <v>0.70997900000000003</v>
      </c>
      <c r="BU29" s="7">
        <v>0.89918299999999995</v>
      </c>
      <c r="BV29" s="7">
        <v>0.68422300000000003</v>
      </c>
      <c r="BW29" s="7">
        <v>8.4778300000000004E-3</v>
      </c>
      <c r="BX29" s="7">
        <v>0.70987</v>
      </c>
      <c r="BY29" s="7">
        <v>8.8663400000000003E-3</v>
      </c>
      <c r="BZ29" s="7">
        <v>0.74070000000000003</v>
      </c>
      <c r="CA29" s="7">
        <v>7.2630300000000002E-3</v>
      </c>
      <c r="CB29" s="7">
        <v>0.68711999999999995</v>
      </c>
      <c r="CC29" s="7">
        <v>8.2820900000000006E-3</v>
      </c>
      <c r="CD29" s="7">
        <v>0.67713199999999996</v>
      </c>
      <c r="CE29" s="7">
        <v>3.4950699999999999E-3</v>
      </c>
      <c r="CF29" s="7">
        <v>0.70326500000000003</v>
      </c>
      <c r="CG29" s="7">
        <v>8.6268300000000003E-3</v>
      </c>
      <c r="CH29" s="7">
        <v>0.66412899999999997</v>
      </c>
      <c r="CI29" s="7">
        <v>9.5397799999999994E-3</v>
      </c>
      <c r="CJ29" s="7">
        <v>0.70982500000000004</v>
      </c>
      <c r="CK29" s="7">
        <v>4.25019E-3</v>
      </c>
      <c r="CL29" s="7">
        <v>0.69908099999999995</v>
      </c>
      <c r="CM29" s="7">
        <v>8.2689300000000007E-3</v>
      </c>
      <c r="CN29" s="7">
        <v>0.69021500000000002</v>
      </c>
      <c r="CO29" s="7">
        <v>8.1277299999999997E-3</v>
      </c>
      <c r="CP29" s="7">
        <v>0.69669499999999995</v>
      </c>
      <c r="CQ29" s="7">
        <v>8.4504899999999997E-3</v>
      </c>
      <c r="CR29" s="7">
        <v>0.68286500000000006</v>
      </c>
      <c r="CS29" s="7">
        <v>8.2667999999999995E-3</v>
      </c>
      <c r="CT29" s="7">
        <v>0.66103800000000001</v>
      </c>
      <c r="CU29" s="7">
        <v>9.4068099999999998E-3</v>
      </c>
      <c r="CV29" s="7">
        <v>0.66412899999999997</v>
      </c>
      <c r="CW29" s="7">
        <v>9.5397799999999994E-3</v>
      </c>
      <c r="CX29" s="7">
        <v>0.794763</v>
      </c>
      <c r="CY29" s="7">
        <v>5.7675299999999999E-3</v>
      </c>
      <c r="CZ29" s="7">
        <v>0.68590499999999999</v>
      </c>
      <c r="DA29" s="7">
        <v>8.2075499999999992E-3</v>
      </c>
      <c r="DB29" s="7">
        <v>0.71503099999999997</v>
      </c>
      <c r="DC29" s="7">
        <v>0.83274800000000004</v>
      </c>
      <c r="DD29" s="7">
        <v>0.66952199999999995</v>
      </c>
      <c r="DE29" s="7">
        <v>0.74451900000000004</v>
      </c>
      <c r="DF29" s="7">
        <v>0.70207299999999995</v>
      </c>
      <c r="DG29" s="7">
        <v>0.21330399999999999</v>
      </c>
      <c r="DH29" s="7">
        <v>0.709978</v>
      </c>
      <c r="DI29" s="7">
        <v>0.89918399999999998</v>
      </c>
      <c r="DJ29" s="7">
        <v>0.66889900000000002</v>
      </c>
      <c r="DK29" s="7">
        <v>1.16889</v>
      </c>
      <c r="DL29" s="7">
        <v>0.71453599999999995</v>
      </c>
      <c r="DM29" s="7">
        <v>0.86222299999999996</v>
      </c>
      <c r="DN29" s="7">
        <v>0.704044</v>
      </c>
      <c r="DO29" s="7">
        <v>0.30564400000000003</v>
      </c>
      <c r="DP29" s="7">
        <v>0.70997900000000003</v>
      </c>
      <c r="DQ29" s="7">
        <v>0.89918200000000004</v>
      </c>
      <c r="DR29" s="7">
        <v>0.70957400000000004</v>
      </c>
      <c r="DS29" s="7">
        <v>0.89800500000000005</v>
      </c>
      <c r="DT29" s="7">
        <v>0.71089999999999998</v>
      </c>
      <c r="DU29" s="7">
        <v>0.90002000000000004</v>
      </c>
      <c r="DV29" s="7">
        <v>0.71355199999999996</v>
      </c>
      <c r="DW29" s="7">
        <v>0.96499000000000001</v>
      </c>
      <c r="DX29" s="7">
        <v>0.72136599999999995</v>
      </c>
      <c r="DY29" s="7">
        <v>0.57181700000000002</v>
      </c>
      <c r="DZ29" s="7">
        <v>0.70949300000000004</v>
      </c>
      <c r="EA29" s="7">
        <v>1.0835699999999999</v>
      </c>
      <c r="EB29" s="7">
        <v>0.85209100000000004</v>
      </c>
      <c r="EC29" s="7">
        <v>0.46100099999999999</v>
      </c>
      <c r="ED29" s="7">
        <v>0.67815999999999999</v>
      </c>
      <c r="EE29" s="7">
        <v>1.00115</v>
      </c>
      <c r="EF29" s="7">
        <v>0.68069900000000005</v>
      </c>
      <c r="EG29" s="7">
        <v>1.2280500000000001</v>
      </c>
      <c r="EH29" s="7">
        <v>0.758714</v>
      </c>
      <c r="EI29" s="7">
        <v>0.70581000000000005</v>
      </c>
      <c r="EJ29" s="7">
        <v>0.76852900000000002</v>
      </c>
      <c r="EK29" s="7">
        <v>0.62882199999999999</v>
      </c>
      <c r="EL29" s="7">
        <v>0.74212</v>
      </c>
      <c r="EM29" s="7">
        <v>0.66610999999999998</v>
      </c>
      <c r="EN29" s="7">
        <v>0.74723899999999999</v>
      </c>
      <c r="EO29" s="7">
        <v>0.93672200000000005</v>
      </c>
      <c r="EP29" s="7">
        <v>0.71798300000000004</v>
      </c>
      <c r="EQ29" s="7">
        <v>0.82437499999999997</v>
      </c>
      <c r="ER29" s="7">
        <v>0.71479499999999996</v>
      </c>
      <c r="ES29" s="7">
        <v>0.81161099999999997</v>
      </c>
      <c r="ET29" s="7">
        <v>0.68673300000000004</v>
      </c>
      <c r="EU29" s="7">
        <v>0.615838</v>
      </c>
      <c r="EV29" s="7">
        <v>0.69945500000000005</v>
      </c>
      <c r="EW29" s="7">
        <v>1.06176</v>
      </c>
      <c r="EX29" s="7">
        <v>0.69994199999999995</v>
      </c>
      <c r="EY29" s="7">
        <v>0.56969400000000003</v>
      </c>
      <c r="EZ29" s="7">
        <v>0.77137299999999998</v>
      </c>
      <c r="FA29" s="7">
        <v>0.84930300000000003</v>
      </c>
      <c r="FB29" s="7">
        <v>0.76244100000000004</v>
      </c>
      <c r="FC29" s="7">
        <v>0.696407</v>
      </c>
      <c r="FD29" s="7">
        <v>0.69414100000000001</v>
      </c>
      <c r="FE29" s="7">
        <v>1.0223100000000001</v>
      </c>
      <c r="FF29" s="7">
        <v>0.731769</v>
      </c>
      <c r="FG29" s="7">
        <v>0.93517499999999998</v>
      </c>
      <c r="FH29" s="7">
        <v>0.70998000000000006</v>
      </c>
      <c r="FI29" s="7">
        <v>0.89917800000000003</v>
      </c>
      <c r="FJ29" s="7">
        <v>0.72467000000000004</v>
      </c>
      <c r="FK29" s="7">
        <v>0.78799699999999995</v>
      </c>
      <c r="FL29" s="7">
        <v>0.70493399999999995</v>
      </c>
      <c r="FM29" s="7">
        <v>1.1080700000000001</v>
      </c>
      <c r="FN29" s="7">
        <v>0.77444100000000005</v>
      </c>
      <c r="FO29" s="7">
        <v>0.64027299999999998</v>
      </c>
      <c r="FP29" s="7">
        <v>0.70966399999999996</v>
      </c>
      <c r="FQ29" s="7">
        <v>0.89790300000000001</v>
      </c>
      <c r="FR29" s="7">
        <v>0.71013899999999996</v>
      </c>
      <c r="FS29" s="7">
        <v>0.88934199999999997</v>
      </c>
      <c r="FT29" s="7">
        <v>0.71117699999999995</v>
      </c>
      <c r="FU29" s="7">
        <v>0.88339199999999996</v>
      </c>
      <c r="FV29" s="7">
        <v>0.704044</v>
      </c>
      <c r="FW29" s="7">
        <v>0.30564400000000003</v>
      </c>
      <c r="FX29" s="7">
        <v>0.68992799999999999</v>
      </c>
      <c r="FY29" s="7">
        <v>1.0243800000000001</v>
      </c>
      <c r="FZ29" s="7">
        <v>0.72895299999999996</v>
      </c>
      <c r="GA29" s="7">
        <v>0.75373100000000004</v>
      </c>
      <c r="GB29" s="7">
        <v>0.71004400000000001</v>
      </c>
      <c r="GC29" s="7">
        <v>0.84987699999999999</v>
      </c>
      <c r="GD29" s="7">
        <v>0.71006800000000003</v>
      </c>
      <c r="GE29" s="7">
        <v>0.89924199999999999</v>
      </c>
      <c r="GF29" s="7">
        <v>0.70738199999999996</v>
      </c>
      <c r="GG29" s="7">
        <v>0.88877499999999998</v>
      </c>
      <c r="GH29" s="7">
        <v>0.68777999999999995</v>
      </c>
      <c r="GI29" s="7">
        <v>0.34066400000000002</v>
      </c>
      <c r="GJ29" s="7">
        <v>0.82107699999999995</v>
      </c>
      <c r="GK29" s="7">
        <v>0.49051400000000001</v>
      </c>
      <c r="GL29" s="7">
        <v>0.69125599999999998</v>
      </c>
      <c r="GM29" s="7">
        <v>1.0159899999999999</v>
      </c>
    </row>
    <row r="30" spans="1:195" x14ac:dyDescent="0.6">
      <c r="A30" s="5">
        <v>28</v>
      </c>
      <c r="B30" s="5">
        <v>25020230</v>
      </c>
      <c r="C30" s="5">
        <v>2001</v>
      </c>
      <c r="D30" s="5">
        <v>134.5</v>
      </c>
      <c r="E30" s="5">
        <v>39</v>
      </c>
      <c r="F30" s="5">
        <v>105.801</v>
      </c>
      <c r="G30" s="5">
        <v>38.727499999999999</v>
      </c>
      <c r="H30" s="5">
        <v>0.74105799999999999</v>
      </c>
      <c r="I30" s="5">
        <v>134.5</v>
      </c>
      <c r="J30" s="5">
        <v>25020230</v>
      </c>
      <c r="K30" s="5">
        <v>29</v>
      </c>
      <c r="L30" s="5">
        <v>0.79372299999999996</v>
      </c>
      <c r="M30" s="5">
        <v>6.5321700000000003E-3</v>
      </c>
      <c r="N30" s="5">
        <v>0.787327</v>
      </c>
      <c r="O30" s="5">
        <v>6.44942E-3</v>
      </c>
      <c r="P30" s="5">
        <v>0.78913500000000003</v>
      </c>
      <c r="Q30" s="5">
        <v>6.56422E-3</v>
      </c>
      <c r="R30" s="5">
        <v>0.77359699999999998</v>
      </c>
      <c r="S30" s="5">
        <v>7.8730499999999995E-3</v>
      </c>
      <c r="T30" s="5">
        <v>0.80578300000000003</v>
      </c>
      <c r="U30" s="5">
        <v>8.2654800000000004E-3</v>
      </c>
      <c r="V30" s="5">
        <v>0.78913500000000003</v>
      </c>
      <c r="W30" s="5">
        <v>6.56422E-3</v>
      </c>
      <c r="X30" s="5">
        <v>0.75837299999999996</v>
      </c>
      <c r="Y30" s="5">
        <v>3.5391200000000002E-3</v>
      </c>
      <c r="Z30" s="5">
        <v>0.80116699999999996</v>
      </c>
      <c r="AA30" s="5">
        <v>6.5900899999999998E-3</v>
      </c>
      <c r="AB30" s="5">
        <v>0.78916200000000003</v>
      </c>
      <c r="AC30" s="5">
        <v>6.5635399999999997E-3</v>
      </c>
      <c r="AD30" s="5">
        <v>0.79052900000000004</v>
      </c>
      <c r="AE30" s="5">
        <v>6.5521199999999998E-3</v>
      </c>
      <c r="AF30" s="5">
        <v>0.80590600000000001</v>
      </c>
      <c r="AG30" s="5">
        <v>6.1649799999999996E-3</v>
      </c>
      <c r="AH30" s="5">
        <v>0.78913500000000003</v>
      </c>
      <c r="AI30" s="5">
        <v>6.56422E-3</v>
      </c>
      <c r="AJ30" s="5">
        <v>0.758745</v>
      </c>
      <c r="AK30" s="5">
        <v>3.5485500000000001E-3</v>
      </c>
      <c r="AL30" s="5">
        <v>0.79894600000000005</v>
      </c>
      <c r="AM30" s="5">
        <v>6.2918799999999997E-3</v>
      </c>
      <c r="AN30" s="5">
        <v>0.88202400000000003</v>
      </c>
      <c r="AO30" s="5">
        <v>3.4158999999999999E-3</v>
      </c>
      <c r="AP30" s="5">
        <v>0.71272500000000005</v>
      </c>
      <c r="AQ30" s="5">
        <v>6.73276E-3</v>
      </c>
      <c r="AR30" s="5">
        <v>0.77020599999999995</v>
      </c>
      <c r="AS30" s="5">
        <v>1.13376E-2</v>
      </c>
      <c r="AT30" s="5">
        <v>0.80705499999999997</v>
      </c>
      <c r="AU30" s="5">
        <v>5.8042900000000001E-3</v>
      </c>
      <c r="AV30" s="5">
        <v>0.81176999999999999</v>
      </c>
      <c r="AW30" s="5">
        <v>5.2171700000000001E-3</v>
      </c>
      <c r="AX30" s="5">
        <v>0.78886199999999995</v>
      </c>
      <c r="AY30" s="5">
        <v>5.7571799999999998E-3</v>
      </c>
      <c r="AZ30" s="5">
        <v>0.81007899999999999</v>
      </c>
      <c r="BA30" s="5">
        <v>7.34908E-3</v>
      </c>
      <c r="BB30" s="5">
        <v>0.79253099999999999</v>
      </c>
      <c r="BC30" s="5">
        <v>6.5343800000000002E-3</v>
      </c>
      <c r="BD30" s="5">
        <v>0.78942800000000002</v>
      </c>
      <c r="BE30" s="5">
        <v>6.4657600000000001E-3</v>
      </c>
      <c r="BF30" s="5">
        <v>0.78651000000000004</v>
      </c>
      <c r="BG30" s="5">
        <v>5.7728500000000004E-3</v>
      </c>
      <c r="BH30" s="5">
        <v>0.77156999999999998</v>
      </c>
      <c r="BI30" s="5">
        <v>7.8412399999999993E-3</v>
      </c>
      <c r="BJ30" s="5">
        <v>0.78077399999999997</v>
      </c>
      <c r="BK30" s="5">
        <v>5.8252699999999996E-3</v>
      </c>
      <c r="BL30" s="5">
        <v>0.82706900000000005</v>
      </c>
      <c r="BM30" s="5">
        <v>6.3974899999999996E-3</v>
      </c>
      <c r="BN30" s="5">
        <v>0.81061799999999995</v>
      </c>
      <c r="BO30" s="5">
        <v>4.9191599999999997E-3</v>
      </c>
      <c r="BP30" s="5">
        <v>0.787219</v>
      </c>
      <c r="BQ30" s="5">
        <v>0.72558400000000001</v>
      </c>
      <c r="BR30" s="5">
        <v>0.79603599999999997</v>
      </c>
      <c r="BS30" s="5">
        <v>7.7036500000000003E-3</v>
      </c>
      <c r="BT30" s="5">
        <v>0.79090000000000005</v>
      </c>
      <c r="BU30" s="5">
        <v>0.75512800000000002</v>
      </c>
      <c r="BV30" s="5">
        <v>0.78006399999999998</v>
      </c>
      <c r="BW30" s="5">
        <v>6.8234699999999999E-3</v>
      </c>
      <c r="BX30" s="5">
        <v>0.80481800000000003</v>
      </c>
      <c r="BY30" s="5">
        <v>6.35506E-3</v>
      </c>
      <c r="BZ30" s="5">
        <v>0.81798000000000004</v>
      </c>
      <c r="CA30" s="5">
        <v>5.1959500000000004E-3</v>
      </c>
      <c r="CB30" s="5">
        <v>0.78067600000000004</v>
      </c>
      <c r="CC30" s="5">
        <v>6.6613999999999996E-3</v>
      </c>
      <c r="CD30" s="5">
        <v>0.71808499999999997</v>
      </c>
      <c r="CE30" s="5">
        <v>3.0642400000000002E-3</v>
      </c>
      <c r="CF30" s="5">
        <v>0.79780700000000004</v>
      </c>
      <c r="CG30" s="5">
        <v>6.5057200000000004E-3</v>
      </c>
      <c r="CH30" s="5">
        <v>0.77359699999999998</v>
      </c>
      <c r="CI30" s="5">
        <v>7.8730499999999995E-3</v>
      </c>
      <c r="CJ30" s="5">
        <v>0.75837299999999996</v>
      </c>
      <c r="CK30" s="5">
        <v>3.5391200000000002E-3</v>
      </c>
      <c r="CL30" s="5">
        <v>0.79082200000000002</v>
      </c>
      <c r="CM30" s="5">
        <v>6.4103399999999996E-3</v>
      </c>
      <c r="CN30" s="5">
        <v>0.78189600000000004</v>
      </c>
      <c r="CO30" s="5">
        <v>6.5230499999999999E-3</v>
      </c>
      <c r="CP30" s="5">
        <v>0.79049899999999995</v>
      </c>
      <c r="CQ30" s="5">
        <v>6.5518299999999998E-3</v>
      </c>
      <c r="CR30" s="5">
        <v>0.77692799999999995</v>
      </c>
      <c r="CS30" s="5">
        <v>6.7479799999999998E-3</v>
      </c>
      <c r="CT30" s="5">
        <v>0.76873999999999998</v>
      </c>
      <c r="CU30" s="5">
        <v>7.7278599999999996E-3</v>
      </c>
      <c r="CV30" s="5">
        <v>0.77359699999999998</v>
      </c>
      <c r="CW30" s="5">
        <v>7.8730499999999995E-3</v>
      </c>
      <c r="CX30" s="5">
        <v>0.85377899999999995</v>
      </c>
      <c r="CY30" s="5">
        <v>3.8352199999999999E-3</v>
      </c>
      <c r="CZ30" s="5">
        <v>0.77892300000000003</v>
      </c>
      <c r="DA30" s="5">
        <v>6.64761E-3</v>
      </c>
      <c r="DB30" s="5">
        <v>0.78976900000000005</v>
      </c>
      <c r="DC30" s="5">
        <v>0.69682500000000003</v>
      </c>
      <c r="DD30" s="5">
        <v>0.73828800000000006</v>
      </c>
      <c r="DE30" s="5">
        <v>0.66250699999999996</v>
      </c>
      <c r="DF30" s="5">
        <v>0.72200699999999995</v>
      </c>
      <c r="DG30" s="5">
        <v>0.195773</v>
      </c>
      <c r="DH30" s="5">
        <v>0.79089900000000002</v>
      </c>
      <c r="DI30" s="5">
        <v>0.75512999999999997</v>
      </c>
      <c r="DJ30" s="5">
        <v>0.77206900000000001</v>
      </c>
      <c r="DK30" s="5">
        <v>0.92880700000000005</v>
      </c>
      <c r="DL30" s="5">
        <v>0.79194200000000003</v>
      </c>
      <c r="DM30" s="5">
        <v>0.72128400000000004</v>
      </c>
      <c r="DN30" s="5">
        <v>0.73240499999999997</v>
      </c>
      <c r="DO30" s="5">
        <v>0.27635500000000002</v>
      </c>
      <c r="DP30" s="5">
        <v>0.79089900000000002</v>
      </c>
      <c r="DQ30" s="5">
        <v>0.75512699999999999</v>
      </c>
      <c r="DR30" s="5">
        <v>0.79040100000000002</v>
      </c>
      <c r="DS30" s="5">
        <v>0.75443000000000005</v>
      </c>
      <c r="DT30" s="5">
        <v>0.79181999999999997</v>
      </c>
      <c r="DU30" s="5">
        <v>0.75435600000000003</v>
      </c>
      <c r="DV30" s="5">
        <v>0.79790000000000005</v>
      </c>
      <c r="DW30" s="5">
        <v>0.76131899999999997</v>
      </c>
      <c r="DX30" s="5">
        <v>0.77367799999999998</v>
      </c>
      <c r="DY30" s="5">
        <v>0.50046800000000002</v>
      </c>
      <c r="DZ30" s="5">
        <v>0.80464899999999995</v>
      </c>
      <c r="EA30" s="5">
        <v>0.85689099999999996</v>
      </c>
      <c r="EB30" s="5">
        <v>0.88939500000000005</v>
      </c>
      <c r="EC30" s="5">
        <v>0.31536900000000001</v>
      </c>
      <c r="ED30" s="5">
        <v>0.772227</v>
      </c>
      <c r="EE30" s="5">
        <v>0.91474200000000006</v>
      </c>
      <c r="EF30" s="5">
        <v>0.79520900000000005</v>
      </c>
      <c r="EG30" s="5">
        <v>1.0940700000000001</v>
      </c>
      <c r="EH30" s="5">
        <v>0.81972100000000003</v>
      </c>
      <c r="EI30" s="5">
        <v>0.548983</v>
      </c>
      <c r="EJ30" s="5">
        <v>0.82316599999999995</v>
      </c>
      <c r="EK30" s="5">
        <v>0.49523400000000001</v>
      </c>
      <c r="EL30" s="5">
        <v>0.801508</v>
      </c>
      <c r="EM30" s="5">
        <v>0.55268399999999995</v>
      </c>
      <c r="EN30" s="5">
        <v>0.82597699999999996</v>
      </c>
      <c r="EO30" s="5">
        <v>0.68279999999999996</v>
      </c>
      <c r="EP30" s="5">
        <v>0.79186000000000001</v>
      </c>
      <c r="EQ30" s="5">
        <v>0.68786000000000003</v>
      </c>
      <c r="ER30" s="5">
        <v>0.78763099999999997</v>
      </c>
      <c r="ES30" s="5">
        <v>0.67956099999999997</v>
      </c>
      <c r="ET30" s="5">
        <v>0.74247200000000002</v>
      </c>
      <c r="EU30" s="5">
        <v>0.52756099999999995</v>
      </c>
      <c r="EV30" s="5">
        <v>0.79545999999999994</v>
      </c>
      <c r="EW30" s="5">
        <v>0.89387000000000005</v>
      </c>
      <c r="EX30" s="5">
        <v>0.75192499999999995</v>
      </c>
      <c r="EY30" s="5">
        <v>0.49651800000000001</v>
      </c>
      <c r="EZ30" s="5">
        <v>0.84086799999999995</v>
      </c>
      <c r="FA30" s="5">
        <v>0.59114599999999995</v>
      </c>
      <c r="FB30" s="5">
        <v>0.82152099999999995</v>
      </c>
      <c r="FC30" s="5">
        <v>0.52321099999999998</v>
      </c>
      <c r="FD30" s="5">
        <v>0.78762299999999996</v>
      </c>
      <c r="FE30" s="5">
        <v>0.88319000000000003</v>
      </c>
      <c r="FF30" s="5">
        <v>0.81280699999999995</v>
      </c>
      <c r="FG30" s="5">
        <v>0.72491499999999998</v>
      </c>
      <c r="FH30" s="5">
        <v>0.79090000000000005</v>
      </c>
      <c r="FI30" s="5">
        <v>0.75512299999999999</v>
      </c>
      <c r="FJ30" s="5">
        <v>0.79504900000000001</v>
      </c>
      <c r="FK30" s="5">
        <v>0.65394300000000005</v>
      </c>
      <c r="FL30" s="5">
        <v>0.80275300000000005</v>
      </c>
      <c r="FM30" s="5">
        <v>0.88363499999999995</v>
      </c>
      <c r="FN30" s="5">
        <v>0.82930499999999996</v>
      </c>
      <c r="FO30" s="5">
        <v>0.49035200000000001</v>
      </c>
      <c r="FP30" s="5">
        <v>0.79048600000000002</v>
      </c>
      <c r="FQ30" s="5">
        <v>0.754413</v>
      </c>
      <c r="FR30" s="5">
        <v>0.79019399999999995</v>
      </c>
      <c r="FS30" s="5">
        <v>0.747475</v>
      </c>
      <c r="FT30" s="5">
        <v>0.79065700000000005</v>
      </c>
      <c r="FU30" s="5">
        <v>0.74183699999999997</v>
      </c>
      <c r="FV30" s="5">
        <v>0.73240499999999997</v>
      </c>
      <c r="FW30" s="5">
        <v>0.27635500000000002</v>
      </c>
      <c r="FX30" s="5">
        <v>0.78419700000000003</v>
      </c>
      <c r="FY30" s="5">
        <v>0.89688599999999996</v>
      </c>
      <c r="FZ30" s="5">
        <v>0.796238</v>
      </c>
      <c r="GA30" s="5">
        <v>0.62549100000000002</v>
      </c>
      <c r="GB30" s="5">
        <v>0.78638200000000003</v>
      </c>
      <c r="GC30" s="5">
        <v>0.71220300000000003</v>
      </c>
      <c r="GD30" s="5">
        <v>0.79098999999999997</v>
      </c>
      <c r="GE30" s="5">
        <v>0.75509400000000004</v>
      </c>
      <c r="GF30" s="5">
        <v>0.78729199999999999</v>
      </c>
      <c r="GG30" s="5">
        <v>0.74507900000000005</v>
      </c>
      <c r="GH30" s="5">
        <v>0.71953999999999996</v>
      </c>
      <c r="GI30" s="5">
        <v>0.310892</v>
      </c>
      <c r="GJ30" s="5">
        <v>0.86211499999999996</v>
      </c>
      <c r="GK30" s="5">
        <v>0.35920000000000002</v>
      </c>
      <c r="GL30" s="5">
        <v>0.78471400000000002</v>
      </c>
      <c r="GM30" s="5">
        <v>0.88862699999999994</v>
      </c>
    </row>
    <row r="31" spans="1:195" x14ac:dyDescent="0.6">
      <c r="A31" s="7">
        <v>29</v>
      </c>
      <c r="B31" s="7">
        <v>25020230</v>
      </c>
      <c r="C31" s="7">
        <v>1994</v>
      </c>
      <c r="D31" s="7">
        <v>135</v>
      </c>
      <c r="E31" s="7">
        <v>39</v>
      </c>
      <c r="F31" s="7">
        <v>105.801</v>
      </c>
      <c r="G31" s="7">
        <v>38.727499999999999</v>
      </c>
      <c r="H31" s="7">
        <v>0.753969</v>
      </c>
      <c r="I31" s="7">
        <v>135</v>
      </c>
      <c r="J31" s="7">
        <v>25020230</v>
      </c>
      <c r="K31" s="7">
        <v>30</v>
      </c>
      <c r="L31" s="7">
        <v>0.79696900000000004</v>
      </c>
      <c r="M31" s="7">
        <v>6.4537300000000004E-3</v>
      </c>
      <c r="N31" s="7">
        <v>0.79053399999999996</v>
      </c>
      <c r="O31" s="7">
        <v>6.3774399999999998E-3</v>
      </c>
      <c r="P31" s="7">
        <v>0.79239800000000005</v>
      </c>
      <c r="Q31" s="7">
        <v>6.4900499999999998E-3</v>
      </c>
      <c r="R31" s="7">
        <v>0.77751400000000004</v>
      </c>
      <c r="S31" s="7">
        <v>7.7954599999999997E-3</v>
      </c>
      <c r="T31" s="7">
        <v>0.80988099999999996</v>
      </c>
      <c r="U31" s="7">
        <v>8.1264200000000005E-3</v>
      </c>
      <c r="V31" s="7">
        <v>0.79239800000000005</v>
      </c>
      <c r="W31" s="7">
        <v>6.4900499999999998E-3</v>
      </c>
      <c r="X31" s="7">
        <v>0.76013600000000003</v>
      </c>
      <c r="Y31" s="7">
        <v>3.5132900000000001E-3</v>
      </c>
      <c r="Z31" s="7">
        <v>0.80444000000000004</v>
      </c>
      <c r="AA31" s="7">
        <v>6.5004199999999998E-3</v>
      </c>
      <c r="AB31" s="7">
        <v>0.79242500000000005</v>
      </c>
      <c r="AC31" s="7">
        <v>6.4893499999999996E-3</v>
      </c>
      <c r="AD31" s="7">
        <v>0.79378599999999999</v>
      </c>
      <c r="AE31" s="7">
        <v>6.4766700000000003E-3</v>
      </c>
      <c r="AF31" s="7">
        <v>0.80896599999999996</v>
      </c>
      <c r="AG31" s="7">
        <v>6.0747800000000001E-3</v>
      </c>
      <c r="AH31" s="7">
        <v>0.79239800000000005</v>
      </c>
      <c r="AI31" s="7">
        <v>6.4900499999999998E-3</v>
      </c>
      <c r="AJ31" s="7">
        <v>0.76051199999999997</v>
      </c>
      <c r="AK31" s="7">
        <v>3.5225399999999998E-3</v>
      </c>
      <c r="AL31" s="7">
        <v>0.80207200000000001</v>
      </c>
      <c r="AM31" s="7">
        <v>6.2100799999999998E-3</v>
      </c>
      <c r="AN31" s="7">
        <v>0.88371599999999995</v>
      </c>
      <c r="AO31" s="7">
        <v>3.3521599999999999E-3</v>
      </c>
      <c r="AP31" s="7">
        <v>0.71608300000000003</v>
      </c>
      <c r="AQ31" s="7">
        <v>6.7005099999999998E-3</v>
      </c>
      <c r="AR31" s="7">
        <v>0.77585300000000001</v>
      </c>
      <c r="AS31" s="7">
        <v>1.12461E-2</v>
      </c>
      <c r="AT31" s="7">
        <v>0.80993800000000005</v>
      </c>
      <c r="AU31" s="7">
        <v>5.7281199999999997E-3</v>
      </c>
      <c r="AV31" s="7">
        <v>0.81436299999999995</v>
      </c>
      <c r="AW31" s="7">
        <v>5.1526799999999998E-3</v>
      </c>
      <c r="AX31" s="7">
        <v>0.79172600000000004</v>
      </c>
      <c r="AY31" s="7">
        <v>5.7005199999999997E-3</v>
      </c>
      <c r="AZ31" s="7">
        <v>0.81372299999999997</v>
      </c>
      <c r="BA31" s="7">
        <v>7.2247500000000003E-3</v>
      </c>
      <c r="BB31" s="7">
        <v>0.79577900000000001</v>
      </c>
      <c r="BC31" s="7">
        <v>6.4571400000000001E-3</v>
      </c>
      <c r="BD31" s="7">
        <v>0.79264299999999999</v>
      </c>
      <c r="BE31" s="7">
        <v>6.3916700000000003E-3</v>
      </c>
      <c r="BF31" s="7">
        <v>0.78937999999999997</v>
      </c>
      <c r="BG31" s="7">
        <v>5.7060399999999999E-3</v>
      </c>
      <c r="BH31" s="7">
        <v>0.77547200000000005</v>
      </c>
      <c r="BI31" s="7">
        <v>7.76533E-3</v>
      </c>
      <c r="BJ31" s="7">
        <v>0.78367200000000004</v>
      </c>
      <c r="BK31" s="7">
        <v>5.7665199999999998E-3</v>
      </c>
      <c r="BL31" s="7">
        <v>0.83023800000000003</v>
      </c>
      <c r="BM31" s="7">
        <v>6.2802400000000003E-3</v>
      </c>
      <c r="BN31" s="7">
        <v>0.81306199999999995</v>
      </c>
      <c r="BO31" s="7">
        <v>4.8556900000000002E-3</v>
      </c>
      <c r="BP31" s="7">
        <v>0.78990099999999996</v>
      </c>
      <c r="BQ31" s="7">
        <v>0.71996700000000002</v>
      </c>
      <c r="BR31" s="7">
        <v>0.79986100000000004</v>
      </c>
      <c r="BS31" s="7">
        <v>7.5955099999999998E-3</v>
      </c>
      <c r="BT31" s="7">
        <v>0.79369100000000004</v>
      </c>
      <c r="BU31" s="7">
        <v>0.74915699999999996</v>
      </c>
      <c r="BV31" s="7">
        <v>0.78345799999999999</v>
      </c>
      <c r="BW31" s="7">
        <v>6.7543500000000001E-3</v>
      </c>
      <c r="BX31" s="7">
        <v>0.80797200000000002</v>
      </c>
      <c r="BY31" s="7">
        <v>6.2607699999999997E-3</v>
      </c>
      <c r="BZ31" s="7">
        <v>0.82055999999999996</v>
      </c>
      <c r="CA31" s="7">
        <v>5.12489E-3</v>
      </c>
      <c r="CB31" s="7">
        <v>0.78398999999999996</v>
      </c>
      <c r="CC31" s="7">
        <v>6.59445E-3</v>
      </c>
      <c r="CD31" s="7">
        <v>0.71961299999999995</v>
      </c>
      <c r="CE31" s="7">
        <v>3.0478900000000001E-3</v>
      </c>
      <c r="CF31" s="7">
        <v>0.80103899999999995</v>
      </c>
      <c r="CG31" s="7">
        <v>6.4232200000000003E-3</v>
      </c>
      <c r="CH31" s="7">
        <v>0.77751400000000004</v>
      </c>
      <c r="CI31" s="7">
        <v>7.7954599999999997E-3</v>
      </c>
      <c r="CJ31" s="7">
        <v>0.76013600000000003</v>
      </c>
      <c r="CK31" s="7">
        <v>3.5132900000000001E-3</v>
      </c>
      <c r="CL31" s="7">
        <v>0.79400899999999996</v>
      </c>
      <c r="CM31" s="7">
        <v>6.3372300000000001E-3</v>
      </c>
      <c r="CN31" s="7">
        <v>0.78514099999999998</v>
      </c>
      <c r="CO31" s="7">
        <v>6.4575500000000003E-3</v>
      </c>
      <c r="CP31" s="7">
        <v>0.79375600000000002</v>
      </c>
      <c r="CQ31" s="7">
        <v>6.47643E-3</v>
      </c>
      <c r="CR31" s="7">
        <v>0.78028600000000004</v>
      </c>
      <c r="CS31" s="7">
        <v>6.6838100000000001E-3</v>
      </c>
      <c r="CT31" s="7">
        <v>0.77258400000000005</v>
      </c>
      <c r="CU31" s="7">
        <v>7.6505100000000001E-3</v>
      </c>
      <c r="CV31" s="7">
        <v>0.77751400000000004</v>
      </c>
      <c r="CW31" s="7">
        <v>7.7954599999999997E-3</v>
      </c>
      <c r="CX31" s="7">
        <v>0.85568200000000005</v>
      </c>
      <c r="CY31" s="7">
        <v>3.7759099999999999E-3</v>
      </c>
      <c r="CZ31" s="7">
        <v>0.78223100000000001</v>
      </c>
      <c r="DA31" s="7">
        <v>6.5827300000000002E-3</v>
      </c>
      <c r="DB31" s="7">
        <v>0.79234400000000005</v>
      </c>
      <c r="DC31" s="7">
        <v>0.691388</v>
      </c>
      <c r="DD31" s="7">
        <v>0.74073999999999995</v>
      </c>
      <c r="DE31" s="7">
        <v>0.65907099999999996</v>
      </c>
      <c r="DF31" s="7">
        <v>0.72273200000000004</v>
      </c>
      <c r="DG31" s="7">
        <v>0.19514599999999999</v>
      </c>
      <c r="DH31" s="7">
        <v>0.79369000000000001</v>
      </c>
      <c r="DI31" s="7">
        <v>0.74915900000000002</v>
      </c>
      <c r="DJ31" s="7">
        <v>0.77549599999999996</v>
      </c>
      <c r="DK31" s="7">
        <v>0.91833500000000001</v>
      </c>
      <c r="DL31" s="7">
        <v>0.79460799999999998</v>
      </c>
      <c r="DM31" s="7">
        <v>0.71557099999999996</v>
      </c>
      <c r="DN31" s="7">
        <v>0.73342799999999997</v>
      </c>
      <c r="DO31" s="7">
        <v>0.27529799999999999</v>
      </c>
      <c r="DP31" s="7">
        <v>0.79369000000000001</v>
      </c>
      <c r="DQ31" s="7">
        <v>0.74915699999999996</v>
      </c>
      <c r="DR31" s="7">
        <v>0.79318999999999995</v>
      </c>
      <c r="DS31" s="7">
        <v>0.74848099999999995</v>
      </c>
      <c r="DT31" s="7">
        <v>0.79460799999999998</v>
      </c>
      <c r="DU31" s="7">
        <v>0.74833499999999997</v>
      </c>
      <c r="DV31" s="7">
        <v>0.80071000000000003</v>
      </c>
      <c r="DW31" s="7">
        <v>0.75337699999999996</v>
      </c>
      <c r="DX31" s="7">
        <v>0.77553000000000005</v>
      </c>
      <c r="DY31" s="7">
        <v>0.49773000000000001</v>
      </c>
      <c r="DZ31" s="7">
        <v>0.80781099999999995</v>
      </c>
      <c r="EA31" s="7">
        <v>0.84732300000000005</v>
      </c>
      <c r="EB31" s="7">
        <v>0.89055799999999996</v>
      </c>
      <c r="EC31" s="7">
        <v>0.31105899999999997</v>
      </c>
      <c r="ED31" s="7">
        <v>0.775613</v>
      </c>
      <c r="EE31" s="7">
        <v>0.909945</v>
      </c>
      <c r="EF31" s="7">
        <v>0.79925400000000002</v>
      </c>
      <c r="EG31" s="7">
        <v>1.08595</v>
      </c>
      <c r="EH31" s="7">
        <v>0.82174800000000003</v>
      </c>
      <c r="EI31" s="7">
        <v>0.54350299999999996</v>
      </c>
      <c r="EJ31" s="7">
        <v>0.82499500000000003</v>
      </c>
      <c r="EK31" s="7">
        <v>0.49060399999999998</v>
      </c>
      <c r="EL31" s="7">
        <v>0.80355100000000002</v>
      </c>
      <c r="EM31" s="7">
        <v>0.54851499999999997</v>
      </c>
      <c r="EN31" s="7">
        <v>0.82849399999999995</v>
      </c>
      <c r="EO31" s="7">
        <v>0.67390700000000003</v>
      </c>
      <c r="EP31" s="7">
        <v>0.79440200000000005</v>
      </c>
      <c r="EQ31" s="7">
        <v>0.68243600000000004</v>
      </c>
      <c r="ER31" s="7">
        <v>0.79014300000000004</v>
      </c>
      <c r="ES31" s="7">
        <v>0.67433299999999996</v>
      </c>
      <c r="ET31" s="7">
        <v>0.74442299999999995</v>
      </c>
      <c r="EU31" s="7">
        <v>0.52428399999999997</v>
      </c>
      <c r="EV31" s="7">
        <v>0.798763</v>
      </c>
      <c r="EW31" s="7">
        <v>0.88611799999999996</v>
      </c>
      <c r="EX31" s="7">
        <v>0.75376200000000004</v>
      </c>
      <c r="EY31" s="7">
        <v>0.49378699999999998</v>
      </c>
      <c r="EZ31" s="7">
        <v>0.84304599999999996</v>
      </c>
      <c r="FA31" s="7">
        <v>0.58305300000000004</v>
      </c>
      <c r="FB31" s="7">
        <v>0.82345199999999996</v>
      </c>
      <c r="FC31" s="7">
        <v>0.51755099999999998</v>
      </c>
      <c r="FD31" s="7">
        <v>0.79088800000000004</v>
      </c>
      <c r="FE31" s="7">
        <v>0.87666200000000005</v>
      </c>
      <c r="FF31" s="7">
        <v>0.81548200000000004</v>
      </c>
      <c r="FG31" s="7">
        <v>0.71690699999999996</v>
      </c>
      <c r="FH31" s="7">
        <v>0.79369000000000001</v>
      </c>
      <c r="FI31" s="7">
        <v>0.74915299999999996</v>
      </c>
      <c r="FJ31" s="7">
        <v>0.79746600000000001</v>
      </c>
      <c r="FK31" s="7">
        <v>0.64876400000000001</v>
      </c>
      <c r="FL31" s="7">
        <v>0.80601299999999998</v>
      </c>
      <c r="FM31" s="7">
        <v>0.87378800000000001</v>
      </c>
      <c r="FN31" s="7">
        <v>0.83111500000000005</v>
      </c>
      <c r="FO31" s="7">
        <v>0.48531400000000002</v>
      </c>
      <c r="FP31" s="7">
        <v>0.79327400000000003</v>
      </c>
      <c r="FQ31" s="7">
        <v>0.74846599999999996</v>
      </c>
      <c r="FR31" s="7">
        <v>0.79295700000000002</v>
      </c>
      <c r="FS31" s="7">
        <v>0.741614</v>
      </c>
      <c r="FT31" s="7">
        <v>0.79339899999999997</v>
      </c>
      <c r="FU31" s="7">
        <v>0.73601099999999997</v>
      </c>
      <c r="FV31" s="7">
        <v>0.73342799999999997</v>
      </c>
      <c r="FW31" s="7">
        <v>0.27529799999999999</v>
      </c>
      <c r="FX31" s="7">
        <v>0.78751400000000005</v>
      </c>
      <c r="FY31" s="7">
        <v>0.890733</v>
      </c>
      <c r="FZ31" s="7">
        <v>0.79854899999999995</v>
      </c>
      <c r="GA31" s="7">
        <v>0.62060800000000005</v>
      </c>
      <c r="GB31" s="7">
        <v>0.78901399999999999</v>
      </c>
      <c r="GC31" s="7">
        <v>0.70666700000000005</v>
      </c>
      <c r="GD31" s="7">
        <v>0.79378000000000004</v>
      </c>
      <c r="GE31" s="7">
        <v>0.74912000000000001</v>
      </c>
      <c r="GF31" s="7">
        <v>0.790045</v>
      </c>
      <c r="GG31" s="7">
        <v>0.73915799999999998</v>
      </c>
      <c r="GH31" s="7">
        <v>0.720692</v>
      </c>
      <c r="GI31" s="7">
        <v>0.30980099999999999</v>
      </c>
      <c r="GJ31" s="7">
        <v>0.86343999999999999</v>
      </c>
      <c r="GK31" s="7">
        <v>0.35510999999999998</v>
      </c>
      <c r="GL31" s="7">
        <v>0.78800000000000003</v>
      </c>
      <c r="GM31" s="7">
        <v>0.88248000000000004</v>
      </c>
    </row>
    <row r="32" spans="1:195" x14ac:dyDescent="0.6">
      <c r="A32" s="5">
        <v>30</v>
      </c>
      <c r="B32" s="5">
        <v>25020230</v>
      </c>
      <c r="C32" s="5">
        <v>1986</v>
      </c>
      <c r="D32" s="5">
        <v>136</v>
      </c>
      <c r="E32" s="5">
        <v>39</v>
      </c>
      <c r="F32" s="5">
        <v>105.801</v>
      </c>
      <c r="G32" s="5">
        <v>38.727499999999999</v>
      </c>
      <c r="H32" s="5">
        <v>0.77978999999999998</v>
      </c>
      <c r="I32" s="5">
        <v>136</v>
      </c>
      <c r="J32" s="5">
        <v>25020230</v>
      </c>
      <c r="K32" s="5">
        <v>31</v>
      </c>
      <c r="L32" s="5">
        <v>0.80334499999999998</v>
      </c>
      <c r="M32" s="5">
        <v>6.2977600000000003E-3</v>
      </c>
      <c r="N32" s="5">
        <v>0.79683899999999996</v>
      </c>
      <c r="O32" s="5">
        <v>6.2341200000000001E-3</v>
      </c>
      <c r="P32" s="5">
        <v>0.79881400000000002</v>
      </c>
      <c r="Q32" s="5">
        <v>6.3423100000000003E-3</v>
      </c>
      <c r="R32" s="5">
        <v>0.78523100000000001</v>
      </c>
      <c r="S32" s="5">
        <v>7.6386300000000004E-3</v>
      </c>
      <c r="T32" s="5">
        <v>0.81786899999999996</v>
      </c>
      <c r="U32" s="5">
        <v>7.8504999999999998E-3</v>
      </c>
      <c r="V32" s="5">
        <v>0.79881400000000002</v>
      </c>
      <c r="W32" s="5">
        <v>6.3423100000000003E-3</v>
      </c>
      <c r="X32" s="5">
        <v>0.76362300000000005</v>
      </c>
      <c r="Y32" s="5">
        <v>3.4622099999999999E-3</v>
      </c>
      <c r="Z32" s="5">
        <v>0.81085099999999999</v>
      </c>
      <c r="AA32" s="5">
        <v>6.3225499999999997E-3</v>
      </c>
      <c r="AB32" s="5">
        <v>0.79884100000000002</v>
      </c>
      <c r="AC32" s="5">
        <v>6.3415700000000004E-3</v>
      </c>
      <c r="AD32" s="5">
        <v>0.80018699999999998</v>
      </c>
      <c r="AE32" s="5">
        <v>6.3264899999999997E-3</v>
      </c>
      <c r="AF32" s="5">
        <v>0.81495099999999998</v>
      </c>
      <c r="AG32" s="5">
        <v>5.89691E-3</v>
      </c>
      <c r="AH32" s="5">
        <v>0.79881400000000002</v>
      </c>
      <c r="AI32" s="5">
        <v>6.3423100000000003E-3</v>
      </c>
      <c r="AJ32" s="5">
        <v>0.76400900000000005</v>
      </c>
      <c r="AK32" s="5">
        <v>3.4711099999999999E-3</v>
      </c>
      <c r="AL32" s="5">
        <v>0.80820099999999995</v>
      </c>
      <c r="AM32" s="5">
        <v>6.0481199999999997E-3</v>
      </c>
      <c r="AN32" s="5">
        <v>0.88700599999999996</v>
      </c>
      <c r="AO32" s="5">
        <v>3.2290499999999998E-3</v>
      </c>
      <c r="AP32" s="5">
        <v>0.72275100000000003</v>
      </c>
      <c r="AQ32" s="5">
        <v>6.6348500000000003E-3</v>
      </c>
      <c r="AR32" s="5">
        <v>0.78700300000000001</v>
      </c>
      <c r="AS32" s="5">
        <v>1.10513E-2</v>
      </c>
      <c r="AT32" s="5">
        <v>0.81559099999999995</v>
      </c>
      <c r="AU32" s="5">
        <v>5.57779E-3</v>
      </c>
      <c r="AV32" s="5">
        <v>0.81945100000000004</v>
      </c>
      <c r="AW32" s="5">
        <v>5.0254799999999997E-3</v>
      </c>
      <c r="AX32" s="5">
        <v>0.79737000000000002</v>
      </c>
      <c r="AY32" s="5">
        <v>5.5878300000000002E-3</v>
      </c>
      <c r="AZ32" s="5">
        <v>0.82082500000000003</v>
      </c>
      <c r="BA32" s="5">
        <v>6.97972E-3</v>
      </c>
      <c r="BB32" s="5">
        <v>0.80215899999999996</v>
      </c>
      <c r="BC32" s="5">
        <v>6.3034800000000002E-3</v>
      </c>
      <c r="BD32" s="5">
        <v>0.79896</v>
      </c>
      <c r="BE32" s="5">
        <v>6.2442699999999997E-3</v>
      </c>
      <c r="BF32" s="5">
        <v>0.79501900000000003</v>
      </c>
      <c r="BG32" s="5">
        <v>5.5738200000000002E-3</v>
      </c>
      <c r="BH32" s="5">
        <v>0.783161</v>
      </c>
      <c r="BI32" s="5">
        <v>7.6118799999999997E-3</v>
      </c>
      <c r="BJ32" s="5">
        <v>0.78937999999999997</v>
      </c>
      <c r="BK32" s="5">
        <v>5.6498299999999998E-3</v>
      </c>
      <c r="BL32" s="5">
        <v>0.83640400000000004</v>
      </c>
      <c r="BM32" s="5">
        <v>6.0521500000000001E-3</v>
      </c>
      <c r="BN32" s="5">
        <v>0.817855</v>
      </c>
      <c r="BO32" s="5">
        <v>4.7311899999999997E-3</v>
      </c>
      <c r="BP32" s="5">
        <v>0.79517300000000002</v>
      </c>
      <c r="BQ32" s="5">
        <v>0.70874899999999996</v>
      </c>
      <c r="BR32" s="5">
        <v>0.80734799999999995</v>
      </c>
      <c r="BS32" s="5">
        <v>7.3797899999999998E-3</v>
      </c>
      <c r="BT32" s="5">
        <v>0.79917499999999997</v>
      </c>
      <c r="BU32" s="5">
        <v>0.73721400000000004</v>
      </c>
      <c r="BV32" s="5">
        <v>0.79014300000000004</v>
      </c>
      <c r="BW32" s="5">
        <v>6.6159599999999997E-3</v>
      </c>
      <c r="BX32" s="5">
        <v>0.81413899999999995</v>
      </c>
      <c r="BY32" s="5">
        <v>6.0745699999999996E-3</v>
      </c>
      <c r="BZ32" s="5">
        <v>0.82561499999999999</v>
      </c>
      <c r="CA32" s="5">
        <v>4.9853600000000003E-3</v>
      </c>
      <c r="CB32" s="5">
        <v>0.79051700000000003</v>
      </c>
      <c r="CC32" s="5">
        <v>6.4605399999999999E-3</v>
      </c>
      <c r="CD32" s="5">
        <v>0.72264399999999995</v>
      </c>
      <c r="CE32" s="5">
        <v>3.0153799999999998E-3</v>
      </c>
      <c r="CF32" s="5">
        <v>0.80737999999999999</v>
      </c>
      <c r="CG32" s="5">
        <v>6.2594399999999998E-3</v>
      </c>
      <c r="CH32" s="5">
        <v>0.78523100000000001</v>
      </c>
      <c r="CI32" s="5">
        <v>7.6386300000000004E-3</v>
      </c>
      <c r="CJ32" s="5">
        <v>0.76362300000000005</v>
      </c>
      <c r="CK32" s="5">
        <v>3.4622099999999999E-3</v>
      </c>
      <c r="CL32" s="5">
        <v>0.80027400000000004</v>
      </c>
      <c r="CM32" s="5">
        <v>6.1918099999999998E-3</v>
      </c>
      <c r="CN32" s="5">
        <v>0.79153300000000004</v>
      </c>
      <c r="CO32" s="5">
        <v>6.3266599999999996E-3</v>
      </c>
      <c r="CP32" s="5">
        <v>0.80015700000000001</v>
      </c>
      <c r="CQ32" s="5">
        <v>6.3263199999999999E-3</v>
      </c>
      <c r="CR32" s="5">
        <v>0.78690599999999999</v>
      </c>
      <c r="CS32" s="5">
        <v>6.55515E-3</v>
      </c>
      <c r="CT32" s="5">
        <v>0.78015699999999999</v>
      </c>
      <c r="CU32" s="5">
        <v>7.49441E-3</v>
      </c>
      <c r="CV32" s="5">
        <v>0.78523100000000001</v>
      </c>
      <c r="CW32" s="5">
        <v>7.6386300000000004E-3</v>
      </c>
      <c r="CX32" s="5">
        <v>0.85940000000000005</v>
      </c>
      <c r="CY32" s="5">
        <v>3.6605800000000001E-3</v>
      </c>
      <c r="CZ32" s="5">
        <v>0.78874900000000003</v>
      </c>
      <c r="DA32" s="5">
        <v>6.4528700000000003E-3</v>
      </c>
      <c r="DB32" s="5">
        <v>0.79740699999999998</v>
      </c>
      <c r="DC32" s="5">
        <v>0.68054700000000001</v>
      </c>
      <c r="DD32" s="5">
        <v>0.74557899999999999</v>
      </c>
      <c r="DE32" s="5">
        <v>0.65218200000000004</v>
      </c>
      <c r="DF32" s="5">
        <v>0.72416800000000003</v>
      </c>
      <c r="DG32" s="5">
        <v>0.193908</v>
      </c>
      <c r="DH32" s="5">
        <v>0.79917499999999997</v>
      </c>
      <c r="DI32" s="5">
        <v>0.73721599999999998</v>
      </c>
      <c r="DJ32" s="5">
        <v>0.78219700000000003</v>
      </c>
      <c r="DK32" s="5">
        <v>0.89748600000000001</v>
      </c>
      <c r="DL32" s="5">
        <v>0.79984699999999997</v>
      </c>
      <c r="DM32" s="5">
        <v>0.70416400000000001</v>
      </c>
      <c r="DN32" s="5">
        <v>0.73545199999999999</v>
      </c>
      <c r="DO32" s="5">
        <v>0.27320699999999998</v>
      </c>
      <c r="DP32" s="5">
        <v>0.79917499999999997</v>
      </c>
      <c r="DQ32" s="5">
        <v>0.73721400000000004</v>
      </c>
      <c r="DR32" s="5">
        <v>0.79866999999999999</v>
      </c>
      <c r="DS32" s="5">
        <v>0.73658199999999996</v>
      </c>
      <c r="DT32" s="5">
        <v>0.80008599999999996</v>
      </c>
      <c r="DU32" s="5">
        <v>0.73629299999999998</v>
      </c>
      <c r="DV32" s="5">
        <v>0.80621200000000004</v>
      </c>
      <c r="DW32" s="5">
        <v>0.73761200000000005</v>
      </c>
      <c r="DX32" s="5">
        <v>0.77918299999999996</v>
      </c>
      <c r="DY32" s="5">
        <v>0.492284</v>
      </c>
      <c r="DZ32" s="5">
        <v>0.81399299999999997</v>
      </c>
      <c r="EA32" s="5">
        <v>0.82822200000000001</v>
      </c>
      <c r="EB32" s="5">
        <v>0.892822</v>
      </c>
      <c r="EC32" s="5">
        <v>0.30270399999999997</v>
      </c>
      <c r="ED32" s="5">
        <v>0.78229199999999999</v>
      </c>
      <c r="EE32" s="5">
        <v>0.90008699999999997</v>
      </c>
      <c r="EF32" s="5">
        <v>0.80720700000000001</v>
      </c>
      <c r="EG32" s="5">
        <v>1.0691900000000001</v>
      </c>
      <c r="EH32" s="5">
        <v>0.82571899999999998</v>
      </c>
      <c r="EI32" s="5">
        <v>0.53271900000000005</v>
      </c>
      <c r="EJ32" s="5">
        <v>0.82858200000000004</v>
      </c>
      <c r="EK32" s="5">
        <v>0.48149199999999998</v>
      </c>
      <c r="EL32" s="5">
        <v>0.80756899999999998</v>
      </c>
      <c r="EM32" s="5">
        <v>0.54026099999999999</v>
      </c>
      <c r="EN32" s="5">
        <v>0.833403</v>
      </c>
      <c r="EO32" s="5">
        <v>0.656443</v>
      </c>
      <c r="EP32" s="5">
        <v>0.79939800000000005</v>
      </c>
      <c r="EQ32" s="5">
        <v>0.67162500000000003</v>
      </c>
      <c r="ER32" s="5">
        <v>0.79508199999999996</v>
      </c>
      <c r="ES32" s="5">
        <v>0.66391599999999995</v>
      </c>
      <c r="ET32" s="5">
        <v>0.74826800000000004</v>
      </c>
      <c r="EU32" s="5">
        <v>0.51779299999999995</v>
      </c>
      <c r="EV32" s="5">
        <v>0.80524499999999999</v>
      </c>
      <c r="EW32" s="5">
        <v>0.87047799999999997</v>
      </c>
      <c r="EX32" s="5">
        <v>0.75738700000000003</v>
      </c>
      <c r="EY32" s="5">
        <v>0.488371</v>
      </c>
      <c r="EZ32" s="5">
        <v>0.84729100000000002</v>
      </c>
      <c r="FA32" s="5">
        <v>0.56728599999999996</v>
      </c>
      <c r="FB32" s="5">
        <v>0.82723100000000005</v>
      </c>
      <c r="FC32" s="5">
        <v>0.50647399999999998</v>
      </c>
      <c r="FD32" s="5">
        <v>0.79730900000000005</v>
      </c>
      <c r="FE32" s="5">
        <v>0.86345700000000003</v>
      </c>
      <c r="FF32" s="5">
        <v>0.82071499999999997</v>
      </c>
      <c r="FG32" s="5">
        <v>0.701048</v>
      </c>
      <c r="FH32" s="5">
        <v>0.79917499999999997</v>
      </c>
      <c r="FI32" s="5">
        <v>0.73721000000000003</v>
      </c>
      <c r="FJ32" s="5">
        <v>0.80221600000000004</v>
      </c>
      <c r="FK32" s="5">
        <v>0.63846700000000001</v>
      </c>
      <c r="FL32" s="5">
        <v>0.81238900000000003</v>
      </c>
      <c r="FM32" s="5">
        <v>0.854074</v>
      </c>
      <c r="FN32" s="5">
        <v>0.83465999999999996</v>
      </c>
      <c r="FO32" s="5">
        <v>0.47543099999999999</v>
      </c>
      <c r="FP32" s="5">
        <v>0.79875399999999996</v>
      </c>
      <c r="FQ32" s="5">
        <v>0.73657099999999998</v>
      </c>
      <c r="FR32" s="5">
        <v>0.79838699999999996</v>
      </c>
      <c r="FS32" s="5">
        <v>0.72989400000000004</v>
      </c>
      <c r="FT32" s="5">
        <v>0.79878800000000005</v>
      </c>
      <c r="FU32" s="5">
        <v>0.72436199999999995</v>
      </c>
      <c r="FV32" s="5">
        <v>0.73545199999999999</v>
      </c>
      <c r="FW32" s="5">
        <v>0.27320699999999998</v>
      </c>
      <c r="FX32" s="5">
        <v>0.794041</v>
      </c>
      <c r="FY32" s="5">
        <v>0.87824899999999995</v>
      </c>
      <c r="FZ32" s="5">
        <v>0.80309399999999997</v>
      </c>
      <c r="GA32" s="5">
        <v>0.61091200000000001</v>
      </c>
      <c r="GB32" s="5">
        <v>0.79418800000000001</v>
      </c>
      <c r="GC32" s="5">
        <v>0.69562400000000002</v>
      </c>
      <c r="GD32" s="5">
        <v>0.799265</v>
      </c>
      <c r="GE32" s="5">
        <v>0.73717100000000002</v>
      </c>
      <c r="GF32" s="5">
        <v>0.79545699999999997</v>
      </c>
      <c r="GG32" s="5">
        <v>0.72732399999999997</v>
      </c>
      <c r="GH32" s="5">
        <v>0.72297</v>
      </c>
      <c r="GI32" s="5">
        <v>0.307639</v>
      </c>
      <c r="GJ32" s="5">
        <v>0.866031</v>
      </c>
      <c r="GK32" s="5">
        <v>0.34714099999999998</v>
      </c>
      <c r="GL32" s="5">
        <v>0.79446700000000003</v>
      </c>
      <c r="GM32" s="5">
        <v>0.87000900000000003</v>
      </c>
    </row>
    <row r="33" spans="1:195" x14ac:dyDescent="0.6">
      <c r="A33" s="7">
        <v>31</v>
      </c>
      <c r="B33" s="7">
        <v>25020230</v>
      </c>
      <c r="C33" s="7">
        <v>1982</v>
      </c>
      <c r="D33" s="7">
        <v>148</v>
      </c>
      <c r="E33" s="7">
        <v>39</v>
      </c>
      <c r="F33" s="7">
        <v>105.801</v>
      </c>
      <c r="G33" s="7">
        <v>38.727499999999999</v>
      </c>
      <c r="H33" s="7">
        <v>1.08965</v>
      </c>
      <c r="I33" s="7">
        <v>148</v>
      </c>
      <c r="J33" s="7">
        <v>25020230</v>
      </c>
      <c r="K33" s="7">
        <v>32</v>
      </c>
      <c r="L33" s="7">
        <v>0.86821099999999996</v>
      </c>
      <c r="M33" s="7">
        <v>4.5601900000000004E-3</v>
      </c>
      <c r="N33" s="7">
        <v>0.86173200000000005</v>
      </c>
      <c r="O33" s="7">
        <v>4.6180600000000002E-3</v>
      </c>
      <c r="P33" s="7">
        <v>0.86467300000000002</v>
      </c>
      <c r="Q33" s="7">
        <v>4.67096E-3</v>
      </c>
      <c r="R33" s="7">
        <v>0.86517999999999995</v>
      </c>
      <c r="S33" s="7">
        <v>5.6744100000000004E-3</v>
      </c>
      <c r="T33" s="7">
        <v>0.89375400000000005</v>
      </c>
      <c r="U33" s="7">
        <v>4.9373200000000003E-3</v>
      </c>
      <c r="V33" s="7">
        <v>0.86467300000000002</v>
      </c>
      <c r="W33" s="7">
        <v>4.67096E-3</v>
      </c>
      <c r="X33" s="7">
        <v>0.80172399999999999</v>
      </c>
      <c r="Y33" s="7">
        <v>2.9041499999999999E-3</v>
      </c>
      <c r="Z33" s="7">
        <v>0.87473900000000004</v>
      </c>
      <c r="AA33" s="7">
        <v>4.3963600000000002E-3</v>
      </c>
      <c r="AB33" s="7">
        <v>0.86468900000000004</v>
      </c>
      <c r="AC33" s="7">
        <v>4.6700300000000004E-3</v>
      </c>
      <c r="AD33" s="7">
        <v>0.86572499999999997</v>
      </c>
      <c r="AE33" s="7">
        <v>4.6364700000000002E-3</v>
      </c>
      <c r="AF33" s="7">
        <v>0.87408600000000003</v>
      </c>
      <c r="AG33" s="7">
        <v>4.0489799999999998E-3</v>
      </c>
      <c r="AH33" s="7">
        <v>0.86467300000000002</v>
      </c>
      <c r="AI33" s="7">
        <v>4.67096E-3</v>
      </c>
      <c r="AJ33" s="7">
        <v>0.80219399999999996</v>
      </c>
      <c r="AK33" s="7">
        <v>2.9094699999999999E-3</v>
      </c>
      <c r="AL33" s="7">
        <v>0.86992899999999995</v>
      </c>
      <c r="AM33" s="7">
        <v>4.3050099999999997E-3</v>
      </c>
      <c r="AN33" s="7">
        <v>0.91847299999999998</v>
      </c>
      <c r="AO33" s="7">
        <v>2.1132299999999998E-3</v>
      </c>
      <c r="AP33" s="7">
        <v>0.79716900000000002</v>
      </c>
      <c r="AQ33" s="7">
        <v>5.7361699999999996E-3</v>
      </c>
      <c r="AR33" s="7">
        <v>0.90104399999999996</v>
      </c>
      <c r="AS33" s="7">
        <v>7.6794100000000002E-3</v>
      </c>
      <c r="AT33" s="7">
        <v>0.87259500000000001</v>
      </c>
      <c r="AU33" s="7">
        <v>3.9898299999999998E-3</v>
      </c>
      <c r="AV33" s="7">
        <v>0.87136599999999997</v>
      </c>
      <c r="AW33" s="7">
        <v>3.68264E-3</v>
      </c>
      <c r="AX33" s="7">
        <v>0.85662099999999997</v>
      </c>
      <c r="AY33" s="7">
        <v>4.3128300000000001E-3</v>
      </c>
      <c r="AZ33" s="7">
        <v>0.88873400000000002</v>
      </c>
      <c r="BA33" s="7">
        <v>4.4794500000000003E-3</v>
      </c>
      <c r="BB33" s="7">
        <v>0.86722900000000003</v>
      </c>
      <c r="BC33" s="7">
        <v>4.58582E-3</v>
      </c>
      <c r="BD33" s="7">
        <v>0.86373200000000006</v>
      </c>
      <c r="BE33" s="7">
        <v>4.5916200000000002E-3</v>
      </c>
      <c r="BF33" s="7">
        <v>0.85302999999999995</v>
      </c>
      <c r="BG33" s="7">
        <v>4.1443499999999998E-3</v>
      </c>
      <c r="BH33" s="7">
        <v>0.86302000000000001</v>
      </c>
      <c r="BI33" s="7">
        <v>5.6847199999999999E-3</v>
      </c>
      <c r="BJ33" s="7">
        <v>0.84916800000000003</v>
      </c>
      <c r="BK33" s="7">
        <v>4.3462400000000003E-3</v>
      </c>
      <c r="BL33" s="7">
        <v>0.89505199999999996</v>
      </c>
      <c r="BM33" s="7">
        <v>3.88251E-3</v>
      </c>
      <c r="BN33" s="7">
        <v>0.86663299999999999</v>
      </c>
      <c r="BO33" s="7">
        <v>3.4641899999999998E-3</v>
      </c>
      <c r="BP33" s="7">
        <v>0.84960000000000002</v>
      </c>
      <c r="BQ33" s="7">
        <v>0.57843500000000003</v>
      </c>
      <c r="BR33" s="7">
        <v>0.88103200000000004</v>
      </c>
      <c r="BS33" s="7">
        <v>4.9731599999999999E-3</v>
      </c>
      <c r="BT33" s="7">
        <v>0.85560800000000004</v>
      </c>
      <c r="BU33" s="7">
        <v>0.59700799999999998</v>
      </c>
      <c r="BV33" s="7">
        <v>0.85966100000000001</v>
      </c>
      <c r="BW33" s="7">
        <v>4.9867000000000002E-3</v>
      </c>
      <c r="BX33" s="7">
        <v>0.87479899999999999</v>
      </c>
      <c r="BY33" s="7">
        <v>4.1284199999999998E-3</v>
      </c>
      <c r="BZ33" s="7">
        <v>0.87644999999999995</v>
      </c>
      <c r="CA33" s="7">
        <v>3.5609499999999998E-3</v>
      </c>
      <c r="CB33" s="7">
        <v>0.85852799999999996</v>
      </c>
      <c r="CC33" s="7">
        <v>4.8924199999999998E-3</v>
      </c>
      <c r="CD33" s="7">
        <v>0.75657799999999997</v>
      </c>
      <c r="CE33" s="7">
        <v>2.6468899999999998E-3</v>
      </c>
      <c r="CF33" s="7">
        <v>0.87136599999999997</v>
      </c>
      <c r="CG33" s="7">
        <v>4.4619000000000004E-3</v>
      </c>
      <c r="CH33" s="7">
        <v>0.86517999999999995</v>
      </c>
      <c r="CI33" s="7">
        <v>5.6744100000000004E-3</v>
      </c>
      <c r="CJ33" s="7">
        <v>0.80172399999999999</v>
      </c>
      <c r="CK33" s="7">
        <v>2.9041499999999999E-3</v>
      </c>
      <c r="CL33" s="7">
        <v>0.86455400000000004</v>
      </c>
      <c r="CM33" s="7">
        <v>4.5616099999999998E-3</v>
      </c>
      <c r="CN33" s="7">
        <v>0.85819500000000004</v>
      </c>
      <c r="CO33" s="7">
        <v>4.8033499999999996E-3</v>
      </c>
      <c r="CP33" s="7">
        <v>0.86569700000000005</v>
      </c>
      <c r="CQ33" s="7">
        <v>4.6369499999999999E-3</v>
      </c>
      <c r="CR33" s="7">
        <v>0.85629500000000003</v>
      </c>
      <c r="CS33" s="7">
        <v>5.0181399999999999E-3</v>
      </c>
      <c r="CT33" s="7">
        <v>0.85853800000000002</v>
      </c>
      <c r="CU33" s="7">
        <v>5.5658499999999998E-3</v>
      </c>
      <c r="CV33" s="7">
        <v>0.86517999999999995</v>
      </c>
      <c r="CW33" s="7">
        <v>5.6744100000000004E-3</v>
      </c>
      <c r="CX33" s="7">
        <v>0.89625100000000002</v>
      </c>
      <c r="CY33" s="7">
        <v>2.5599099999999999E-3</v>
      </c>
      <c r="CZ33" s="7">
        <v>0.856908</v>
      </c>
      <c r="DA33" s="7">
        <v>4.9208500000000001E-3</v>
      </c>
      <c r="DB33" s="7">
        <v>0.84967499999999996</v>
      </c>
      <c r="DC33" s="7">
        <v>0.55596900000000005</v>
      </c>
      <c r="DD33" s="7">
        <v>0.79726699999999995</v>
      </c>
      <c r="DE33" s="7">
        <v>0.56936200000000003</v>
      </c>
      <c r="DF33" s="7">
        <v>0.73998600000000003</v>
      </c>
      <c r="DG33" s="7">
        <v>0.18046100000000001</v>
      </c>
      <c r="DH33" s="7">
        <v>0.85560700000000001</v>
      </c>
      <c r="DI33" s="7">
        <v>0.59701000000000004</v>
      </c>
      <c r="DJ33" s="7">
        <v>0.84820899999999999</v>
      </c>
      <c r="DK33" s="7">
        <v>0.66829099999999997</v>
      </c>
      <c r="DL33" s="7">
        <v>0.85380500000000004</v>
      </c>
      <c r="DM33" s="7">
        <v>0.57205300000000003</v>
      </c>
      <c r="DN33" s="7">
        <v>0.75757399999999997</v>
      </c>
      <c r="DO33" s="7">
        <v>0.25036199999999997</v>
      </c>
      <c r="DP33" s="7">
        <v>0.85560700000000001</v>
      </c>
      <c r="DQ33" s="7">
        <v>0.59700799999999998</v>
      </c>
      <c r="DR33" s="7">
        <v>0.85507100000000003</v>
      </c>
      <c r="DS33" s="7">
        <v>0.59690200000000004</v>
      </c>
      <c r="DT33" s="7">
        <v>0.85640099999999997</v>
      </c>
      <c r="DU33" s="7">
        <v>0.59523800000000004</v>
      </c>
      <c r="DV33" s="7">
        <v>0.86114000000000002</v>
      </c>
      <c r="DW33" s="7">
        <v>0.56455</v>
      </c>
      <c r="DX33" s="7">
        <v>0.81818299999999999</v>
      </c>
      <c r="DY33" s="7">
        <v>0.43036600000000003</v>
      </c>
      <c r="DZ33" s="7">
        <v>0.87480199999999997</v>
      </c>
      <c r="EA33" s="7">
        <v>0.61237799999999998</v>
      </c>
      <c r="EB33" s="7">
        <v>0.91489900000000002</v>
      </c>
      <c r="EC33" s="7">
        <v>0.22434200000000001</v>
      </c>
      <c r="ED33" s="7">
        <v>0.85279400000000005</v>
      </c>
      <c r="EE33" s="7">
        <v>0.75945700000000005</v>
      </c>
      <c r="EF33" s="7">
        <v>0.88793599999999995</v>
      </c>
      <c r="EG33" s="7">
        <v>0.82631200000000005</v>
      </c>
      <c r="EH33" s="7">
        <v>0.86586200000000002</v>
      </c>
      <c r="EI33" s="7">
        <v>0.42014299999999999</v>
      </c>
      <c r="EJ33" s="7">
        <v>0.86515399999999998</v>
      </c>
      <c r="EK33" s="7">
        <v>0.38634099999999999</v>
      </c>
      <c r="EL33" s="7">
        <v>0.84936900000000004</v>
      </c>
      <c r="EM33" s="7">
        <v>0.44970100000000002</v>
      </c>
      <c r="EN33" s="7">
        <v>0.88111399999999995</v>
      </c>
      <c r="EO33" s="7">
        <v>0.479211</v>
      </c>
      <c r="EP33" s="7">
        <v>0.85094400000000003</v>
      </c>
      <c r="EQ33" s="7">
        <v>0.54795400000000005</v>
      </c>
      <c r="ER33" s="7">
        <v>0.84617100000000001</v>
      </c>
      <c r="ES33" s="7">
        <v>0.54488000000000003</v>
      </c>
      <c r="ET33" s="7">
        <v>0.78898699999999999</v>
      </c>
      <c r="EU33" s="7">
        <v>0.44621</v>
      </c>
      <c r="EV33" s="7">
        <v>0.87081900000000001</v>
      </c>
      <c r="EW33" s="7">
        <v>0.67746499999999998</v>
      </c>
      <c r="EX33" s="7">
        <v>0.79610700000000001</v>
      </c>
      <c r="EY33" s="7">
        <v>0.42803600000000003</v>
      </c>
      <c r="EZ33" s="7">
        <v>0.88845600000000002</v>
      </c>
      <c r="FA33" s="7">
        <v>0.41436600000000001</v>
      </c>
      <c r="FB33" s="7">
        <v>0.86516199999999999</v>
      </c>
      <c r="FC33" s="7">
        <v>0.39527899999999999</v>
      </c>
      <c r="FD33" s="7">
        <v>0.86341299999999999</v>
      </c>
      <c r="FE33" s="7">
        <v>0.69588099999999997</v>
      </c>
      <c r="FF33" s="7">
        <v>0.87259100000000001</v>
      </c>
      <c r="FG33" s="7">
        <v>0.52968999999999999</v>
      </c>
      <c r="FH33" s="7">
        <v>0.85560700000000001</v>
      </c>
      <c r="FI33" s="7">
        <v>0.59700500000000001</v>
      </c>
      <c r="FJ33" s="7">
        <v>0.85126400000000002</v>
      </c>
      <c r="FK33" s="7">
        <v>0.522482</v>
      </c>
      <c r="FL33" s="7">
        <v>0.87497199999999997</v>
      </c>
      <c r="FM33" s="7">
        <v>0.62777000000000005</v>
      </c>
      <c r="FN33" s="7">
        <v>0.870444</v>
      </c>
      <c r="FO33" s="7">
        <v>0.37465300000000001</v>
      </c>
      <c r="FP33" s="7">
        <v>0.855155</v>
      </c>
      <c r="FQ33" s="7">
        <v>0.59690399999999999</v>
      </c>
      <c r="FR33" s="7">
        <v>0.85431699999999999</v>
      </c>
      <c r="FS33" s="7">
        <v>0.59250599999999998</v>
      </c>
      <c r="FT33" s="7">
        <v>0.85429500000000003</v>
      </c>
      <c r="FU33" s="7">
        <v>0.58813599999999999</v>
      </c>
      <c r="FV33" s="7">
        <v>0.75757399999999997</v>
      </c>
      <c r="FW33" s="7">
        <v>0.25036199999999997</v>
      </c>
      <c r="FX33" s="7">
        <v>0.86166500000000001</v>
      </c>
      <c r="FY33" s="7">
        <v>0.71608099999999997</v>
      </c>
      <c r="FZ33" s="7">
        <v>0.85012600000000005</v>
      </c>
      <c r="GA33" s="7">
        <v>0.50252699999999995</v>
      </c>
      <c r="GB33" s="7">
        <v>0.84762099999999996</v>
      </c>
      <c r="GC33" s="7">
        <v>0.56832199999999999</v>
      </c>
      <c r="GD33" s="7">
        <v>0.85569099999999998</v>
      </c>
      <c r="GE33" s="7">
        <v>0.59690100000000001</v>
      </c>
      <c r="GF33" s="7">
        <v>0.85113099999999997</v>
      </c>
      <c r="GG33" s="7">
        <v>0.58925000000000005</v>
      </c>
      <c r="GH33" s="7">
        <v>0.74796099999999999</v>
      </c>
      <c r="GI33" s="7">
        <v>0.28370099999999998</v>
      </c>
      <c r="GJ33" s="7">
        <v>0.89193999999999996</v>
      </c>
      <c r="GK33" s="7">
        <v>0.26959</v>
      </c>
      <c r="GL33" s="7">
        <v>0.86140700000000003</v>
      </c>
      <c r="GM33" s="7">
        <v>0.70824200000000004</v>
      </c>
    </row>
    <row r="34" spans="1:195" x14ac:dyDescent="0.6">
      <c r="A34" s="5">
        <v>32</v>
      </c>
      <c r="B34" s="5">
        <v>25020230</v>
      </c>
      <c r="C34" s="5">
        <v>2007</v>
      </c>
      <c r="D34" s="5">
        <v>150</v>
      </c>
      <c r="E34" s="5">
        <v>39</v>
      </c>
      <c r="F34" s="5">
        <v>105.801</v>
      </c>
      <c r="G34" s="5">
        <v>38.727499999999999</v>
      </c>
      <c r="H34" s="5">
        <v>1.1412899999999999</v>
      </c>
      <c r="I34" s="5">
        <v>150</v>
      </c>
      <c r="J34" s="5">
        <v>25020230</v>
      </c>
      <c r="K34" s="5">
        <v>33</v>
      </c>
      <c r="L34" s="5">
        <v>0.87707100000000005</v>
      </c>
      <c r="M34" s="5">
        <v>4.3006700000000004E-3</v>
      </c>
      <c r="N34" s="5">
        <v>0.87072099999999997</v>
      </c>
      <c r="O34" s="5">
        <v>4.3727000000000002E-3</v>
      </c>
      <c r="P34" s="5">
        <v>0.87375999999999998</v>
      </c>
      <c r="Q34" s="5">
        <v>4.4167700000000004E-3</v>
      </c>
      <c r="R34" s="5">
        <v>0.87620200000000004</v>
      </c>
      <c r="S34" s="5">
        <v>5.3486499999999999E-3</v>
      </c>
      <c r="T34" s="5">
        <v>0.90322599999999997</v>
      </c>
      <c r="U34" s="5">
        <v>4.5390400000000003E-3</v>
      </c>
      <c r="V34" s="5">
        <v>0.87375999999999998</v>
      </c>
      <c r="W34" s="5">
        <v>4.4167700000000004E-3</v>
      </c>
      <c r="X34" s="5">
        <v>0.80744800000000005</v>
      </c>
      <c r="Y34" s="5">
        <v>2.8203099999999999E-3</v>
      </c>
      <c r="Z34" s="5">
        <v>0.88325299999999995</v>
      </c>
      <c r="AA34" s="5">
        <v>4.1196000000000002E-3</v>
      </c>
      <c r="AB34" s="5">
        <v>0.87377400000000005</v>
      </c>
      <c r="AC34" s="5">
        <v>4.4158399999999999E-3</v>
      </c>
      <c r="AD34" s="5">
        <v>0.87474099999999999</v>
      </c>
      <c r="AE34" s="5">
        <v>4.3809599999999997E-3</v>
      </c>
      <c r="AF34" s="5">
        <v>0.88192599999999999</v>
      </c>
      <c r="AG34" s="5">
        <v>3.7935199999999999E-3</v>
      </c>
      <c r="AH34" s="5">
        <v>0.87375999999999998</v>
      </c>
      <c r="AI34" s="5">
        <v>4.4167700000000004E-3</v>
      </c>
      <c r="AJ34" s="5">
        <v>0.80792799999999998</v>
      </c>
      <c r="AK34" s="5">
        <v>2.8251299999999999E-3</v>
      </c>
      <c r="AL34" s="5">
        <v>0.87828600000000001</v>
      </c>
      <c r="AM34" s="5">
        <v>4.0537100000000003E-3</v>
      </c>
      <c r="AN34" s="5">
        <v>0.92256099999999996</v>
      </c>
      <c r="AO34" s="5">
        <v>1.9771200000000002E-3</v>
      </c>
      <c r="AP34" s="5">
        <v>0.80847500000000005</v>
      </c>
      <c r="AQ34" s="5">
        <v>5.5693000000000001E-3</v>
      </c>
      <c r="AR34" s="5">
        <v>0.91572100000000001</v>
      </c>
      <c r="AS34" s="5">
        <v>6.9943899999999996E-3</v>
      </c>
      <c r="AT34" s="5">
        <v>0.88034699999999999</v>
      </c>
      <c r="AU34" s="5">
        <v>3.7640400000000002E-3</v>
      </c>
      <c r="AV34" s="5">
        <v>0.87853700000000001</v>
      </c>
      <c r="AW34" s="5">
        <v>3.4906400000000001E-3</v>
      </c>
      <c r="AX34" s="5">
        <v>0.86504899999999996</v>
      </c>
      <c r="AY34" s="5">
        <v>4.11627E-3</v>
      </c>
      <c r="AZ34" s="5">
        <v>0.89735399999999998</v>
      </c>
      <c r="BA34" s="5">
        <v>4.14504E-3</v>
      </c>
      <c r="BB34" s="5">
        <v>0.87614099999999995</v>
      </c>
      <c r="BC34" s="5">
        <v>4.3281700000000001E-3</v>
      </c>
      <c r="BD34" s="5">
        <v>0.872664</v>
      </c>
      <c r="BE34" s="5">
        <v>4.3424199999999996E-3</v>
      </c>
      <c r="BF34" s="5">
        <v>0.86110900000000001</v>
      </c>
      <c r="BG34" s="5">
        <v>3.9355299999999996E-3</v>
      </c>
      <c r="BH34" s="5">
        <v>0.87406799999999996</v>
      </c>
      <c r="BI34" s="5">
        <v>5.3640500000000004E-3</v>
      </c>
      <c r="BJ34" s="5">
        <v>0.85766100000000001</v>
      </c>
      <c r="BK34" s="5">
        <v>4.1481499999999998E-3</v>
      </c>
      <c r="BL34" s="5">
        <v>0.902536</v>
      </c>
      <c r="BM34" s="5">
        <v>3.60561E-3</v>
      </c>
      <c r="BN34" s="5">
        <v>0.87338400000000005</v>
      </c>
      <c r="BO34" s="5">
        <v>3.28882E-3</v>
      </c>
      <c r="BP34" s="5">
        <v>0.85722600000000004</v>
      </c>
      <c r="BQ34" s="5">
        <v>0.55789800000000001</v>
      </c>
      <c r="BR34" s="5">
        <v>0.89062399999999997</v>
      </c>
      <c r="BS34" s="5">
        <v>4.6219599999999996E-3</v>
      </c>
      <c r="BT34" s="5">
        <v>0.86347200000000002</v>
      </c>
      <c r="BU34" s="5">
        <v>0.57473300000000005</v>
      </c>
      <c r="BV34" s="5">
        <v>0.86937500000000001</v>
      </c>
      <c r="BW34" s="5">
        <v>4.7286400000000001E-3</v>
      </c>
      <c r="BX34" s="5">
        <v>0.88278400000000001</v>
      </c>
      <c r="BY34" s="5">
        <v>3.8591699999999999E-3</v>
      </c>
      <c r="BZ34" s="5">
        <v>0.88337399999999999</v>
      </c>
      <c r="CA34" s="5">
        <v>3.3643800000000001E-3</v>
      </c>
      <c r="CB34" s="5">
        <v>0.86806499999999998</v>
      </c>
      <c r="CC34" s="5">
        <v>4.6448399999999999E-3</v>
      </c>
      <c r="CD34" s="5">
        <v>0.76181399999999999</v>
      </c>
      <c r="CE34" s="5">
        <v>2.5893299999999999E-3</v>
      </c>
      <c r="CF34" s="5">
        <v>0.88002400000000003</v>
      </c>
      <c r="CG34" s="5">
        <v>4.1980300000000002E-3</v>
      </c>
      <c r="CH34" s="5">
        <v>0.87620200000000004</v>
      </c>
      <c r="CI34" s="5">
        <v>5.3486499999999999E-3</v>
      </c>
      <c r="CJ34" s="5">
        <v>0.80744800000000005</v>
      </c>
      <c r="CK34" s="5">
        <v>2.8203099999999999E-3</v>
      </c>
      <c r="CL34" s="5">
        <v>0.87343000000000004</v>
      </c>
      <c r="CM34" s="5">
        <v>4.3156000000000002E-3</v>
      </c>
      <c r="CN34" s="5">
        <v>0.86756200000000006</v>
      </c>
      <c r="CO34" s="5">
        <v>4.5638800000000002E-3</v>
      </c>
      <c r="CP34" s="5">
        <v>0.87471399999999999</v>
      </c>
      <c r="CQ34" s="5">
        <v>4.3815E-3</v>
      </c>
      <c r="CR34" s="5">
        <v>0.86608300000000005</v>
      </c>
      <c r="CS34" s="5">
        <v>4.77058E-3</v>
      </c>
      <c r="CT34" s="5">
        <v>0.86935399999999996</v>
      </c>
      <c r="CU34" s="5">
        <v>5.2507400000000003E-3</v>
      </c>
      <c r="CV34" s="5">
        <v>0.87620200000000004</v>
      </c>
      <c r="CW34" s="5">
        <v>5.3486499999999999E-3</v>
      </c>
      <c r="CX34" s="5">
        <v>0.901227</v>
      </c>
      <c r="CY34" s="5">
        <v>2.4174999999999999E-3</v>
      </c>
      <c r="CZ34" s="5">
        <v>0.86650499999999997</v>
      </c>
      <c r="DA34" s="5">
        <v>4.6769799999999999E-3</v>
      </c>
      <c r="DB34" s="5">
        <v>0.85700699999999996</v>
      </c>
      <c r="DC34" s="5">
        <v>0.53652</v>
      </c>
      <c r="DD34" s="5">
        <v>0.80481800000000003</v>
      </c>
      <c r="DE34" s="5">
        <v>0.55578000000000005</v>
      </c>
      <c r="DF34" s="5">
        <v>0.74239500000000003</v>
      </c>
      <c r="DG34" s="5">
        <v>0.17844399999999999</v>
      </c>
      <c r="DH34" s="5">
        <v>0.86347099999999999</v>
      </c>
      <c r="DI34" s="5">
        <v>0.574735</v>
      </c>
      <c r="DJ34" s="5">
        <v>0.85695399999999999</v>
      </c>
      <c r="DK34" s="5">
        <v>0.63498100000000002</v>
      </c>
      <c r="DL34" s="5">
        <v>0.861344</v>
      </c>
      <c r="DM34" s="5">
        <v>0.55130000000000001</v>
      </c>
      <c r="DN34" s="5">
        <v>0.760911</v>
      </c>
      <c r="DO34" s="5">
        <v>0.246915</v>
      </c>
      <c r="DP34" s="5">
        <v>0.86347099999999999</v>
      </c>
      <c r="DQ34" s="5">
        <v>0.57473399999999997</v>
      </c>
      <c r="DR34" s="5">
        <v>0.86293399999999998</v>
      </c>
      <c r="DS34" s="5">
        <v>0.57471000000000005</v>
      </c>
      <c r="DT34" s="5">
        <v>0.86424100000000004</v>
      </c>
      <c r="DU34" s="5">
        <v>0.57287699999999997</v>
      </c>
      <c r="DV34" s="5">
        <v>0.86854600000000004</v>
      </c>
      <c r="DW34" s="5">
        <v>0.53903599999999996</v>
      </c>
      <c r="DX34" s="5">
        <v>0.82389500000000004</v>
      </c>
      <c r="DY34" s="5">
        <v>0.42069000000000001</v>
      </c>
      <c r="DZ34" s="5">
        <v>0.88280499999999995</v>
      </c>
      <c r="EA34" s="5">
        <v>0.58011500000000005</v>
      </c>
      <c r="EB34" s="5">
        <v>0.91784299999999996</v>
      </c>
      <c r="EC34" s="5">
        <v>0.214342</v>
      </c>
      <c r="ED34" s="5">
        <v>0.86281200000000002</v>
      </c>
      <c r="EE34" s="5">
        <v>0.73309199999999997</v>
      </c>
      <c r="EF34" s="5">
        <v>0.89872700000000005</v>
      </c>
      <c r="EG34" s="5">
        <v>0.78129000000000004</v>
      </c>
      <c r="EH34" s="5">
        <v>0.87139299999999997</v>
      </c>
      <c r="EI34" s="5">
        <v>0.40413199999999999</v>
      </c>
      <c r="EJ34" s="5">
        <v>0.87024900000000005</v>
      </c>
      <c r="EK34" s="5">
        <v>0.37276100000000001</v>
      </c>
      <c r="EL34" s="5">
        <v>0.85531299999999999</v>
      </c>
      <c r="EM34" s="5">
        <v>0.43607299999999999</v>
      </c>
      <c r="EN34" s="5">
        <v>0.88738300000000003</v>
      </c>
      <c r="EO34" s="5">
        <v>0.45503700000000002</v>
      </c>
      <c r="EP34" s="5">
        <v>0.85816999999999999</v>
      </c>
      <c r="EQ34" s="5">
        <v>0.52872600000000003</v>
      </c>
      <c r="ER34" s="5">
        <v>0.85336000000000001</v>
      </c>
      <c r="ES34" s="5">
        <v>0.52637699999999998</v>
      </c>
      <c r="ET34" s="5">
        <v>0.79490300000000003</v>
      </c>
      <c r="EU34" s="5">
        <v>0.43538500000000002</v>
      </c>
      <c r="EV34" s="5">
        <v>0.87970099999999996</v>
      </c>
      <c r="EW34" s="5">
        <v>0.64585499999999996</v>
      </c>
      <c r="EX34" s="5">
        <v>0.80179</v>
      </c>
      <c r="EY34" s="5">
        <v>0.41879100000000002</v>
      </c>
      <c r="EZ34" s="5">
        <v>0.89388100000000004</v>
      </c>
      <c r="FA34" s="5">
        <v>0.39421</v>
      </c>
      <c r="FB34" s="5">
        <v>0.87036500000000006</v>
      </c>
      <c r="FC34" s="5">
        <v>0.380027</v>
      </c>
      <c r="FD34" s="5">
        <v>0.87256400000000001</v>
      </c>
      <c r="FE34" s="5">
        <v>0.66748399999999997</v>
      </c>
      <c r="FF34" s="5">
        <v>0.87953300000000001</v>
      </c>
      <c r="FG34" s="5">
        <v>0.50481299999999996</v>
      </c>
      <c r="FH34" s="5">
        <v>0.86347099999999999</v>
      </c>
      <c r="FI34" s="5">
        <v>0.57472999999999996</v>
      </c>
      <c r="FJ34" s="5">
        <v>0.85815699999999995</v>
      </c>
      <c r="FK34" s="5">
        <v>0.50467200000000001</v>
      </c>
      <c r="FL34" s="5">
        <v>0.88316799999999995</v>
      </c>
      <c r="FM34" s="5">
        <v>0.59364499999999998</v>
      </c>
      <c r="FN34" s="5">
        <v>0.87537799999999999</v>
      </c>
      <c r="FO34" s="5">
        <v>0.360626</v>
      </c>
      <c r="FP34" s="5">
        <v>0.86301799999999995</v>
      </c>
      <c r="FQ34" s="5">
        <v>0.57471000000000005</v>
      </c>
      <c r="FR34" s="5">
        <v>0.862124</v>
      </c>
      <c r="FS34" s="5">
        <v>0.57069899999999996</v>
      </c>
      <c r="FT34" s="5">
        <v>0.86204499999999995</v>
      </c>
      <c r="FU34" s="5">
        <v>0.56655699999999998</v>
      </c>
      <c r="FV34" s="5">
        <v>0.760911</v>
      </c>
      <c r="FW34" s="5">
        <v>0.246915</v>
      </c>
      <c r="FX34" s="5">
        <v>0.871089</v>
      </c>
      <c r="FY34" s="5">
        <v>0.68797299999999995</v>
      </c>
      <c r="FZ34" s="5">
        <v>0.85675999999999997</v>
      </c>
      <c r="GA34" s="5">
        <v>0.48597699999999999</v>
      </c>
      <c r="GB34" s="5">
        <v>0.85511599999999999</v>
      </c>
      <c r="GC34" s="5">
        <v>0.54839499999999997</v>
      </c>
      <c r="GD34" s="5">
        <v>0.86355300000000002</v>
      </c>
      <c r="GE34" s="5">
        <v>0.57461799999999996</v>
      </c>
      <c r="GF34" s="5">
        <v>0.85889499999999996</v>
      </c>
      <c r="GG34" s="5">
        <v>0.56745800000000002</v>
      </c>
      <c r="GH34" s="5">
        <v>0.75174399999999997</v>
      </c>
      <c r="GI34" s="5">
        <v>0.28003899999999998</v>
      </c>
      <c r="GJ34" s="5">
        <v>0.89548899999999998</v>
      </c>
      <c r="GK34" s="5">
        <v>0.25927899999999998</v>
      </c>
      <c r="GL34" s="5">
        <v>0.870726</v>
      </c>
      <c r="GM34" s="5">
        <v>0.68027199999999999</v>
      </c>
    </row>
    <row r="35" spans="1:195" x14ac:dyDescent="0.6">
      <c r="A35" s="7">
        <v>33</v>
      </c>
      <c r="B35" s="7">
        <v>25020230</v>
      </c>
      <c r="C35" s="7">
        <v>1981</v>
      </c>
      <c r="D35" s="7">
        <v>150</v>
      </c>
      <c r="E35" s="7">
        <v>39</v>
      </c>
      <c r="F35" s="7">
        <v>105.801</v>
      </c>
      <c r="G35" s="7">
        <v>38.727499999999999</v>
      </c>
      <c r="H35" s="7">
        <v>1.1412899999999999</v>
      </c>
      <c r="I35" s="7">
        <v>150</v>
      </c>
      <c r="J35" s="7">
        <v>25020230</v>
      </c>
      <c r="K35" s="7">
        <v>34</v>
      </c>
      <c r="L35" s="7">
        <v>0.87707100000000005</v>
      </c>
      <c r="M35" s="7">
        <v>4.3006700000000004E-3</v>
      </c>
      <c r="N35" s="7">
        <v>0.87072099999999997</v>
      </c>
      <c r="O35" s="7">
        <v>4.3727000000000002E-3</v>
      </c>
      <c r="P35" s="7">
        <v>0.87375999999999998</v>
      </c>
      <c r="Q35" s="7">
        <v>4.4167700000000004E-3</v>
      </c>
      <c r="R35" s="7">
        <v>0.87620200000000004</v>
      </c>
      <c r="S35" s="7">
        <v>5.3486499999999999E-3</v>
      </c>
      <c r="T35" s="7">
        <v>0.90322599999999997</v>
      </c>
      <c r="U35" s="7">
        <v>4.5390400000000003E-3</v>
      </c>
      <c r="V35" s="7">
        <v>0.87375999999999998</v>
      </c>
      <c r="W35" s="7">
        <v>4.4167700000000004E-3</v>
      </c>
      <c r="X35" s="7">
        <v>0.80744800000000005</v>
      </c>
      <c r="Y35" s="7">
        <v>2.8203099999999999E-3</v>
      </c>
      <c r="Z35" s="7">
        <v>0.88325299999999995</v>
      </c>
      <c r="AA35" s="7">
        <v>4.1196000000000002E-3</v>
      </c>
      <c r="AB35" s="7">
        <v>0.87377400000000005</v>
      </c>
      <c r="AC35" s="7">
        <v>4.4158399999999999E-3</v>
      </c>
      <c r="AD35" s="7">
        <v>0.87474099999999999</v>
      </c>
      <c r="AE35" s="7">
        <v>4.3809599999999997E-3</v>
      </c>
      <c r="AF35" s="7">
        <v>0.88192599999999999</v>
      </c>
      <c r="AG35" s="7">
        <v>3.7935199999999999E-3</v>
      </c>
      <c r="AH35" s="7">
        <v>0.87375999999999998</v>
      </c>
      <c r="AI35" s="7">
        <v>4.4167700000000004E-3</v>
      </c>
      <c r="AJ35" s="7">
        <v>0.80792799999999998</v>
      </c>
      <c r="AK35" s="7">
        <v>2.8251299999999999E-3</v>
      </c>
      <c r="AL35" s="7">
        <v>0.87828600000000001</v>
      </c>
      <c r="AM35" s="7">
        <v>4.0537100000000003E-3</v>
      </c>
      <c r="AN35" s="7">
        <v>0.92256099999999996</v>
      </c>
      <c r="AO35" s="7">
        <v>1.9771200000000002E-3</v>
      </c>
      <c r="AP35" s="7">
        <v>0.80847500000000005</v>
      </c>
      <c r="AQ35" s="7">
        <v>5.5693000000000001E-3</v>
      </c>
      <c r="AR35" s="7">
        <v>0.91572100000000001</v>
      </c>
      <c r="AS35" s="7">
        <v>6.9943899999999996E-3</v>
      </c>
      <c r="AT35" s="7">
        <v>0.88034699999999999</v>
      </c>
      <c r="AU35" s="7">
        <v>3.7640400000000002E-3</v>
      </c>
      <c r="AV35" s="7">
        <v>0.87853700000000001</v>
      </c>
      <c r="AW35" s="7">
        <v>3.4906400000000001E-3</v>
      </c>
      <c r="AX35" s="7">
        <v>0.86504899999999996</v>
      </c>
      <c r="AY35" s="7">
        <v>4.11627E-3</v>
      </c>
      <c r="AZ35" s="7">
        <v>0.89735399999999998</v>
      </c>
      <c r="BA35" s="7">
        <v>4.14504E-3</v>
      </c>
      <c r="BB35" s="7">
        <v>0.87614099999999995</v>
      </c>
      <c r="BC35" s="7">
        <v>4.3281700000000001E-3</v>
      </c>
      <c r="BD35" s="7">
        <v>0.872664</v>
      </c>
      <c r="BE35" s="7">
        <v>4.3424199999999996E-3</v>
      </c>
      <c r="BF35" s="7">
        <v>0.86110900000000001</v>
      </c>
      <c r="BG35" s="7">
        <v>3.9355299999999996E-3</v>
      </c>
      <c r="BH35" s="7">
        <v>0.87406799999999996</v>
      </c>
      <c r="BI35" s="7">
        <v>5.3640500000000004E-3</v>
      </c>
      <c r="BJ35" s="7">
        <v>0.85766100000000001</v>
      </c>
      <c r="BK35" s="7">
        <v>4.1481499999999998E-3</v>
      </c>
      <c r="BL35" s="7">
        <v>0.902536</v>
      </c>
      <c r="BM35" s="7">
        <v>3.60561E-3</v>
      </c>
      <c r="BN35" s="7">
        <v>0.87338400000000005</v>
      </c>
      <c r="BO35" s="7">
        <v>3.28882E-3</v>
      </c>
      <c r="BP35" s="7">
        <v>0.85722600000000004</v>
      </c>
      <c r="BQ35" s="7">
        <v>0.55789800000000001</v>
      </c>
      <c r="BR35" s="7">
        <v>0.89062399999999997</v>
      </c>
      <c r="BS35" s="7">
        <v>4.6219599999999996E-3</v>
      </c>
      <c r="BT35" s="7">
        <v>0.86347200000000002</v>
      </c>
      <c r="BU35" s="7">
        <v>0.57473300000000005</v>
      </c>
      <c r="BV35" s="7">
        <v>0.86937500000000001</v>
      </c>
      <c r="BW35" s="7">
        <v>4.7286400000000001E-3</v>
      </c>
      <c r="BX35" s="7">
        <v>0.88278400000000001</v>
      </c>
      <c r="BY35" s="7">
        <v>3.8591699999999999E-3</v>
      </c>
      <c r="BZ35" s="7">
        <v>0.88337399999999999</v>
      </c>
      <c r="CA35" s="7">
        <v>3.3643800000000001E-3</v>
      </c>
      <c r="CB35" s="7">
        <v>0.86806499999999998</v>
      </c>
      <c r="CC35" s="7">
        <v>4.6448399999999999E-3</v>
      </c>
      <c r="CD35" s="7">
        <v>0.76181399999999999</v>
      </c>
      <c r="CE35" s="7">
        <v>2.5893299999999999E-3</v>
      </c>
      <c r="CF35" s="7">
        <v>0.88002400000000003</v>
      </c>
      <c r="CG35" s="7">
        <v>4.1980300000000002E-3</v>
      </c>
      <c r="CH35" s="7">
        <v>0.87620200000000004</v>
      </c>
      <c r="CI35" s="7">
        <v>5.3486499999999999E-3</v>
      </c>
      <c r="CJ35" s="7">
        <v>0.80744800000000005</v>
      </c>
      <c r="CK35" s="7">
        <v>2.8203099999999999E-3</v>
      </c>
      <c r="CL35" s="7">
        <v>0.87343000000000004</v>
      </c>
      <c r="CM35" s="7">
        <v>4.3156000000000002E-3</v>
      </c>
      <c r="CN35" s="7">
        <v>0.86756200000000006</v>
      </c>
      <c r="CO35" s="7">
        <v>4.5638800000000002E-3</v>
      </c>
      <c r="CP35" s="7">
        <v>0.87471399999999999</v>
      </c>
      <c r="CQ35" s="7">
        <v>4.3815E-3</v>
      </c>
      <c r="CR35" s="7">
        <v>0.86608300000000005</v>
      </c>
      <c r="CS35" s="7">
        <v>4.77058E-3</v>
      </c>
      <c r="CT35" s="7">
        <v>0.86935399999999996</v>
      </c>
      <c r="CU35" s="7">
        <v>5.2507400000000003E-3</v>
      </c>
      <c r="CV35" s="7">
        <v>0.87620200000000004</v>
      </c>
      <c r="CW35" s="7">
        <v>5.3486499999999999E-3</v>
      </c>
      <c r="CX35" s="7">
        <v>0.901227</v>
      </c>
      <c r="CY35" s="7">
        <v>2.4174999999999999E-3</v>
      </c>
      <c r="CZ35" s="7">
        <v>0.86650499999999997</v>
      </c>
      <c r="DA35" s="7">
        <v>4.6769799999999999E-3</v>
      </c>
      <c r="DB35" s="7">
        <v>0.85700699999999996</v>
      </c>
      <c r="DC35" s="7">
        <v>0.53652</v>
      </c>
      <c r="DD35" s="7">
        <v>0.80481800000000003</v>
      </c>
      <c r="DE35" s="7">
        <v>0.55578000000000005</v>
      </c>
      <c r="DF35" s="7">
        <v>0.74239500000000003</v>
      </c>
      <c r="DG35" s="7">
        <v>0.17844399999999999</v>
      </c>
      <c r="DH35" s="7">
        <v>0.86347099999999999</v>
      </c>
      <c r="DI35" s="7">
        <v>0.574735</v>
      </c>
      <c r="DJ35" s="7">
        <v>0.85695399999999999</v>
      </c>
      <c r="DK35" s="7">
        <v>0.63498100000000002</v>
      </c>
      <c r="DL35" s="7">
        <v>0.861344</v>
      </c>
      <c r="DM35" s="7">
        <v>0.55130000000000001</v>
      </c>
      <c r="DN35" s="7">
        <v>0.760911</v>
      </c>
      <c r="DO35" s="7">
        <v>0.246915</v>
      </c>
      <c r="DP35" s="7">
        <v>0.86347099999999999</v>
      </c>
      <c r="DQ35" s="7">
        <v>0.57473399999999997</v>
      </c>
      <c r="DR35" s="7">
        <v>0.86293399999999998</v>
      </c>
      <c r="DS35" s="7">
        <v>0.57471000000000005</v>
      </c>
      <c r="DT35" s="7">
        <v>0.86424100000000004</v>
      </c>
      <c r="DU35" s="7">
        <v>0.57287699999999997</v>
      </c>
      <c r="DV35" s="7">
        <v>0.86854600000000004</v>
      </c>
      <c r="DW35" s="7">
        <v>0.53903599999999996</v>
      </c>
      <c r="DX35" s="7">
        <v>0.82389500000000004</v>
      </c>
      <c r="DY35" s="7">
        <v>0.42069000000000001</v>
      </c>
      <c r="DZ35" s="7">
        <v>0.88280499999999995</v>
      </c>
      <c r="EA35" s="7">
        <v>0.58011500000000005</v>
      </c>
      <c r="EB35" s="7">
        <v>0.91784299999999996</v>
      </c>
      <c r="EC35" s="7">
        <v>0.214342</v>
      </c>
      <c r="ED35" s="7">
        <v>0.86281200000000002</v>
      </c>
      <c r="EE35" s="7">
        <v>0.73309199999999997</v>
      </c>
      <c r="EF35" s="7">
        <v>0.89872700000000005</v>
      </c>
      <c r="EG35" s="7">
        <v>0.78129000000000004</v>
      </c>
      <c r="EH35" s="7">
        <v>0.87139299999999997</v>
      </c>
      <c r="EI35" s="7">
        <v>0.40413199999999999</v>
      </c>
      <c r="EJ35" s="7">
        <v>0.87024900000000005</v>
      </c>
      <c r="EK35" s="7">
        <v>0.37276100000000001</v>
      </c>
      <c r="EL35" s="7">
        <v>0.85531299999999999</v>
      </c>
      <c r="EM35" s="7">
        <v>0.43607299999999999</v>
      </c>
      <c r="EN35" s="7">
        <v>0.88738300000000003</v>
      </c>
      <c r="EO35" s="7">
        <v>0.45503700000000002</v>
      </c>
      <c r="EP35" s="7">
        <v>0.85816999999999999</v>
      </c>
      <c r="EQ35" s="7">
        <v>0.52872600000000003</v>
      </c>
      <c r="ER35" s="7">
        <v>0.85336000000000001</v>
      </c>
      <c r="ES35" s="7">
        <v>0.52637699999999998</v>
      </c>
      <c r="ET35" s="7">
        <v>0.79490300000000003</v>
      </c>
      <c r="EU35" s="7">
        <v>0.43538500000000002</v>
      </c>
      <c r="EV35" s="7">
        <v>0.87970099999999996</v>
      </c>
      <c r="EW35" s="7">
        <v>0.64585499999999996</v>
      </c>
      <c r="EX35" s="7">
        <v>0.80179</v>
      </c>
      <c r="EY35" s="7">
        <v>0.41879100000000002</v>
      </c>
      <c r="EZ35" s="7">
        <v>0.89388100000000004</v>
      </c>
      <c r="FA35" s="7">
        <v>0.39421</v>
      </c>
      <c r="FB35" s="7">
        <v>0.87036500000000006</v>
      </c>
      <c r="FC35" s="7">
        <v>0.380027</v>
      </c>
      <c r="FD35" s="7">
        <v>0.87256400000000001</v>
      </c>
      <c r="FE35" s="7">
        <v>0.66748399999999997</v>
      </c>
      <c r="FF35" s="7">
        <v>0.87953300000000001</v>
      </c>
      <c r="FG35" s="7">
        <v>0.50481299999999996</v>
      </c>
      <c r="FH35" s="7">
        <v>0.86347099999999999</v>
      </c>
      <c r="FI35" s="7">
        <v>0.57472999999999996</v>
      </c>
      <c r="FJ35" s="7">
        <v>0.85815699999999995</v>
      </c>
      <c r="FK35" s="7">
        <v>0.50467200000000001</v>
      </c>
      <c r="FL35" s="7">
        <v>0.88316799999999995</v>
      </c>
      <c r="FM35" s="7">
        <v>0.59364499999999998</v>
      </c>
      <c r="FN35" s="7">
        <v>0.87537799999999999</v>
      </c>
      <c r="FO35" s="7">
        <v>0.360626</v>
      </c>
      <c r="FP35" s="7">
        <v>0.86301799999999995</v>
      </c>
      <c r="FQ35" s="7">
        <v>0.57471000000000005</v>
      </c>
      <c r="FR35" s="7">
        <v>0.862124</v>
      </c>
      <c r="FS35" s="7">
        <v>0.57069899999999996</v>
      </c>
      <c r="FT35" s="7">
        <v>0.86204499999999995</v>
      </c>
      <c r="FU35" s="7">
        <v>0.56655699999999998</v>
      </c>
      <c r="FV35" s="7">
        <v>0.760911</v>
      </c>
      <c r="FW35" s="7">
        <v>0.246915</v>
      </c>
      <c r="FX35" s="7">
        <v>0.871089</v>
      </c>
      <c r="FY35" s="7">
        <v>0.68797299999999995</v>
      </c>
      <c r="FZ35" s="7">
        <v>0.85675999999999997</v>
      </c>
      <c r="GA35" s="7">
        <v>0.48597699999999999</v>
      </c>
      <c r="GB35" s="7">
        <v>0.85511599999999999</v>
      </c>
      <c r="GC35" s="7">
        <v>0.54839499999999997</v>
      </c>
      <c r="GD35" s="7">
        <v>0.86355300000000002</v>
      </c>
      <c r="GE35" s="7">
        <v>0.57461799999999996</v>
      </c>
      <c r="GF35" s="7">
        <v>0.85889499999999996</v>
      </c>
      <c r="GG35" s="7">
        <v>0.56745800000000002</v>
      </c>
      <c r="GH35" s="7">
        <v>0.75174399999999997</v>
      </c>
      <c r="GI35" s="7">
        <v>0.28003899999999998</v>
      </c>
      <c r="GJ35" s="7">
        <v>0.89548899999999998</v>
      </c>
      <c r="GK35" s="7">
        <v>0.25927899999999998</v>
      </c>
      <c r="GL35" s="7">
        <v>0.870726</v>
      </c>
      <c r="GM35" s="7">
        <v>0.68027199999999999</v>
      </c>
    </row>
    <row r="36" spans="1:195" x14ac:dyDescent="0.6">
      <c r="A36" s="5">
        <v>34</v>
      </c>
      <c r="B36" s="5">
        <v>25020230</v>
      </c>
      <c r="C36" s="5">
        <v>2015</v>
      </c>
      <c r="D36" s="5">
        <v>150</v>
      </c>
      <c r="E36" s="5">
        <v>39</v>
      </c>
      <c r="F36" s="5">
        <v>105.801</v>
      </c>
      <c r="G36" s="5">
        <v>38.727499999999999</v>
      </c>
      <c r="H36" s="5">
        <v>1.1412899999999999</v>
      </c>
      <c r="I36" s="5">
        <v>150</v>
      </c>
      <c r="J36" s="5">
        <v>25020230</v>
      </c>
      <c r="K36" s="5">
        <v>35</v>
      </c>
      <c r="L36" s="5">
        <v>0.87707100000000005</v>
      </c>
      <c r="M36" s="5">
        <v>4.3006700000000004E-3</v>
      </c>
      <c r="N36" s="5">
        <v>0.87072099999999997</v>
      </c>
      <c r="O36" s="5">
        <v>4.3727000000000002E-3</v>
      </c>
      <c r="P36" s="5">
        <v>0.87375999999999998</v>
      </c>
      <c r="Q36" s="5">
        <v>4.4167700000000004E-3</v>
      </c>
      <c r="R36" s="5">
        <v>0.87620200000000004</v>
      </c>
      <c r="S36" s="5">
        <v>5.3486499999999999E-3</v>
      </c>
      <c r="T36" s="5">
        <v>0.90322599999999997</v>
      </c>
      <c r="U36" s="5">
        <v>4.5390400000000003E-3</v>
      </c>
      <c r="V36" s="5">
        <v>0.87375999999999998</v>
      </c>
      <c r="W36" s="5">
        <v>4.4167700000000004E-3</v>
      </c>
      <c r="X36" s="5">
        <v>0.80744800000000005</v>
      </c>
      <c r="Y36" s="5">
        <v>2.8203099999999999E-3</v>
      </c>
      <c r="Z36" s="5">
        <v>0.88325299999999995</v>
      </c>
      <c r="AA36" s="5">
        <v>4.1196000000000002E-3</v>
      </c>
      <c r="AB36" s="5">
        <v>0.87377400000000005</v>
      </c>
      <c r="AC36" s="5">
        <v>4.4158399999999999E-3</v>
      </c>
      <c r="AD36" s="5">
        <v>0.87474099999999999</v>
      </c>
      <c r="AE36" s="5">
        <v>4.3809599999999997E-3</v>
      </c>
      <c r="AF36" s="5">
        <v>0.88192599999999999</v>
      </c>
      <c r="AG36" s="5">
        <v>3.7935199999999999E-3</v>
      </c>
      <c r="AH36" s="5">
        <v>0.87375999999999998</v>
      </c>
      <c r="AI36" s="5">
        <v>4.4167700000000004E-3</v>
      </c>
      <c r="AJ36" s="5">
        <v>0.80792799999999998</v>
      </c>
      <c r="AK36" s="5">
        <v>2.8251299999999999E-3</v>
      </c>
      <c r="AL36" s="5">
        <v>0.87828600000000001</v>
      </c>
      <c r="AM36" s="5">
        <v>4.0537100000000003E-3</v>
      </c>
      <c r="AN36" s="5">
        <v>0.92256099999999996</v>
      </c>
      <c r="AO36" s="5">
        <v>1.9771200000000002E-3</v>
      </c>
      <c r="AP36" s="5">
        <v>0.80847500000000005</v>
      </c>
      <c r="AQ36" s="5">
        <v>5.5693000000000001E-3</v>
      </c>
      <c r="AR36" s="5">
        <v>0.91572100000000001</v>
      </c>
      <c r="AS36" s="5">
        <v>6.9943899999999996E-3</v>
      </c>
      <c r="AT36" s="5">
        <v>0.88034699999999999</v>
      </c>
      <c r="AU36" s="5">
        <v>3.7640400000000002E-3</v>
      </c>
      <c r="AV36" s="5">
        <v>0.87853700000000001</v>
      </c>
      <c r="AW36" s="5">
        <v>3.4906400000000001E-3</v>
      </c>
      <c r="AX36" s="5">
        <v>0.86504899999999996</v>
      </c>
      <c r="AY36" s="5">
        <v>4.11627E-3</v>
      </c>
      <c r="AZ36" s="5">
        <v>0.89735399999999998</v>
      </c>
      <c r="BA36" s="5">
        <v>4.14504E-3</v>
      </c>
      <c r="BB36" s="5">
        <v>0.87614099999999995</v>
      </c>
      <c r="BC36" s="5">
        <v>4.3281700000000001E-3</v>
      </c>
      <c r="BD36" s="5">
        <v>0.872664</v>
      </c>
      <c r="BE36" s="5">
        <v>4.3424199999999996E-3</v>
      </c>
      <c r="BF36" s="5">
        <v>0.86110900000000001</v>
      </c>
      <c r="BG36" s="5">
        <v>3.9355299999999996E-3</v>
      </c>
      <c r="BH36" s="5">
        <v>0.87406799999999996</v>
      </c>
      <c r="BI36" s="5">
        <v>5.3640500000000004E-3</v>
      </c>
      <c r="BJ36" s="5">
        <v>0.85766100000000001</v>
      </c>
      <c r="BK36" s="5">
        <v>4.1481499999999998E-3</v>
      </c>
      <c r="BL36" s="5">
        <v>0.902536</v>
      </c>
      <c r="BM36" s="5">
        <v>3.60561E-3</v>
      </c>
      <c r="BN36" s="5">
        <v>0.87338400000000005</v>
      </c>
      <c r="BO36" s="5">
        <v>3.28882E-3</v>
      </c>
      <c r="BP36" s="5">
        <v>0.85722600000000004</v>
      </c>
      <c r="BQ36" s="5">
        <v>0.55789800000000001</v>
      </c>
      <c r="BR36" s="5">
        <v>0.89062399999999997</v>
      </c>
      <c r="BS36" s="5">
        <v>4.6219599999999996E-3</v>
      </c>
      <c r="BT36" s="5">
        <v>0.86347200000000002</v>
      </c>
      <c r="BU36" s="5">
        <v>0.57473300000000005</v>
      </c>
      <c r="BV36" s="5">
        <v>0.86937500000000001</v>
      </c>
      <c r="BW36" s="5">
        <v>4.7286400000000001E-3</v>
      </c>
      <c r="BX36" s="5">
        <v>0.88278400000000001</v>
      </c>
      <c r="BY36" s="5">
        <v>3.8591699999999999E-3</v>
      </c>
      <c r="BZ36" s="5">
        <v>0.88337399999999999</v>
      </c>
      <c r="CA36" s="5">
        <v>3.3643800000000001E-3</v>
      </c>
      <c r="CB36" s="5">
        <v>0.86806499999999998</v>
      </c>
      <c r="CC36" s="5">
        <v>4.6448399999999999E-3</v>
      </c>
      <c r="CD36" s="5">
        <v>0.76181399999999999</v>
      </c>
      <c r="CE36" s="5">
        <v>2.5893299999999999E-3</v>
      </c>
      <c r="CF36" s="5">
        <v>0.88002400000000003</v>
      </c>
      <c r="CG36" s="5">
        <v>4.1980300000000002E-3</v>
      </c>
      <c r="CH36" s="5">
        <v>0.87620200000000004</v>
      </c>
      <c r="CI36" s="5">
        <v>5.3486499999999999E-3</v>
      </c>
      <c r="CJ36" s="5">
        <v>0.80744800000000005</v>
      </c>
      <c r="CK36" s="5">
        <v>2.8203099999999999E-3</v>
      </c>
      <c r="CL36" s="5">
        <v>0.87343000000000004</v>
      </c>
      <c r="CM36" s="5">
        <v>4.3156000000000002E-3</v>
      </c>
      <c r="CN36" s="5">
        <v>0.86756200000000006</v>
      </c>
      <c r="CO36" s="5">
        <v>4.5638800000000002E-3</v>
      </c>
      <c r="CP36" s="5">
        <v>0.87471399999999999</v>
      </c>
      <c r="CQ36" s="5">
        <v>4.3815E-3</v>
      </c>
      <c r="CR36" s="5">
        <v>0.86608300000000005</v>
      </c>
      <c r="CS36" s="5">
        <v>4.77058E-3</v>
      </c>
      <c r="CT36" s="5">
        <v>0.86935399999999996</v>
      </c>
      <c r="CU36" s="5">
        <v>5.2507400000000003E-3</v>
      </c>
      <c r="CV36" s="5">
        <v>0.87620200000000004</v>
      </c>
      <c r="CW36" s="5">
        <v>5.3486499999999999E-3</v>
      </c>
      <c r="CX36" s="5">
        <v>0.901227</v>
      </c>
      <c r="CY36" s="5">
        <v>2.4174999999999999E-3</v>
      </c>
      <c r="CZ36" s="5">
        <v>0.86650499999999997</v>
      </c>
      <c r="DA36" s="5">
        <v>4.6769799999999999E-3</v>
      </c>
      <c r="DB36" s="5">
        <v>0.85700699999999996</v>
      </c>
      <c r="DC36" s="5">
        <v>0.53652</v>
      </c>
      <c r="DD36" s="5">
        <v>0.80481800000000003</v>
      </c>
      <c r="DE36" s="5">
        <v>0.55578000000000005</v>
      </c>
      <c r="DF36" s="5">
        <v>0.74239500000000003</v>
      </c>
      <c r="DG36" s="5">
        <v>0.17844399999999999</v>
      </c>
      <c r="DH36" s="5">
        <v>0.86347099999999999</v>
      </c>
      <c r="DI36" s="5">
        <v>0.574735</v>
      </c>
      <c r="DJ36" s="5">
        <v>0.85695399999999999</v>
      </c>
      <c r="DK36" s="5">
        <v>0.63498100000000002</v>
      </c>
      <c r="DL36" s="5">
        <v>0.861344</v>
      </c>
      <c r="DM36" s="5">
        <v>0.55130000000000001</v>
      </c>
      <c r="DN36" s="5">
        <v>0.760911</v>
      </c>
      <c r="DO36" s="5">
        <v>0.246915</v>
      </c>
      <c r="DP36" s="5">
        <v>0.86347099999999999</v>
      </c>
      <c r="DQ36" s="5">
        <v>0.57473399999999997</v>
      </c>
      <c r="DR36" s="5">
        <v>0.86293399999999998</v>
      </c>
      <c r="DS36" s="5">
        <v>0.57471000000000005</v>
      </c>
      <c r="DT36" s="5">
        <v>0.86424100000000004</v>
      </c>
      <c r="DU36" s="5">
        <v>0.57287699999999997</v>
      </c>
      <c r="DV36" s="5">
        <v>0.86854600000000004</v>
      </c>
      <c r="DW36" s="5">
        <v>0.53903599999999996</v>
      </c>
      <c r="DX36" s="5">
        <v>0.82389500000000004</v>
      </c>
      <c r="DY36" s="5">
        <v>0.42069000000000001</v>
      </c>
      <c r="DZ36" s="5">
        <v>0.88280499999999995</v>
      </c>
      <c r="EA36" s="5">
        <v>0.58011500000000005</v>
      </c>
      <c r="EB36" s="5">
        <v>0.91784299999999996</v>
      </c>
      <c r="EC36" s="5">
        <v>0.214342</v>
      </c>
      <c r="ED36" s="5">
        <v>0.86281200000000002</v>
      </c>
      <c r="EE36" s="5">
        <v>0.73309199999999997</v>
      </c>
      <c r="EF36" s="5">
        <v>0.89872700000000005</v>
      </c>
      <c r="EG36" s="5">
        <v>0.78129000000000004</v>
      </c>
      <c r="EH36" s="5">
        <v>0.87139299999999997</v>
      </c>
      <c r="EI36" s="5">
        <v>0.40413199999999999</v>
      </c>
      <c r="EJ36" s="5">
        <v>0.87024900000000005</v>
      </c>
      <c r="EK36" s="5">
        <v>0.37276100000000001</v>
      </c>
      <c r="EL36" s="5">
        <v>0.85531299999999999</v>
      </c>
      <c r="EM36" s="5">
        <v>0.43607299999999999</v>
      </c>
      <c r="EN36" s="5">
        <v>0.88738300000000003</v>
      </c>
      <c r="EO36" s="5">
        <v>0.45503700000000002</v>
      </c>
      <c r="EP36" s="5">
        <v>0.85816999999999999</v>
      </c>
      <c r="EQ36" s="5">
        <v>0.52872600000000003</v>
      </c>
      <c r="ER36" s="5">
        <v>0.85336000000000001</v>
      </c>
      <c r="ES36" s="5">
        <v>0.52637699999999998</v>
      </c>
      <c r="ET36" s="5">
        <v>0.79490300000000003</v>
      </c>
      <c r="EU36" s="5">
        <v>0.43538500000000002</v>
      </c>
      <c r="EV36" s="5">
        <v>0.87970099999999996</v>
      </c>
      <c r="EW36" s="5">
        <v>0.64585499999999996</v>
      </c>
      <c r="EX36" s="5">
        <v>0.80179</v>
      </c>
      <c r="EY36" s="5">
        <v>0.41879100000000002</v>
      </c>
      <c r="EZ36" s="5">
        <v>0.89388100000000004</v>
      </c>
      <c r="FA36" s="5">
        <v>0.39421</v>
      </c>
      <c r="FB36" s="5">
        <v>0.87036500000000006</v>
      </c>
      <c r="FC36" s="5">
        <v>0.380027</v>
      </c>
      <c r="FD36" s="5">
        <v>0.87256400000000001</v>
      </c>
      <c r="FE36" s="5">
        <v>0.66748399999999997</v>
      </c>
      <c r="FF36" s="5">
        <v>0.87953300000000001</v>
      </c>
      <c r="FG36" s="5">
        <v>0.50481299999999996</v>
      </c>
      <c r="FH36" s="5">
        <v>0.86347099999999999</v>
      </c>
      <c r="FI36" s="5">
        <v>0.57472999999999996</v>
      </c>
      <c r="FJ36" s="5">
        <v>0.85815699999999995</v>
      </c>
      <c r="FK36" s="5">
        <v>0.50467200000000001</v>
      </c>
      <c r="FL36" s="5">
        <v>0.88316799999999995</v>
      </c>
      <c r="FM36" s="5">
        <v>0.59364499999999998</v>
      </c>
      <c r="FN36" s="5">
        <v>0.87537799999999999</v>
      </c>
      <c r="FO36" s="5">
        <v>0.360626</v>
      </c>
      <c r="FP36" s="5">
        <v>0.86301799999999995</v>
      </c>
      <c r="FQ36" s="5">
        <v>0.57471000000000005</v>
      </c>
      <c r="FR36" s="5">
        <v>0.862124</v>
      </c>
      <c r="FS36" s="5">
        <v>0.57069899999999996</v>
      </c>
      <c r="FT36" s="5">
        <v>0.86204499999999995</v>
      </c>
      <c r="FU36" s="5">
        <v>0.56655699999999998</v>
      </c>
      <c r="FV36" s="5">
        <v>0.760911</v>
      </c>
      <c r="FW36" s="5">
        <v>0.246915</v>
      </c>
      <c r="FX36" s="5">
        <v>0.871089</v>
      </c>
      <c r="FY36" s="5">
        <v>0.68797299999999995</v>
      </c>
      <c r="FZ36" s="5">
        <v>0.85675999999999997</v>
      </c>
      <c r="GA36" s="5">
        <v>0.48597699999999999</v>
      </c>
      <c r="GB36" s="5">
        <v>0.85511599999999999</v>
      </c>
      <c r="GC36" s="5">
        <v>0.54839499999999997</v>
      </c>
      <c r="GD36" s="5">
        <v>0.86355300000000002</v>
      </c>
      <c r="GE36" s="5">
        <v>0.57461799999999996</v>
      </c>
      <c r="GF36" s="5">
        <v>0.85889499999999996</v>
      </c>
      <c r="GG36" s="5">
        <v>0.56745800000000002</v>
      </c>
      <c r="GH36" s="5">
        <v>0.75174399999999997</v>
      </c>
      <c r="GI36" s="5">
        <v>0.28003899999999998</v>
      </c>
      <c r="GJ36" s="5">
        <v>0.89548899999999998</v>
      </c>
      <c r="GK36" s="5">
        <v>0.25927899999999998</v>
      </c>
      <c r="GL36" s="5">
        <v>0.870726</v>
      </c>
      <c r="GM36" s="5">
        <v>0.68027199999999999</v>
      </c>
    </row>
    <row r="37" spans="1:195" x14ac:dyDescent="0.6">
      <c r="A37" s="7">
        <v>35</v>
      </c>
      <c r="B37" s="7">
        <v>25020230</v>
      </c>
      <c r="C37" s="7">
        <v>2009</v>
      </c>
      <c r="D37" s="7">
        <v>150</v>
      </c>
      <c r="E37" s="7">
        <v>39</v>
      </c>
      <c r="F37" s="7">
        <v>105.801</v>
      </c>
      <c r="G37" s="7">
        <v>38.727499999999999</v>
      </c>
      <c r="H37" s="7">
        <v>1.1412899999999999</v>
      </c>
      <c r="I37" s="7">
        <v>150</v>
      </c>
      <c r="J37" s="7">
        <v>25020230</v>
      </c>
      <c r="K37" s="7">
        <v>36</v>
      </c>
      <c r="L37" s="7">
        <v>0.87707100000000005</v>
      </c>
      <c r="M37" s="7">
        <v>4.3006700000000004E-3</v>
      </c>
      <c r="N37" s="7">
        <v>0.87072099999999997</v>
      </c>
      <c r="O37" s="7">
        <v>4.3727000000000002E-3</v>
      </c>
      <c r="P37" s="7">
        <v>0.87375999999999998</v>
      </c>
      <c r="Q37" s="7">
        <v>4.4167700000000004E-3</v>
      </c>
      <c r="R37" s="7">
        <v>0.87620200000000004</v>
      </c>
      <c r="S37" s="7">
        <v>5.3486499999999999E-3</v>
      </c>
      <c r="T37" s="7">
        <v>0.90322599999999997</v>
      </c>
      <c r="U37" s="7">
        <v>4.5390400000000003E-3</v>
      </c>
      <c r="V37" s="7">
        <v>0.87375999999999998</v>
      </c>
      <c r="W37" s="7">
        <v>4.4167700000000004E-3</v>
      </c>
      <c r="X37" s="7">
        <v>0.80744800000000005</v>
      </c>
      <c r="Y37" s="7">
        <v>2.8203099999999999E-3</v>
      </c>
      <c r="Z37" s="7">
        <v>0.88325299999999995</v>
      </c>
      <c r="AA37" s="7">
        <v>4.1196000000000002E-3</v>
      </c>
      <c r="AB37" s="7">
        <v>0.87377400000000005</v>
      </c>
      <c r="AC37" s="7">
        <v>4.4158399999999999E-3</v>
      </c>
      <c r="AD37" s="7">
        <v>0.87474099999999999</v>
      </c>
      <c r="AE37" s="7">
        <v>4.3809599999999997E-3</v>
      </c>
      <c r="AF37" s="7">
        <v>0.88192599999999999</v>
      </c>
      <c r="AG37" s="7">
        <v>3.7935199999999999E-3</v>
      </c>
      <c r="AH37" s="7">
        <v>0.87375999999999998</v>
      </c>
      <c r="AI37" s="7">
        <v>4.4167700000000004E-3</v>
      </c>
      <c r="AJ37" s="7">
        <v>0.80792799999999998</v>
      </c>
      <c r="AK37" s="7">
        <v>2.8251299999999999E-3</v>
      </c>
      <c r="AL37" s="7">
        <v>0.87828600000000001</v>
      </c>
      <c r="AM37" s="7">
        <v>4.0537100000000003E-3</v>
      </c>
      <c r="AN37" s="7">
        <v>0.92256099999999996</v>
      </c>
      <c r="AO37" s="7">
        <v>1.9771200000000002E-3</v>
      </c>
      <c r="AP37" s="7">
        <v>0.80847500000000005</v>
      </c>
      <c r="AQ37" s="7">
        <v>5.5693000000000001E-3</v>
      </c>
      <c r="AR37" s="7">
        <v>0.91572100000000001</v>
      </c>
      <c r="AS37" s="7">
        <v>6.9943899999999996E-3</v>
      </c>
      <c r="AT37" s="7">
        <v>0.88034699999999999</v>
      </c>
      <c r="AU37" s="7">
        <v>3.7640400000000002E-3</v>
      </c>
      <c r="AV37" s="7">
        <v>0.87853700000000001</v>
      </c>
      <c r="AW37" s="7">
        <v>3.4906400000000001E-3</v>
      </c>
      <c r="AX37" s="7">
        <v>0.86504899999999996</v>
      </c>
      <c r="AY37" s="7">
        <v>4.11627E-3</v>
      </c>
      <c r="AZ37" s="7">
        <v>0.89735399999999998</v>
      </c>
      <c r="BA37" s="7">
        <v>4.14504E-3</v>
      </c>
      <c r="BB37" s="7">
        <v>0.87614099999999995</v>
      </c>
      <c r="BC37" s="7">
        <v>4.3281700000000001E-3</v>
      </c>
      <c r="BD37" s="7">
        <v>0.872664</v>
      </c>
      <c r="BE37" s="7">
        <v>4.3424199999999996E-3</v>
      </c>
      <c r="BF37" s="7">
        <v>0.86110900000000001</v>
      </c>
      <c r="BG37" s="7">
        <v>3.9355299999999996E-3</v>
      </c>
      <c r="BH37" s="7">
        <v>0.87406799999999996</v>
      </c>
      <c r="BI37" s="7">
        <v>5.3640500000000004E-3</v>
      </c>
      <c r="BJ37" s="7">
        <v>0.85766100000000001</v>
      </c>
      <c r="BK37" s="7">
        <v>4.1481499999999998E-3</v>
      </c>
      <c r="BL37" s="7">
        <v>0.902536</v>
      </c>
      <c r="BM37" s="7">
        <v>3.60561E-3</v>
      </c>
      <c r="BN37" s="7">
        <v>0.87338400000000005</v>
      </c>
      <c r="BO37" s="7">
        <v>3.28882E-3</v>
      </c>
      <c r="BP37" s="7">
        <v>0.85722600000000004</v>
      </c>
      <c r="BQ37" s="7">
        <v>0.55789800000000001</v>
      </c>
      <c r="BR37" s="7">
        <v>0.89062399999999997</v>
      </c>
      <c r="BS37" s="7">
        <v>4.6219599999999996E-3</v>
      </c>
      <c r="BT37" s="7">
        <v>0.86347200000000002</v>
      </c>
      <c r="BU37" s="7">
        <v>0.57473300000000005</v>
      </c>
      <c r="BV37" s="7">
        <v>0.86937500000000001</v>
      </c>
      <c r="BW37" s="7">
        <v>4.7286400000000001E-3</v>
      </c>
      <c r="BX37" s="7">
        <v>0.88278400000000001</v>
      </c>
      <c r="BY37" s="7">
        <v>3.8591699999999999E-3</v>
      </c>
      <c r="BZ37" s="7">
        <v>0.88337399999999999</v>
      </c>
      <c r="CA37" s="7">
        <v>3.3643800000000001E-3</v>
      </c>
      <c r="CB37" s="7">
        <v>0.86806499999999998</v>
      </c>
      <c r="CC37" s="7">
        <v>4.6448399999999999E-3</v>
      </c>
      <c r="CD37" s="7">
        <v>0.76181399999999999</v>
      </c>
      <c r="CE37" s="7">
        <v>2.5893299999999999E-3</v>
      </c>
      <c r="CF37" s="7">
        <v>0.88002400000000003</v>
      </c>
      <c r="CG37" s="7">
        <v>4.1980300000000002E-3</v>
      </c>
      <c r="CH37" s="7">
        <v>0.87620200000000004</v>
      </c>
      <c r="CI37" s="7">
        <v>5.3486499999999999E-3</v>
      </c>
      <c r="CJ37" s="7">
        <v>0.80744800000000005</v>
      </c>
      <c r="CK37" s="7">
        <v>2.8203099999999999E-3</v>
      </c>
      <c r="CL37" s="7">
        <v>0.87343000000000004</v>
      </c>
      <c r="CM37" s="7">
        <v>4.3156000000000002E-3</v>
      </c>
      <c r="CN37" s="7">
        <v>0.86756200000000006</v>
      </c>
      <c r="CO37" s="7">
        <v>4.5638800000000002E-3</v>
      </c>
      <c r="CP37" s="7">
        <v>0.87471399999999999</v>
      </c>
      <c r="CQ37" s="7">
        <v>4.3815E-3</v>
      </c>
      <c r="CR37" s="7">
        <v>0.86608300000000005</v>
      </c>
      <c r="CS37" s="7">
        <v>4.77058E-3</v>
      </c>
      <c r="CT37" s="7">
        <v>0.86935399999999996</v>
      </c>
      <c r="CU37" s="7">
        <v>5.2507400000000003E-3</v>
      </c>
      <c r="CV37" s="7">
        <v>0.87620200000000004</v>
      </c>
      <c r="CW37" s="7">
        <v>5.3486499999999999E-3</v>
      </c>
      <c r="CX37" s="7">
        <v>0.901227</v>
      </c>
      <c r="CY37" s="7">
        <v>2.4174999999999999E-3</v>
      </c>
      <c r="CZ37" s="7">
        <v>0.86650499999999997</v>
      </c>
      <c r="DA37" s="7">
        <v>4.6769799999999999E-3</v>
      </c>
      <c r="DB37" s="7">
        <v>0.85700699999999996</v>
      </c>
      <c r="DC37" s="7">
        <v>0.53652</v>
      </c>
      <c r="DD37" s="7">
        <v>0.80481800000000003</v>
      </c>
      <c r="DE37" s="7">
        <v>0.55578000000000005</v>
      </c>
      <c r="DF37" s="7">
        <v>0.74239500000000003</v>
      </c>
      <c r="DG37" s="7">
        <v>0.17844399999999999</v>
      </c>
      <c r="DH37" s="7">
        <v>0.86347099999999999</v>
      </c>
      <c r="DI37" s="7">
        <v>0.574735</v>
      </c>
      <c r="DJ37" s="7">
        <v>0.85695399999999999</v>
      </c>
      <c r="DK37" s="7">
        <v>0.63498100000000002</v>
      </c>
      <c r="DL37" s="7">
        <v>0.861344</v>
      </c>
      <c r="DM37" s="7">
        <v>0.55130000000000001</v>
      </c>
      <c r="DN37" s="7">
        <v>0.760911</v>
      </c>
      <c r="DO37" s="7">
        <v>0.246915</v>
      </c>
      <c r="DP37" s="7">
        <v>0.86347099999999999</v>
      </c>
      <c r="DQ37" s="7">
        <v>0.57473399999999997</v>
      </c>
      <c r="DR37" s="7">
        <v>0.86293399999999998</v>
      </c>
      <c r="DS37" s="7">
        <v>0.57471000000000005</v>
      </c>
      <c r="DT37" s="7">
        <v>0.86424100000000004</v>
      </c>
      <c r="DU37" s="7">
        <v>0.57287699999999997</v>
      </c>
      <c r="DV37" s="7">
        <v>0.86854600000000004</v>
      </c>
      <c r="DW37" s="7">
        <v>0.53903599999999996</v>
      </c>
      <c r="DX37" s="7">
        <v>0.82389500000000004</v>
      </c>
      <c r="DY37" s="7">
        <v>0.42069000000000001</v>
      </c>
      <c r="DZ37" s="7">
        <v>0.88280499999999995</v>
      </c>
      <c r="EA37" s="7">
        <v>0.58011500000000005</v>
      </c>
      <c r="EB37" s="7">
        <v>0.91784299999999996</v>
      </c>
      <c r="EC37" s="7">
        <v>0.214342</v>
      </c>
      <c r="ED37" s="7">
        <v>0.86281200000000002</v>
      </c>
      <c r="EE37" s="7">
        <v>0.73309199999999997</v>
      </c>
      <c r="EF37" s="7">
        <v>0.89872700000000005</v>
      </c>
      <c r="EG37" s="7">
        <v>0.78129000000000004</v>
      </c>
      <c r="EH37" s="7">
        <v>0.87139299999999997</v>
      </c>
      <c r="EI37" s="7">
        <v>0.40413199999999999</v>
      </c>
      <c r="EJ37" s="7">
        <v>0.87024900000000005</v>
      </c>
      <c r="EK37" s="7">
        <v>0.37276100000000001</v>
      </c>
      <c r="EL37" s="7">
        <v>0.85531299999999999</v>
      </c>
      <c r="EM37" s="7">
        <v>0.43607299999999999</v>
      </c>
      <c r="EN37" s="7">
        <v>0.88738300000000003</v>
      </c>
      <c r="EO37" s="7">
        <v>0.45503700000000002</v>
      </c>
      <c r="EP37" s="7">
        <v>0.85816999999999999</v>
      </c>
      <c r="EQ37" s="7">
        <v>0.52872600000000003</v>
      </c>
      <c r="ER37" s="7">
        <v>0.85336000000000001</v>
      </c>
      <c r="ES37" s="7">
        <v>0.52637699999999998</v>
      </c>
      <c r="ET37" s="7">
        <v>0.79490300000000003</v>
      </c>
      <c r="EU37" s="7">
        <v>0.43538500000000002</v>
      </c>
      <c r="EV37" s="7">
        <v>0.87970099999999996</v>
      </c>
      <c r="EW37" s="7">
        <v>0.64585499999999996</v>
      </c>
      <c r="EX37" s="7">
        <v>0.80179</v>
      </c>
      <c r="EY37" s="7">
        <v>0.41879100000000002</v>
      </c>
      <c r="EZ37" s="7">
        <v>0.89388100000000004</v>
      </c>
      <c r="FA37" s="7">
        <v>0.39421</v>
      </c>
      <c r="FB37" s="7">
        <v>0.87036500000000006</v>
      </c>
      <c r="FC37" s="7">
        <v>0.380027</v>
      </c>
      <c r="FD37" s="7">
        <v>0.87256400000000001</v>
      </c>
      <c r="FE37" s="7">
        <v>0.66748399999999997</v>
      </c>
      <c r="FF37" s="7">
        <v>0.87953300000000001</v>
      </c>
      <c r="FG37" s="7">
        <v>0.50481299999999996</v>
      </c>
      <c r="FH37" s="7">
        <v>0.86347099999999999</v>
      </c>
      <c r="FI37" s="7">
        <v>0.57472999999999996</v>
      </c>
      <c r="FJ37" s="7">
        <v>0.85815699999999995</v>
      </c>
      <c r="FK37" s="7">
        <v>0.50467200000000001</v>
      </c>
      <c r="FL37" s="7">
        <v>0.88316799999999995</v>
      </c>
      <c r="FM37" s="7">
        <v>0.59364499999999998</v>
      </c>
      <c r="FN37" s="7">
        <v>0.87537799999999999</v>
      </c>
      <c r="FO37" s="7">
        <v>0.360626</v>
      </c>
      <c r="FP37" s="7">
        <v>0.86301799999999995</v>
      </c>
      <c r="FQ37" s="7">
        <v>0.57471000000000005</v>
      </c>
      <c r="FR37" s="7">
        <v>0.862124</v>
      </c>
      <c r="FS37" s="7">
        <v>0.57069899999999996</v>
      </c>
      <c r="FT37" s="7">
        <v>0.86204499999999995</v>
      </c>
      <c r="FU37" s="7">
        <v>0.56655699999999998</v>
      </c>
      <c r="FV37" s="7">
        <v>0.760911</v>
      </c>
      <c r="FW37" s="7">
        <v>0.246915</v>
      </c>
      <c r="FX37" s="7">
        <v>0.871089</v>
      </c>
      <c r="FY37" s="7">
        <v>0.68797299999999995</v>
      </c>
      <c r="FZ37" s="7">
        <v>0.85675999999999997</v>
      </c>
      <c r="GA37" s="7">
        <v>0.48597699999999999</v>
      </c>
      <c r="GB37" s="7">
        <v>0.85511599999999999</v>
      </c>
      <c r="GC37" s="7">
        <v>0.54839499999999997</v>
      </c>
      <c r="GD37" s="7">
        <v>0.86355300000000002</v>
      </c>
      <c r="GE37" s="7">
        <v>0.57461799999999996</v>
      </c>
      <c r="GF37" s="7">
        <v>0.85889499999999996</v>
      </c>
      <c r="GG37" s="7">
        <v>0.56745800000000002</v>
      </c>
      <c r="GH37" s="7">
        <v>0.75174399999999997</v>
      </c>
      <c r="GI37" s="7">
        <v>0.28003899999999998</v>
      </c>
      <c r="GJ37" s="7">
        <v>0.89548899999999998</v>
      </c>
      <c r="GK37" s="7">
        <v>0.25927899999999998</v>
      </c>
      <c r="GL37" s="7">
        <v>0.870726</v>
      </c>
      <c r="GM37" s="7">
        <v>0.68027199999999999</v>
      </c>
    </row>
    <row r="38" spans="1:195" x14ac:dyDescent="0.6">
      <c r="A38" s="5">
        <v>36</v>
      </c>
      <c r="B38" s="5">
        <v>25020230</v>
      </c>
      <c r="C38" s="5">
        <v>1984</v>
      </c>
      <c r="D38" s="5">
        <v>155</v>
      </c>
      <c r="E38" s="5">
        <v>39</v>
      </c>
      <c r="F38" s="5">
        <v>105.801</v>
      </c>
      <c r="G38" s="5">
        <v>38.727499999999999</v>
      </c>
      <c r="H38" s="5">
        <v>1.2704</v>
      </c>
      <c r="I38" s="5">
        <v>155</v>
      </c>
      <c r="J38" s="5">
        <v>25020230</v>
      </c>
      <c r="K38" s="5">
        <v>37</v>
      </c>
      <c r="L38" s="5">
        <v>0.897034</v>
      </c>
      <c r="M38" s="5">
        <v>3.6949800000000001E-3</v>
      </c>
      <c r="N38" s="5">
        <v>0.89111799999999997</v>
      </c>
      <c r="O38" s="5">
        <v>3.79481E-3</v>
      </c>
      <c r="P38" s="5">
        <v>0.89432400000000001</v>
      </c>
      <c r="Q38" s="5">
        <v>3.8181700000000001E-3</v>
      </c>
      <c r="R38" s="5">
        <v>0.90095400000000003</v>
      </c>
      <c r="S38" s="5">
        <v>4.5588199999999999E-3</v>
      </c>
      <c r="T38" s="5">
        <v>0.923647</v>
      </c>
      <c r="U38" s="5">
        <v>3.6551700000000001E-3</v>
      </c>
      <c r="V38" s="5">
        <v>0.89432400000000001</v>
      </c>
      <c r="W38" s="5">
        <v>3.8181700000000001E-3</v>
      </c>
      <c r="X38" s="5">
        <v>0.82104500000000002</v>
      </c>
      <c r="Y38" s="5">
        <v>2.62115E-3</v>
      </c>
      <c r="Z38" s="5">
        <v>0.90223399999999998</v>
      </c>
      <c r="AA38" s="5">
        <v>3.4871500000000001E-3</v>
      </c>
      <c r="AB38" s="5">
        <v>0.89433399999999996</v>
      </c>
      <c r="AC38" s="5">
        <v>3.8172700000000002E-3</v>
      </c>
      <c r="AD38" s="5">
        <v>0.89512199999999997</v>
      </c>
      <c r="AE38" s="5">
        <v>3.7809200000000001E-3</v>
      </c>
      <c r="AF38" s="5">
        <v>0.89941599999999999</v>
      </c>
      <c r="AG38" s="5">
        <v>3.2171299999999999E-3</v>
      </c>
      <c r="AH38" s="5">
        <v>0.89432400000000001</v>
      </c>
      <c r="AI38" s="5">
        <v>3.8181700000000001E-3</v>
      </c>
      <c r="AJ38" s="5">
        <v>0.82154700000000003</v>
      </c>
      <c r="AK38" s="5">
        <v>2.62481E-3</v>
      </c>
      <c r="AL38" s="5">
        <v>0.89707899999999996</v>
      </c>
      <c r="AM38" s="5">
        <v>3.4755300000000001E-3</v>
      </c>
      <c r="AN38" s="5">
        <v>0.93168300000000004</v>
      </c>
      <c r="AO38" s="5">
        <v>1.68159E-3</v>
      </c>
      <c r="AP38" s="5">
        <v>0.83524699999999996</v>
      </c>
      <c r="AQ38" s="5">
        <v>5.1360399999999997E-3</v>
      </c>
      <c r="AR38" s="5">
        <v>0.946357</v>
      </c>
      <c r="AS38" s="5">
        <v>5.26495E-3</v>
      </c>
      <c r="AT38" s="5">
        <v>0.897845</v>
      </c>
      <c r="AU38" s="5">
        <v>3.2459899999999998E-3</v>
      </c>
      <c r="AV38" s="5">
        <v>0.89486200000000005</v>
      </c>
      <c r="AW38" s="5">
        <v>3.0477600000000001E-3</v>
      </c>
      <c r="AX38" s="5">
        <v>0.88444400000000001</v>
      </c>
      <c r="AY38" s="5">
        <v>3.6472599999999998E-3</v>
      </c>
      <c r="AZ38" s="5">
        <v>0.91617400000000004</v>
      </c>
      <c r="BA38" s="5">
        <v>3.40479E-3</v>
      </c>
      <c r="BB38" s="5">
        <v>0.89624999999999999</v>
      </c>
      <c r="BC38" s="5">
        <v>3.7254499999999999E-3</v>
      </c>
      <c r="BD38" s="5">
        <v>0.89289099999999999</v>
      </c>
      <c r="BE38" s="5">
        <v>3.7574599999999998E-3</v>
      </c>
      <c r="BF38" s="5">
        <v>0.87955099999999997</v>
      </c>
      <c r="BG38" s="5">
        <v>3.4501499999999999E-3</v>
      </c>
      <c r="BH38" s="5">
        <v>0.89892399999999995</v>
      </c>
      <c r="BI38" s="5">
        <v>4.5850600000000002E-3</v>
      </c>
      <c r="BJ38" s="5">
        <v>0.87721300000000002</v>
      </c>
      <c r="BK38" s="5">
        <v>3.6785699999999999E-3</v>
      </c>
      <c r="BL38" s="5">
        <v>0.91899500000000001</v>
      </c>
      <c r="BM38" s="5">
        <v>2.99672E-3</v>
      </c>
      <c r="BN38" s="5">
        <v>0.88880499999999996</v>
      </c>
      <c r="BO38" s="5">
        <v>2.8882600000000001E-3</v>
      </c>
      <c r="BP38" s="5">
        <v>0.87470599999999998</v>
      </c>
      <c r="BQ38" s="5">
        <v>0.50848599999999999</v>
      </c>
      <c r="BR38" s="5">
        <v>0.91168400000000005</v>
      </c>
      <c r="BS38" s="5">
        <v>3.8202800000000001E-3</v>
      </c>
      <c r="BT38" s="5">
        <v>0.88143300000000002</v>
      </c>
      <c r="BU38" s="5">
        <v>0.52102199999999999</v>
      </c>
      <c r="BV38" s="5">
        <v>0.891455</v>
      </c>
      <c r="BW38" s="5">
        <v>4.1101699999999998E-3</v>
      </c>
      <c r="BX38" s="5">
        <v>0.90052600000000005</v>
      </c>
      <c r="BY38" s="5">
        <v>3.2531700000000001E-3</v>
      </c>
      <c r="BZ38" s="5">
        <v>0.89905299999999999</v>
      </c>
      <c r="CA38" s="5">
        <v>2.9173599999999999E-3</v>
      </c>
      <c r="CB38" s="5">
        <v>0.88978900000000005</v>
      </c>
      <c r="CC38" s="5">
        <v>4.0515799999999999E-3</v>
      </c>
      <c r="CD38" s="5">
        <v>0.77441000000000004</v>
      </c>
      <c r="CE38" s="5">
        <v>2.4502199999999999E-3</v>
      </c>
      <c r="CF38" s="5">
        <v>0.89945799999999998</v>
      </c>
      <c r="CG38" s="5">
        <v>3.58728E-3</v>
      </c>
      <c r="CH38" s="5">
        <v>0.90095400000000003</v>
      </c>
      <c r="CI38" s="5">
        <v>4.5588199999999999E-3</v>
      </c>
      <c r="CJ38" s="5">
        <v>0.82104500000000002</v>
      </c>
      <c r="CK38" s="5">
        <v>2.62115E-3</v>
      </c>
      <c r="CL38" s="5">
        <v>0.89354100000000003</v>
      </c>
      <c r="CM38" s="5">
        <v>3.73763E-3</v>
      </c>
      <c r="CN38" s="5">
        <v>0.88893200000000006</v>
      </c>
      <c r="CO38" s="5">
        <v>3.9905599999999998E-3</v>
      </c>
      <c r="CP38" s="5">
        <v>0.89509799999999995</v>
      </c>
      <c r="CQ38" s="5">
        <v>3.7815700000000002E-3</v>
      </c>
      <c r="CR38" s="5">
        <v>0.88842699999999997</v>
      </c>
      <c r="CS38" s="5">
        <v>4.1723000000000003E-3</v>
      </c>
      <c r="CT38" s="5">
        <v>0.89369100000000001</v>
      </c>
      <c r="CU38" s="5">
        <v>4.4920699999999999E-3</v>
      </c>
      <c r="CV38" s="5">
        <v>0.90095400000000003</v>
      </c>
      <c r="CW38" s="5">
        <v>4.5588199999999999E-3</v>
      </c>
      <c r="CX38" s="5">
        <v>0.91249999999999998</v>
      </c>
      <c r="CY38" s="5">
        <v>2.1006800000000002E-3</v>
      </c>
      <c r="CZ38" s="5">
        <v>0.88840799999999998</v>
      </c>
      <c r="DA38" s="5">
        <v>4.0903199999999997E-3</v>
      </c>
      <c r="DB38" s="5">
        <v>0.87383100000000002</v>
      </c>
      <c r="DC38" s="5">
        <v>0.48987799999999998</v>
      </c>
      <c r="DD38" s="5">
        <v>0.82249499999999998</v>
      </c>
      <c r="DE38" s="5">
        <v>0.52241199999999999</v>
      </c>
      <c r="DF38" s="5">
        <v>0.74816700000000003</v>
      </c>
      <c r="DG38" s="5">
        <v>0.17364199999999999</v>
      </c>
      <c r="DH38" s="5">
        <v>0.88143300000000002</v>
      </c>
      <c r="DI38" s="5">
        <v>0.52102400000000004</v>
      </c>
      <c r="DJ38" s="5">
        <v>0.87649900000000003</v>
      </c>
      <c r="DK38" s="5">
        <v>0.55826500000000001</v>
      </c>
      <c r="DL38" s="5">
        <v>0.87860000000000005</v>
      </c>
      <c r="DM38" s="5">
        <v>0.50144599999999995</v>
      </c>
      <c r="DN38" s="5">
        <v>0.768872</v>
      </c>
      <c r="DO38" s="5">
        <v>0.23869399999999999</v>
      </c>
      <c r="DP38" s="5">
        <v>0.88143300000000002</v>
      </c>
      <c r="DQ38" s="5">
        <v>0.52102300000000001</v>
      </c>
      <c r="DR38" s="5">
        <v>0.88089799999999996</v>
      </c>
      <c r="DS38" s="5">
        <v>0.52119599999999999</v>
      </c>
      <c r="DT38" s="5">
        <v>0.88213900000000001</v>
      </c>
      <c r="DU38" s="5">
        <v>0.51900900000000005</v>
      </c>
      <c r="DV38" s="5">
        <v>0.88523600000000002</v>
      </c>
      <c r="DW38" s="5">
        <v>0.47964299999999999</v>
      </c>
      <c r="DX38" s="5">
        <v>0.83730499999999997</v>
      </c>
      <c r="DY38" s="5">
        <v>0.39732699999999999</v>
      </c>
      <c r="DZ38" s="5">
        <v>0.90058199999999999</v>
      </c>
      <c r="EA38" s="5">
        <v>0.505162</v>
      </c>
      <c r="EB38" s="5">
        <v>0.92449899999999996</v>
      </c>
      <c r="EC38" s="5">
        <v>0.19214800000000001</v>
      </c>
      <c r="ED38" s="5">
        <v>0.88575000000000004</v>
      </c>
      <c r="EE38" s="5">
        <v>0.66525900000000004</v>
      </c>
      <c r="EF38" s="5">
        <v>0.92249400000000004</v>
      </c>
      <c r="EG38" s="5">
        <v>0.66777299999999995</v>
      </c>
      <c r="EH38" s="5">
        <v>0.88402999999999998</v>
      </c>
      <c r="EI38" s="5">
        <v>0.36711300000000002</v>
      </c>
      <c r="EJ38" s="5">
        <v>0.88194899999999998</v>
      </c>
      <c r="EK38" s="5">
        <v>0.34127000000000002</v>
      </c>
      <c r="EL38" s="5">
        <v>0.86907800000000002</v>
      </c>
      <c r="EM38" s="5">
        <v>0.40372599999999997</v>
      </c>
      <c r="EN38" s="5">
        <v>0.90139100000000005</v>
      </c>
      <c r="EO38" s="5">
        <v>0.400395</v>
      </c>
      <c r="EP38" s="5">
        <v>0.87474799999999997</v>
      </c>
      <c r="EQ38" s="5">
        <v>0.48268800000000001</v>
      </c>
      <c r="ER38" s="5">
        <v>0.86989000000000005</v>
      </c>
      <c r="ES38" s="5">
        <v>0.48205300000000001</v>
      </c>
      <c r="ET38" s="5">
        <v>0.80875399999999997</v>
      </c>
      <c r="EU38" s="5">
        <v>0.40963300000000002</v>
      </c>
      <c r="EV38" s="5">
        <v>0.89961999999999998</v>
      </c>
      <c r="EW38" s="5">
        <v>0.56940100000000005</v>
      </c>
      <c r="EX38" s="5">
        <v>0.81515800000000005</v>
      </c>
      <c r="EY38" s="5">
        <v>0.39664100000000002</v>
      </c>
      <c r="EZ38" s="5">
        <v>0.90605100000000005</v>
      </c>
      <c r="FA38" s="5">
        <v>0.34900199999999998</v>
      </c>
      <c r="FB38" s="5">
        <v>0.88224599999999997</v>
      </c>
      <c r="FC38" s="5">
        <v>0.345198</v>
      </c>
      <c r="FD38" s="5">
        <v>0.89330399999999999</v>
      </c>
      <c r="FE38" s="5">
        <v>0.59747300000000003</v>
      </c>
      <c r="FF38" s="5">
        <v>0.89512899999999995</v>
      </c>
      <c r="FG38" s="5">
        <v>0.44724999999999998</v>
      </c>
      <c r="FH38" s="5">
        <v>0.88143300000000002</v>
      </c>
      <c r="FI38" s="5">
        <v>0.52102000000000004</v>
      </c>
      <c r="FJ38" s="5">
        <v>0.87400500000000003</v>
      </c>
      <c r="FK38" s="5">
        <v>0.46217799999999998</v>
      </c>
      <c r="FL38" s="5">
        <v>0.90131700000000003</v>
      </c>
      <c r="FM38" s="5">
        <v>0.51434500000000005</v>
      </c>
      <c r="FN38" s="5">
        <v>0.88666699999999998</v>
      </c>
      <c r="FO38" s="5">
        <v>0.32842700000000002</v>
      </c>
      <c r="FP38" s="5">
        <v>0.88098200000000004</v>
      </c>
      <c r="FQ38" s="5">
        <v>0.52118699999999996</v>
      </c>
      <c r="FR38" s="5">
        <v>0.87997199999999998</v>
      </c>
      <c r="FS38" s="5">
        <v>0.51812100000000005</v>
      </c>
      <c r="FT38" s="5">
        <v>0.87976600000000005</v>
      </c>
      <c r="FU38" s="5">
        <v>0.51456000000000002</v>
      </c>
      <c r="FV38" s="5">
        <v>0.768872</v>
      </c>
      <c r="FW38" s="5">
        <v>0.23869399999999999</v>
      </c>
      <c r="FX38" s="5">
        <v>0.89250399999999996</v>
      </c>
      <c r="FY38" s="5">
        <v>0.61795100000000003</v>
      </c>
      <c r="FZ38" s="5">
        <v>0.87204499999999996</v>
      </c>
      <c r="GA38" s="5">
        <v>0.44654700000000003</v>
      </c>
      <c r="GB38" s="5">
        <v>0.87231000000000003</v>
      </c>
      <c r="GC38" s="5">
        <v>0.50056199999999995</v>
      </c>
      <c r="GD38" s="5">
        <v>0.88151100000000004</v>
      </c>
      <c r="GE38" s="5">
        <v>0.52088999999999996</v>
      </c>
      <c r="GF38" s="5">
        <v>0.87663899999999995</v>
      </c>
      <c r="GG38" s="5">
        <v>0.51507199999999997</v>
      </c>
      <c r="GH38" s="5">
        <v>0.76078199999999996</v>
      </c>
      <c r="GI38" s="5">
        <v>0.27125100000000002</v>
      </c>
      <c r="GJ38" s="5">
        <v>0.90360200000000002</v>
      </c>
      <c r="GK38" s="5">
        <v>0.23600299999999999</v>
      </c>
      <c r="GL38" s="5">
        <v>0.89189499999999999</v>
      </c>
      <c r="GM38" s="5">
        <v>0.61071600000000004</v>
      </c>
    </row>
    <row r="39" spans="1:195" x14ac:dyDescent="0.6">
      <c r="A39" s="7">
        <v>37</v>
      </c>
      <c r="B39" s="7">
        <v>25020230</v>
      </c>
      <c r="C39" s="7">
        <v>2008</v>
      </c>
      <c r="D39" s="7">
        <v>160</v>
      </c>
      <c r="E39" s="7">
        <v>39</v>
      </c>
      <c r="F39" s="7">
        <v>105.801</v>
      </c>
      <c r="G39" s="7">
        <v>38.727499999999999</v>
      </c>
      <c r="H39" s="7">
        <v>1.39951</v>
      </c>
      <c r="I39" s="7">
        <v>160</v>
      </c>
      <c r="J39" s="7">
        <v>25020230</v>
      </c>
      <c r="K39" s="7">
        <v>38</v>
      </c>
      <c r="L39" s="7">
        <v>0.91412599999999999</v>
      </c>
      <c r="M39" s="7">
        <v>3.1523200000000001E-3</v>
      </c>
      <c r="N39" s="7">
        <v>0.90875799999999995</v>
      </c>
      <c r="O39" s="7">
        <v>3.2698100000000002E-3</v>
      </c>
      <c r="P39" s="7">
        <v>0.91203400000000001</v>
      </c>
      <c r="Q39" s="7">
        <v>3.2749300000000001E-3</v>
      </c>
      <c r="R39" s="7">
        <v>0.921875</v>
      </c>
      <c r="S39" s="7">
        <v>3.81972E-3</v>
      </c>
      <c r="T39" s="7">
        <v>0.94002799999999997</v>
      </c>
      <c r="U39" s="7">
        <v>2.9209100000000001E-3</v>
      </c>
      <c r="V39" s="7">
        <v>0.91203400000000001</v>
      </c>
      <c r="W39" s="7">
        <v>3.2749300000000001E-3</v>
      </c>
      <c r="X39" s="7">
        <v>0.83368299999999995</v>
      </c>
      <c r="Y39" s="7">
        <v>2.4360499999999999E-3</v>
      </c>
      <c r="Z39" s="7">
        <v>0.91826300000000005</v>
      </c>
      <c r="AA39" s="7">
        <v>2.9377700000000001E-3</v>
      </c>
      <c r="AB39" s="7">
        <v>0.91203900000000004</v>
      </c>
      <c r="AC39" s="7">
        <v>3.2740999999999998E-3</v>
      </c>
      <c r="AD39" s="7">
        <v>0.91264599999999996</v>
      </c>
      <c r="AE39" s="7">
        <v>3.2384900000000001E-3</v>
      </c>
      <c r="AF39" s="7">
        <v>0.91423500000000002</v>
      </c>
      <c r="AG39" s="7">
        <v>2.7234500000000001E-3</v>
      </c>
      <c r="AH39" s="7">
        <v>0.91203400000000001</v>
      </c>
      <c r="AI39" s="7">
        <v>3.2749300000000001E-3</v>
      </c>
      <c r="AJ39" s="7">
        <v>0.83420000000000005</v>
      </c>
      <c r="AK39" s="7">
        <v>2.4386999999999998E-3</v>
      </c>
      <c r="AL39" s="7">
        <v>0.913157</v>
      </c>
      <c r="AM39" s="7">
        <v>2.9667600000000001E-3</v>
      </c>
      <c r="AN39" s="7">
        <v>0.93946499999999999</v>
      </c>
      <c r="AO39" s="7">
        <v>1.43895E-3</v>
      </c>
      <c r="AP39" s="7">
        <v>0.85980699999999999</v>
      </c>
      <c r="AQ39" s="7">
        <v>4.6853600000000004E-3</v>
      </c>
      <c r="AR39" s="7">
        <v>0.96856100000000001</v>
      </c>
      <c r="AS39" s="7">
        <v>3.6492500000000001E-3</v>
      </c>
      <c r="AT39" s="7">
        <v>0.91291100000000003</v>
      </c>
      <c r="AU39" s="7">
        <v>2.7907499999999998E-3</v>
      </c>
      <c r="AV39" s="7">
        <v>0.90909799999999996</v>
      </c>
      <c r="AW39" s="7">
        <v>2.6548700000000001E-3</v>
      </c>
      <c r="AX39" s="7">
        <v>0.90157699999999996</v>
      </c>
      <c r="AY39" s="7">
        <v>3.2116699999999998E-3</v>
      </c>
      <c r="AZ39" s="7">
        <v>0.93160900000000002</v>
      </c>
      <c r="BA39" s="7">
        <v>2.7886400000000002E-3</v>
      </c>
      <c r="BB39" s="7">
        <v>0.913497</v>
      </c>
      <c r="BC39" s="7">
        <v>3.18366E-3</v>
      </c>
      <c r="BD39" s="7">
        <v>0.91033299999999995</v>
      </c>
      <c r="BE39" s="7">
        <v>3.22866E-3</v>
      </c>
      <c r="BF39" s="7">
        <v>0.89569500000000002</v>
      </c>
      <c r="BG39" s="7">
        <v>3.01557E-3</v>
      </c>
      <c r="BH39" s="7">
        <v>0.91999799999999998</v>
      </c>
      <c r="BI39" s="7">
        <v>3.8539099999999999E-3</v>
      </c>
      <c r="BJ39" s="7">
        <v>0.894509</v>
      </c>
      <c r="BK39" s="7">
        <v>3.24611E-3</v>
      </c>
      <c r="BL39" s="7">
        <v>0.93267500000000003</v>
      </c>
      <c r="BM39" s="7">
        <v>2.49066E-3</v>
      </c>
      <c r="BN39" s="7">
        <v>0.90234800000000004</v>
      </c>
      <c r="BO39" s="7">
        <v>2.5364900000000002E-3</v>
      </c>
      <c r="BP39" s="7">
        <v>0.89010800000000001</v>
      </c>
      <c r="BQ39" s="7">
        <v>0.46205600000000002</v>
      </c>
      <c r="BR39" s="7">
        <v>0.92901199999999995</v>
      </c>
      <c r="BS39" s="7">
        <v>3.1291000000000001E-3</v>
      </c>
      <c r="BT39" s="7">
        <v>0.89716799999999997</v>
      </c>
      <c r="BU39" s="7">
        <v>0.47046700000000002</v>
      </c>
      <c r="BV39" s="7">
        <v>0.910551</v>
      </c>
      <c r="BW39" s="7">
        <v>3.5359100000000002E-3</v>
      </c>
      <c r="BX39" s="7">
        <v>0.915466</v>
      </c>
      <c r="BY39" s="7">
        <v>2.7368100000000001E-3</v>
      </c>
      <c r="BZ39" s="7">
        <v>0.91264299999999998</v>
      </c>
      <c r="CA39" s="7">
        <v>2.5280099999999998E-3</v>
      </c>
      <c r="CB39" s="7">
        <v>0.90865099999999999</v>
      </c>
      <c r="CC39" s="7">
        <v>3.50031E-3</v>
      </c>
      <c r="CD39" s="7">
        <v>0.78632800000000003</v>
      </c>
      <c r="CE39" s="7">
        <v>2.3178000000000001E-3</v>
      </c>
      <c r="CF39" s="7">
        <v>0.91601299999999997</v>
      </c>
      <c r="CG39" s="7">
        <v>3.0464200000000002E-3</v>
      </c>
      <c r="CH39" s="7">
        <v>0.921875</v>
      </c>
      <c r="CI39" s="7">
        <v>3.81972E-3</v>
      </c>
      <c r="CJ39" s="7">
        <v>0.83368299999999995</v>
      </c>
      <c r="CK39" s="7">
        <v>2.4360499999999999E-3</v>
      </c>
      <c r="CL39" s="7">
        <v>0.91089799999999999</v>
      </c>
      <c r="CM39" s="7">
        <v>3.2144000000000001E-3</v>
      </c>
      <c r="CN39" s="7">
        <v>0.90753499999999998</v>
      </c>
      <c r="CO39" s="7">
        <v>3.45795E-3</v>
      </c>
      <c r="CP39" s="7">
        <v>0.91262600000000005</v>
      </c>
      <c r="CQ39" s="7">
        <v>3.2391999999999998E-3</v>
      </c>
      <c r="CR39" s="7">
        <v>0.90786699999999998</v>
      </c>
      <c r="CS39" s="7">
        <v>3.61013E-3</v>
      </c>
      <c r="CT39" s="7">
        <v>0.91436700000000004</v>
      </c>
      <c r="CU39" s="7">
        <v>3.7885499999999999E-3</v>
      </c>
      <c r="CV39" s="7">
        <v>0.921875</v>
      </c>
      <c r="CW39" s="7">
        <v>3.81972E-3</v>
      </c>
      <c r="CX39" s="7">
        <v>0.92231300000000005</v>
      </c>
      <c r="CY39" s="7">
        <v>1.8317400000000001E-3</v>
      </c>
      <c r="CZ39" s="7">
        <v>0.90747199999999995</v>
      </c>
      <c r="DA39" s="7">
        <v>3.5421599999999999E-3</v>
      </c>
      <c r="DB39" s="7">
        <v>0.888687</v>
      </c>
      <c r="DC39" s="7">
        <v>0.446216</v>
      </c>
      <c r="DD39" s="7">
        <v>0.83856799999999998</v>
      </c>
      <c r="DE39" s="7">
        <v>0.49007600000000001</v>
      </c>
      <c r="DF39" s="7">
        <v>0.75360799999999994</v>
      </c>
      <c r="DG39" s="7">
        <v>0.169157</v>
      </c>
      <c r="DH39" s="7">
        <v>0.89716700000000005</v>
      </c>
      <c r="DI39" s="7">
        <v>0.47046900000000003</v>
      </c>
      <c r="DJ39" s="7">
        <v>0.89313100000000001</v>
      </c>
      <c r="DK39" s="7">
        <v>0.49057000000000001</v>
      </c>
      <c r="DL39" s="7">
        <v>0.89377399999999996</v>
      </c>
      <c r="DM39" s="7">
        <v>0.45470500000000003</v>
      </c>
      <c r="DN39" s="7">
        <v>0.77632800000000002</v>
      </c>
      <c r="DO39" s="7">
        <v>0.230994</v>
      </c>
      <c r="DP39" s="7">
        <v>0.89716799999999997</v>
      </c>
      <c r="DQ39" s="7">
        <v>0.47046700000000002</v>
      </c>
      <c r="DR39" s="7">
        <v>0.89664100000000002</v>
      </c>
      <c r="DS39" s="7">
        <v>0.47081800000000001</v>
      </c>
      <c r="DT39" s="7">
        <v>0.89780800000000005</v>
      </c>
      <c r="DU39" s="7">
        <v>0.46837000000000001</v>
      </c>
      <c r="DV39" s="7">
        <v>0.89960700000000005</v>
      </c>
      <c r="DW39" s="7">
        <v>0.42639199999999999</v>
      </c>
      <c r="DX39" s="7">
        <v>0.84956600000000004</v>
      </c>
      <c r="DY39" s="7">
        <v>0.37514199999999998</v>
      </c>
      <c r="DZ39" s="7">
        <v>0.91554599999999997</v>
      </c>
      <c r="EA39" s="7">
        <v>0.43852600000000003</v>
      </c>
      <c r="EB39" s="7">
        <v>0.93029399999999995</v>
      </c>
      <c r="EC39" s="7">
        <v>0.173315</v>
      </c>
      <c r="ED39" s="7">
        <v>0.90578099999999995</v>
      </c>
      <c r="EE39" s="7">
        <v>0.59618300000000002</v>
      </c>
      <c r="EF39" s="7">
        <v>0.94193000000000005</v>
      </c>
      <c r="EG39" s="7">
        <v>0.55679900000000004</v>
      </c>
      <c r="EH39" s="7">
        <v>0.89515299999999998</v>
      </c>
      <c r="EI39" s="7">
        <v>0.33402500000000002</v>
      </c>
      <c r="EJ39" s="7">
        <v>0.89232900000000004</v>
      </c>
      <c r="EK39" s="7">
        <v>0.31297900000000001</v>
      </c>
      <c r="EL39" s="7">
        <v>0.88141599999999998</v>
      </c>
      <c r="EM39" s="7">
        <v>0.37373299999999998</v>
      </c>
      <c r="EN39" s="7">
        <v>0.91333900000000001</v>
      </c>
      <c r="EO39" s="7">
        <v>0.35317199999999999</v>
      </c>
      <c r="EP39" s="7">
        <v>0.88938600000000001</v>
      </c>
      <c r="EQ39" s="7">
        <v>0.43967499999999998</v>
      </c>
      <c r="ER39" s="7">
        <v>0.88453199999999998</v>
      </c>
      <c r="ES39" s="7">
        <v>0.44059700000000002</v>
      </c>
      <c r="ET39" s="7">
        <v>0.82137700000000002</v>
      </c>
      <c r="EU39" s="7">
        <v>0.38567299999999999</v>
      </c>
      <c r="EV39" s="7">
        <v>0.91655200000000003</v>
      </c>
      <c r="EW39" s="7">
        <v>0.49774499999999999</v>
      </c>
      <c r="EX39" s="7">
        <v>0.82741799999999999</v>
      </c>
      <c r="EY39" s="7">
        <v>0.37581100000000001</v>
      </c>
      <c r="EZ39" s="7">
        <v>0.91650299999999996</v>
      </c>
      <c r="FA39" s="7">
        <v>0.31017499999999998</v>
      </c>
      <c r="FB39" s="7">
        <v>0.89271100000000003</v>
      </c>
      <c r="FC39" s="7">
        <v>0.31452000000000002</v>
      </c>
      <c r="FD39" s="7">
        <v>0.91119799999999995</v>
      </c>
      <c r="FE39" s="7">
        <v>0.52995599999999998</v>
      </c>
      <c r="FF39" s="7">
        <v>0.90850399999999998</v>
      </c>
      <c r="FG39" s="7">
        <v>0.39604</v>
      </c>
      <c r="FH39" s="7">
        <v>0.89716700000000005</v>
      </c>
      <c r="FI39" s="7">
        <v>0.47046500000000002</v>
      </c>
      <c r="FJ39" s="7">
        <v>0.888046</v>
      </c>
      <c r="FK39" s="7">
        <v>0.42261399999999999</v>
      </c>
      <c r="FL39" s="7">
        <v>0.91651199999999999</v>
      </c>
      <c r="FM39" s="7">
        <v>0.44398900000000002</v>
      </c>
      <c r="FN39" s="7">
        <v>0.89663499999999996</v>
      </c>
      <c r="FO39" s="7">
        <v>0.29988599999999999</v>
      </c>
      <c r="FP39" s="7">
        <v>0.89672499999999999</v>
      </c>
      <c r="FQ39" s="7">
        <v>0.47079700000000002</v>
      </c>
      <c r="FR39" s="7">
        <v>0.89563099999999995</v>
      </c>
      <c r="FS39" s="7">
        <v>0.46862199999999998</v>
      </c>
      <c r="FT39" s="7">
        <v>0.89532199999999995</v>
      </c>
      <c r="FU39" s="7">
        <v>0.46564699999999998</v>
      </c>
      <c r="FV39" s="7">
        <v>0.77632800000000002</v>
      </c>
      <c r="FW39" s="7">
        <v>0.230994</v>
      </c>
      <c r="FX39" s="7">
        <v>0.91103599999999996</v>
      </c>
      <c r="FY39" s="7">
        <v>0.54946799999999996</v>
      </c>
      <c r="FZ39" s="7">
        <v>0.88563599999999998</v>
      </c>
      <c r="GA39" s="7">
        <v>0.40987000000000001</v>
      </c>
      <c r="GB39" s="7">
        <v>0.887486</v>
      </c>
      <c r="GC39" s="7">
        <v>0.45573799999999998</v>
      </c>
      <c r="GD39" s="7">
        <v>0.89724099999999996</v>
      </c>
      <c r="GE39" s="7">
        <v>0.47032200000000002</v>
      </c>
      <c r="GF39" s="7">
        <v>0.89220699999999997</v>
      </c>
      <c r="GG39" s="7">
        <v>0.46596300000000002</v>
      </c>
      <c r="GH39" s="7">
        <v>0.76926099999999997</v>
      </c>
      <c r="GI39" s="7">
        <v>0.26295000000000002</v>
      </c>
      <c r="GJ39" s="7">
        <v>0.91076800000000002</v>
      </c>
      <c r="GK39" s="7">
        <v>0.21579200000000001</v>
      </c>
      <c r="GL39" s="7">
        <v>0.91020699999999999</v>
      </c>
      <c r="GM39" s="7">
        <v>0.54288400000000003</v>
      </c>
    </row>
    <row r="40" spans="1:195" x14ac:dyDescent="0.6">
      <c r="A40" s="5">
        <v>38</v>
      </c>
      <c r="B40" s="5">
        <v>25020230</v>
      </c>
      <c r="C40" s="5">
        <v>1985</v>
      </c>
      <c r="D40" s="5">
        <v>230</v>
      </c>
      <c r="E40" s="5">
        <v>39</v>
      </c>
      <c r="F40" s="5">
        <v>105.801</v>
      </c>
      <c r="G40" s="5">
        <v>38.727499999999999</v>
      </c>
      <c r="H40" s="5">
        <v>3.2070099999999999</v>
      </c>
      <c r="I40" s="5">
        <v>230</v>
      </c>
      <c r="J40" s="5">
        <v>25020230</v>
      </c>
      <c r="K40" s="5">
        <v>39</v>
      </c>
      <c r="L40" s="5">
        <v>0.99485400000000002</v>
      </c>
      <c r="M40" s="5">
        <v>2.1659399999999999E-4</v>
      </c>
      <c r="N40" s="5">
        <v>0.99497000000000002</v>
      </c>
      <c r="O40" s="5">
        <v>2.3133800000000001E-4</v>
      </c>
      <c r="P40" s="5">
        <v>0.99582599999999999</v>
      </c>
      <c r="Q40" s="5">
        <v>2.0381899999999999E-4</v>
      </c>
      <c r="R40" s="5">
        <v>0.999421</v>
      </c>
      <c r="S40" s="6">
        <v>5.32625E-5</v>
      </c>
      <c r="T40" s="5">
        <v>0.99843199999999999</v>
      </c>
      <c r="U40" s="6">
        <v>8.4955299999999996E-5</v>
      </c>
      <c r="V40" s="5">
        <v>0.99582599999999999</v>
      </c>
      <c r="W40" s="5">
        <v>2.0381899999999999E-4</v>
      </c>
      <c r="X40" s="5">
        <v>0.94034300000000004</v>
      </c>
      <c r="Y40" s="5">
        <v>8.7379299999999999E-4</v>
      </c>
      <c r="Z40" s="5">
        <v>0.99359699999999995</v>
      </c>
      <c r="AA40" s="5">
        <v>2.33415E-4</v>
      </c>
      <c r="AB40" s="5">
        <v>0.99581799999999998</v>
      </c>
      <c r="AC40" s="5">
        <v>2.03974E-4</v>
      </c>
      <c r="AD40" s="5">
        <v>0.99559699999999995</v>
      </c>
      <c r="AE40" s="5">
        <v>2.0762800000000001E-4</v>
      </c>
      <c r="AF40" s="5">
        <v>0.98869300000000004</v>
      </c>
      <c r="AG40" s="5">
        <v>2.9284200000000003E-4</v>
      </c>
      <c r="AH40" s="5">
        <v>0.99582599999999999</v>
      </c>
      <c r="AI40" s="5">
        <v>2.0381899999999999E-4</v>
      </c>
      <c r="AJ40" s="5">
        <v>0.94078499999999998</v>
      </c>
      <c r="AK40" s="5">
        <v>8.7097599999999998E-4</v>
      </c>
      <c r="AL40" s="5">
        <v>0.99274799999999996</v>
      </c>
      <c r="AM40" s="5">
        <v>2.6154599999999998E-4</v>
      </c>
      <c r="AN40" s="5">
        <v>0.98460999999999999</v>
      </c>
      <c r="AO40" s="5">
        <v>2.52441E-4</v>
      </c>
      <c r="AP40" s="5">
        <v>0.99732699999999996</v>
      </c>
      <c r="AQ40" s="5">
        <v>2.3660900000000001E-4</v>
      </c>
      <c r="AR40" s="5">
        <v>1</v>
      </c>
      <c r="AS40" s="6">
        <v>2.2548900000000002E-16</v>
      </c>
      <c r="AT40" s="5">
        <v>0.99133499999999997</v>
      </c>
      <c r="AU40" s="5">
        <v>2.8944499999999999E-4</v>
      </c>
      <c r="AV40" s="5">
        <v>0.98887800000000003</v>
      </c>
      <c r="AW40" s="5">
        <v>3.3841299999999997E-4</v>
      </c>
      <c r="AX40" s="5">
        <v>0.99415500000000001</v>
      </c>
      <c r="AY40" s="5">
        <v>2.8180300000000001E-4</v>
      </c>
      <c r="AZ40" s="5">
        <v>0.99613200000000002</v>
      </c>
      <c r="BA40" s="5">
        <v>1.5893600000000001E-4</v>
      </c>
      <c r="BB40" s="5">
        <v>0.99512999999999996</v>
      </c>
      <c r="BC40" s="5">
        <v>2.1413500000000001E-4</v>
      </c>
      <c r="BD40" s="5">
        <v>0.99491300000000005</v>
      </c>
      <c r="BE40" s="5">
        <v>2.2841499999999999E-4</v>
      </c>
      <c r="BF40" s="5">
        <v>0.98711599999999999</v>
      </c>
      <c r="BG40" s="5">
        <v>3.9122700000000001E-4</v>
      </c>
      <c r="BH40" s="5">
        <v>0.99935799999999997</v>
      </c>
      <c r="BI40" s="6">
        <v>5.8022900000000003E-5</v>
      </c>
      <c r="BJ40" s="5">
        <v>0.99175800000000003</v>
      </c>
      <c r="BK40" s="5">
        <v>3.46647E-4</v>
      </c>
      <c r="BL40" s="5">
        <v>0.99494700000000003</v>
      </c>
      <c r="BM40" s="5">
        <v>1.8692200000000001E-4</v>
      </c>
      <c r="BN40" s="5">
        <v>0.98414999999999997</v>
      </c>
      <c r="BO40" s="5">
        <v>4.1170099999999999E-4</v>
      </c>
      <c r="BP40" s="5">
        <v>0.98236800000000002</v>
      </c>
      <c r="BQ40" s="5">
        <v>0.103602</v>
      </c>
      <c r="BR40" s="5">
        <v>0.99724900000000005</v>
      </c>
      <c r="BS40" s="5">
        <v>1.3018400000000001E-4</v>
      </c>
      <c r="BT40" s="5">
        <v>0.98675100000000004</v>
      </c>
      <c r="BU40" s="5">
        <v>8.9383099999999993E-2</v>
      </c>
      <c r="BV40" s="5">
        <v>0.99749600000000005</v>
      </c>
      <c r="BW40" s="5">
        <v>1.5663499999999999E-4</v>
      </c>
      <c r="BX40" s="5">
        <v>0.98868699999999998</v>
      </c>
      <c r="BY40" s="5">
        <v>2.8246400000000001E-4</v>
      </c>
      <c r="BZ40" s="5">
        <v>0.98854900000000001</v>
      </c>
      <c r="CA40" s="5">
        <v>3.3269499999999999E-4</v>
      </c>
      <c r="CB40" s="5">
        <v>0.99707400000000002</v>
      </c>
      <c r="CC40" s="5">
        <v>1.7543499999999999E-4</v>
      </c>
      <c r="CD40" s="5">
        <v>0.89856199999999997</v>
      </c>
      <c r="CE40" s="5">
        <v>1.05203E-3</v>
      </c>
      <c r="CF40" s="5">
        <v>0.99409099999999995</v>
      </c>
      <c r="CG40" s="5">
        <v>2.2438199999999999E-4</v>
      </c>
      <c r="CH40" s="5">
        <v>0.999421</v>
      </c>
      <c r="CI40" s="6">
        <v>5.32625E-5</v>
      </c>
      <c r="CJ40" s="5">
        <v>0.94034300000000004</v>
      </c>
      <c r="CK40" s="5">
        <v>8.7379299999999999E-4</v>
      </c>
      <c r="CL40" s="5">
        <v>0.99513200000000002</v>
      </c>
      <c r="CM40" s="5">
        <v>2.24059E-4</v>
      </c>
      <c r="CN40" s="5">
        <v>0.99671500000000002</v>
      </c>
      <c r="CO40" s="5">
        <v>1.90402E-4</v>
      </c>
      <c r="CP40" s="5">
        <v>0.99560000000000004</v>
      </c>
      <c r="CQ40" s="5">
        <v>2.07615E-4</v>
      </c>
      <c r="CR40" s="5">
        <v>0.99760899999999997</v>
      </c>
      <c r="CS40" s="5">
        <v>1.5652799999999999E-4</v>
      </c>
      <c r="CT40" s="5">
        <v>0.99812199999999995</v>
      </c>
      <c r="CU40" s="5">
        <v>1.15534E-4</v>
      </c>
      <c r="CV40" s="5">
        <v>0.999421</v>
      </c>
      <c r="CW40" s="6">
        <v>5.32625E-5</v>
      </c>
      <c r="CX40" s="5">
        <v>0.98271399999999998</v>
      </c>
      <c r="CY40" s="5">
        <v>3.4407699999999998E-4</v>
      </c>
      <c r="CZ40" s="5">
        <v>0.997193</v>
      </c>
      <c r="DA40" s="5">
        <v>1.7344999999999999E-4</v>
      </c>
      <c r="DB40" s="5">
        <v>0.97984499999999997</v>
      </c>
      <c r="DC40" s="5">
        <v>0.108602</v>
      </c>
      <c r="DD40" s="5">
        <v>0.95573600000000003</v>
      </c>
      <c r="DE40" s="5">
        <v>0.18113899999999999</v>
      </c>
      <c r="DF40" s="5">
        <v>0.80691199999999996</v>
      </c>
      <c r="DG40" s="5">
        <v>0.127168</v>
      </c>
      <c r="DH40" s="5">
        <v>0.98675100000000004</v>
      </c>
      <c r="DI40" s="5">
        <v>8.9383599999999994E-2</v>
      </c>
      <c r="DJ40" s="5">
        <v>0.98169600000000001</v>
      </c>
      <c r="DK40" s="5">
        <v>9.2610600000000001E-2</v>
      </c>
      <c r="DL40" s="5">
        <v>0.98355599999999999</v>
      </c>
      <c r="DM40" s="5">
        <v>9.8645099999999999E-2</v>
      </c>
      <c r="DN40" s="5">
        <v>0.84623899999999996</v>
      </c>
      <c r="DO40" s="5">
        <v>0.15879399999999999</v>
      </c>
      <c r="DP40" s="5">
        <v>0.98675100000000004</v>
      </c>
      <c r="DQ40" s="5">
        <v>8.9383699999999996E-2</v>
      </c>
      <c r="DR40" s="5">
        <v>0.98653199999999996</v>
      </c>
      <c r="DS40" s="5">
        <v>9.0269500000000003E-2</v>
      </c>
      <c r="DT40" s="5">
        <v>0.98682499999999995</v>
      </c>
      <c r="DU40" s="5">
        <v>8.8683600000000001E-2</v>
      </c>
      <c r="DV40" s="5">
        <v>0.98028000000000004</v>
      </c>
      <c r="DW40" s="5">
        <v>9.1265499999999999E-2</v>
      </c>
      <c r="DX40" s="5">
        <v>0.94530199999999998</v>
      </c>
      <c r="DY40" s="5">
        <v>0.16853000000000001</v>
      </c>
      <c r="DZ40" s="5">
        <v>0.98873900000000003</v>
      </c>
      <c r="EA40" s="5">
        <v>6.4729900000000007E-2</v>
      </c>
      <c r="EB40" s="5">
        <v>0.96878500000000001</v>
      </c>
      <c r="EC40" s="5">
        <v>6.1947700000000001E-2</v>
      </c>
      <c r="ED40" s="5">
        <v>0.99796200000000002</v>
      </c>
      <c r="EE40" s="5">
        <v>3.3353099999999997E-2</v>
      </c>
      <c r="EF40" s="5">
        <v>0.99993699999999996</v>
      </c>
      <c r="EG40" s="5">
        <v>2.0655700000000001E-3</v>
      </c>
      <c r="EH40" s="5">
        <v>0.96791199999999999</v>
      </c>
      <c r="EI40" s="5">
        <v>0.106351</v>
      </c>
      <c r="EJ40" s="5">
        <v>0.96336500000000003</v>
      </c>
      <c r="EK40" s="5">
        <v>0.11049</v>
      </c>
      <c r="EL40" s="5">
        <v>0.96726800000000002</v>
      </c>
      <c r="EM40" s="5">
        <v>0.12923599999999999</v>
      </c>
      <c r="EN40" s="5">
        <v>0.98049799999999998</v>
      </c>
      <c r="EO40" s="5">
        <v>8.0416100000000004E-2</v>
      </c>
      <c r="EP40" s="5">
        <v>0.97949299999999995</v>
      </c>
      <c r="EQ40" s="5">
        <v>0.10847</v>
      </c>
      <c r="ER40" s="5">
        <v>0.97681200000000001</v>
      </c>
      <c r="ES40" s="5">
        <v>0.116106</v>
      </c>
      <c r="ET40" s="5">
        <v>0.92056199999999999</v>
      </c>
      <c r="EU40" s="5">
        <v>0.18182000000000001</v>
      </c>
      <c r="EV40" s="5">
        <v>0.99440499999999998</v>
      </c>
      <c r="EW40" s="5">
        <v>4.8507599999999998E-2</v>
      </c>
      <c r="EX40" s="5">
        <v>0.92661700000000002</v>
      </c>
      <c r="EY40" s="5">
        <v>0.18595700000000001</v>
      </c>
      <c r="EZ40" s="5">
        <v>0.97831400000000002</v>
      </c>
      <c r="FA40" s="5">
        <v>8.0560900000000005E-2</v>
      </c>
      <c r="FB40" s="5">
        <v>0.96297200000000005</v>
      </c>
      <c r="FC40" s="5">
        <v>0.108547</v>
      </c>
      <c r="FD40" s="5">
        <v>0.99602299999999999</v>
      </c>
      <c r="FE40" s="5">
        <v>4.62674E-2</v>
      </c>
      <c r="FF40" s="5">
        <v>0.98244200000000004</v>
      </c>
      <c r="FG40" s="5">
        <v>8.2184199999999999E-2</v>
      </c>
      <c r="FH40" s="5">
        <v>0.98675100000000004</v>
      </c>
      <c r="FI40" s="5">
        <v>8.9384599999999995E-2</v>
      </c>
      <c r="FJ40" s="5">
        <v>0.97717500000000002</v>
      </c>
      <c r="FK40" s="5">
        <v>0.11382</v>
      </c>
      <c r="FL40" s="5">
        <v>0.98892000000000002</v>
      </c>
      <c r="FM40" s="5">
        <v>6.2147000000000001E-2</v>
      </c>
      <c r="FN40" s="5">
        <v>0.96405700000000005</v>
      </c>
      <c r="FO40" s="5">
        <v>0.104796</v>
      </c>
      <c r="FP40" s="5">
        <v>0.98657700000000004</v>
      </c>
      <c r="FQ40" s="5">
        <v>9.0119599999999994E-2</v>
      </c>
      <c r="FR40" s="5">
        <v>0.98587999999999998</v>
      </c>
      <c r="FS40" s="5">
        <v>9.2566800000000005E-2</v>
      </c>
      <c r="FT40" s="5">
        <v>0.98544799999999999</v>
      </c>
      <c r="FU40" s="5">
        <v>9.3744300000000003E-2</v>
      </c>
      <c r="FV40" s="5">
        <v>0.84623899999999996</v>
      </c>
      <c r="FW40" s="5">
        <v>0.15879399999999999</v>
      </c>
      <c r="FX40" s="5">
        <v>0.99729800000000002</v>
      </c>
      <c r="FY40" s="5">
        <v>3.8770100000000002E-2</v>
      </c>
      <c r="FZ40" s="5">
        <v>0.97437099999999999</v>
      </c>
      <c r="GA40" s="5">
        <v>0.11940099999999999</v>
      </c>
      <c r="GB40" s="5">
        <v>0.98014800000000002</v>
      </c>
      <c r="GC40" s="5">
        <v>0.109044</v>
      </c>
      <c r="GD40" s="5">
        <v>0.98677199999999998</v>
      </c>
      <c r="GE40" s="5">
        <v>8.9281100000000002E-2</v>
      </c>
      <c r="GF40" s="5">
        <v>0.98313300000000003</v>
      </c>
      <c r="GG40" s="5">
        <v>9.8484000000000002E-2</v>
      </c>
      <c r="GH40" s="5">
        <v>0.84921400000000002</v>
      </c>
      <c r="GI40" s="5">
        <v>0.181704</v>
      </c>
      <c r="GJ40" s="5">
        <v>0.96099500000000004</v>
      </c>
      <c r="GK40" s="5">
        <v>8.4452700000000006E-2</v>
      </c>
      <c r="GL40" s="5">
        <v>0.99648800000000004</v>
      </c>
      <c r="GM40" s="5">
        <v>4.3692599999999998E-2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California</vt:lpstr>
      <vt:lpstr>Cunnane</vt:lpstr>
      <vt:lpstr>Sheet2</vt:lpstr>
      <vt:lpstr>Cunnane!delta</vt:lpstr>
      <vt:lpstr>delta</vt:lpstr>
      <vt:lpstr>Cunnane!deltao</vt:lpstr>
      <vt:lpstr>deltao</vt:lpstr>
      <vt:lpstr>Cunnane!n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2025-12-26T14:48:07Z</dcterms:created>
  <dcterms:modified xsi:type="dcterms:W3CDTF">2025-12-26T15:28:09Z</dcterms:modified>
</cp:coreProperties>
</file>