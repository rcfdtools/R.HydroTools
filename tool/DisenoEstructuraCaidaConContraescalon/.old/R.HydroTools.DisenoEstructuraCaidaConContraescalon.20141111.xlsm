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330"/>
  <workbookPr defaultThemeVersion="124226"/>
  <mc:AlternateContent xmlns:mc="http://schemas.openxmlformats.org/markup-compatibility/2006">
    <mc:Choice Requires="x15">
      <x15ac:absPath xmlns:x15ac="http://schemas.microsoft.com/office/spreadsheetml/2010/11/ac" url="D:\OneDrive - ESCUELA COLOMBIANA DE INGENIERIA JULIO GARAVITO\R.GitHub\R.HydroTools\DisenoEstructuraCaidaConContraescalon\Old\"/>
    </mc:Choice>
  </mc:AlternateContent>
  <xr:revisionPtr revIDLastSave="0" documentId="13_ncr:1_{24CA40AC-A52C-474B-9309-98234D98DC03}" xr6:coauthVersionLast="47" xr6:coauthVersionMax="47" xr10:uidLastSave="{00000000-0000-0000-0000-000000000000}"/>
  <bookViews>
    <workbookView xWindow="57480" yWindow="-120" windowWidth="29040" windowHeight="15720" xr2:uid="{00000000-000D-0000-FFFF-FFFF00000000}"/>
  </bookViews>
  <sheets>
    <sheet name="Zona 1 (aguas arriba)" sheetId="1" r:id="rId1"/>
    <sheet name="Zona 2 (centro)" sheetId="2" r:id="rId2"/>
    <sheet name="Zona 3 (aguas abajo)" sheetId="3" r:id="rId3"/>
  </sheets>
  <definedNames>
    <definedName name="Dr" localSheetId="1">'Zona 2 (centro)'!$E$10</definedName>
    <definedName name="Dr" localSheetId="2">'Zona 3 (aguas abajo)'!$E$10</definedName>
    <definedName name="Dr">'Zona 1 (aguas arriba)'!$E$10</definedName>
    <definedName name="E.0" localSheetId="1">'Zona 2 (centro)'!$E$21</definedName>
    <definedName name="E.0" localSheetId="2">'Zona 3 (aguas abajo)'!$E$21</definedName>
    <definedName name="E.0">'Zona 1 (aguas arriba)'!$E$21</definedName>
    <definedName name="E.1" localSheetId="1">'Zona 2 (centro)'!$E$23</definedName>
    <definedName name="E.1" localSheetId="2">'Zona 3 (aguas abajo)'!$E$23</definedName>
    <definedName name="E.1">'Zona 1 (aguas arriba)'!$E$23</definedName>
    <definedName name="h" localSheetId="1">'Zona 2 (centro)'!$E$18</definedName>
    <definedName name="h" localSheetId="2">'Zona 3 (aguas abajo)'!$E$18</definedName>
    <definedName name="h">'Zona 1 (aguas arriba)'!$E$18</definedName>
    <definedName name="hc" localSheetId="1">'Zona 2 (centro)'!$E$7</definedName>
    <definedName name="hc" localSheetId="2">'Zona 3 (aguas abajo)'!$E$7</definedName>
    <definedName name="hc">'Zona 1 (aguas arriba)'!$E$7</definedName>
    <definedName name="hmax" localSheetId="1">'Zona 2 (centro)'!#REF!</definedName>
    <definedName name="hmax" localSheetId="2">'Zona 3 (aguas abajo)'!#REF!</definedName>
    <definedName name="hmax">'Zona 1 (aguas arriba)'!#REF!</definedName>
    <definedName name="hmin" localSheetId="1">'Zona 2 (centro)'!#REF!</definedName>
    <definedName name="hmin" localSheetId="2">'Zona 3 (aguas abajo)'!#REF!</definedName>
    <definedName name="hmin">'Zona 1 (aguas arriba)'!#REF!</definedName>
    <definedName name="LB" localSheetId="1">'Zona 2 (centro)'!$E$16</definedName>
    <definedName name="LB" localSheetId="2">'Zona 3 (aguas abajo)'!$E$16</definedName>
    <definedName name="LB">'Zona 1 (aguas arriba)'!$E$16</definedName>
    <definedName name="lj" localSheetId="1">'Zona 2 (centro)'!$E$15</definedName>
    <definedName name="lj" localSheetId="2">'Zona 3 (aguas abajo)'!$E$15</definedName>
    <definedName name="lj">'Zona 1 (aguas arriba)'!$E$15</definedName>
    <definedName name="_xlnm.Print_Area" localSheetId="0">'Zona 1 (aguas arriba)'!$B$2:$T$25</definedName>
    <definedName name="_xlnm.Print_Area" localSheetId="1">'Zona 2 (centro)'!$B$2:$T$25</definedName>
    <definedName name="_xlnm.Print_Area" localSheetId="2">'Zona 3 (aguas abajo)'!$B$2:$T$25</definedName>
    <definedName name="q" localSheetId="1">'Zona 2 (centro)'!$E$9</definedName>
    <definedName name="q" localSheetId="2">'Zona 3 (aguas abajo)'!$E$9</definedName>
    <definedName name="q">'Zona 1 (aguas arriba)'!$E$9</definedName>
    <definedName name="Qd" localSheetId="1">'Zona 2 (centro)'!$E$6</definedName>
    <definedName name="Qd" localSheetId="2">'Zona 3 (aguas abajo)'!$E$6</definedName>
    <definedName name="Qd">'Zona 1 (aguas arriba)'!$E$6</definedName>
    <definedName name="solver_adj" localSheetId="0" hidden="1">'Zona 1 (aguas arriba)'!$D$38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'Zona 1 (aguas arriba)'!$D$38</definedName>
    <definedName name="solver_lhs2" localSheetId="0" hidden="1">'Zona 1 (aguas arriba)'!$D$40</definedName>
    <definedName name="solver_lhs3" localSheetId="0" hidden="1">'Zona 1 (aguas arriba)'!$D$42</definedName>
    <definedName name="solver_lhs4" localSheetId="0" hidden="1">'Zona 1 (aguas arriba)'!$D$42</definedName>
    <definedName name="solver_lhs5" localSheetId="0" hidden="1">'Zona 1 (aguas arriba)'!$D$42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1</definedName>
    <definedName name="solver_nwt" localSheetId="0" hidden="1">1</definedName>
    <definedName name="solver_opt" localSheetId="0" hidden="1">'Zona 1 (aguas arriba)'!$D$40</definedName>
    <definedName name="solver_pre" localSheetId="0" hidden="1">0.000001</definedName>
    <definedName name="solver_rbv" localSheetId="0" hidden="1">1</definedName>
    <definedName name="solver_rel1" localSheetId="0" hidden="1">3</definedName>
    <definedName name="solver_rel2" localSheetId="0" hidden="1">3</definedName>
    <definedName name="solver_rel3" localSheetId="0" hidden="1">3</definedName>
    <definedName name="solver_rel4" localSheetId="0" hidden="1">3</definedName>
    <definedName name="solver_rel5" localSheetId="0" hidden="1">3</definedName>
    <definedName name="solver_rhs1" localSheetId="0" hidden="1">0</definedName>
    <definedName name="solver_rhs2" localSheetId="0" hidden="1">0</definedName>
    <definedName name="solver_rhs3" localSheetId="0" hidden="1">0</definedName>
    <definedName name="solver_rhs4" localSheetId="0" hidden="1">0</definedName>
    <definedName name="solver_rhs5" localSheetId="0" hidden="1">0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0</definedName>
    <definedName name="solver_ver" localSheetId="0" hidden="1">3</definedName>
    <definedName name="T" localSheetId="1">'Zona 2 (centro)'!$E$8</definedName>
    <definedName name="T" localSheetId="2">'Zona 3 (aguas abajo)'!$E$8</definedName>
    <definedName name="T">'Zona 1 (aguas arriba)'!$E$8</definedName>
    <definedName name="v.0" localSheetId="1">'Zona 2 (centro)'!$E$19</definedName>
    <definedName name="v.0" localSheetId="2">'Zona 3 (aguas abajo)'!$E$19</definedName>
    <definedName name="v.0">'Zona 1 (aguas arriba)'!$E$19</definedName>
    <definedName name="v.1" localSheetId="1">'Zona 2 (centro)'!$E$22</definedName>
    <definedName name="v.1" localSheetId="2">'Zona 3 (aguas abajo)'!$E$22</definedName>
    <definedName name="v.1">'Zona 1 (aguas arriba)'!$E$22</definedName>
    <definedName name="y.0" localSheetId="1">'Zona 2 (centro)'!$E$20</definedName>
    <definedName name="y.0" localSheetId="2">'Zona 3 (aguas abajo)'!$E$20</definedName>
    <definedName name="y.0">'Zona 1 (aguas arriba)'!$E$20</definedName>
    <definedName name="Y.1" localSheetId="1">'Zona 2 (centro)'!$E$11</definedName>
    <definedName name="Y.1" localSheetId="2">'Zona 3 (aguas abajo)'!$E$11</definedName>
    <definedName name="Y.1">'Zona 1 (aguas arriba)'!$E$11</definedName>
    <definedName name="y.2" localSheetId="1">'Zona 2 (centro)'!$E$13</definedName>
    <definedName name="y.2" localSheetId="2">'Zona 3 (aguas abajo)'!$E$13</definedName>
    <definedName name="y.2">'Zona 1 (aguas arriba)'!$E$13</definedName>
    <definedName name="y.p" localSheetId="1">'Zona 2 (centro)'!$E$14</definedName>
    <definedName name="y.p" localSheetId="2">'Zona 3 (aguas abajo)'!$E$14</definedName>
    <definedName name="y.p">'Zona 1 (aguas arriba)'!$E$14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47" i="3" l="1"/>
  <c r="F47" i="3" s="1"/>
  <c r="G47" i="3" s="1"/>
  <c r="I47" i="3" s="1"/>
  <c r="J47" i="3" s="1"/>
  <c r="K47" i="3" s="1"/>
  <c r="L47" i="3" s="1"/>
  <c r="M47" i="3" s="1"/>
  <c r="N47" i="3" s="1"/>
  <c r="O47" i="3" s="1"/>
  <c r="E38" i="3"/>
  <c r="F38" i="3" s="1"/>
  <c r="G38" i="3" s="1"/>
  <c r="H38" i="3" s="1"/>
  <c r="I38" i="3" s="1"/>
  <c r="J38" i="3" s="1"/>
  <c r="K38" i="3" s="1"/>
  <c r="L38" i="3" s="1"/>
  <c r="M38" i="3" s="1"/>
  <c r="N38" i="3" s="1"/>
  <c r="O38" i="3" s="1"/>
  <c r="E47" i="2"/>
  <c r="F47" i="2" s="1"/>
  <c r="G47" i="2" s="1"/>
  <c r="I47" i="2" s="1"/>
  <c r="J47" i="2" s="1"/>
  <c r="K47" i="2" s="1"/>
  <c r="L47" i="2" s="1"/>
  <c r="M47" i="2" s="1"/>
  <c r="N47" i="2" s="1"/>
  <c r="O47" i="2" s="1"/>
  <c r="E38" i="2"/>
  <c r="F38" i="2" s="1"/>
  <c r="E47" i="1"/>
  <c r="E38" i="1"/>
  <c r="F38" i="1" s="1"/>
  <c r="G38" i="1" s="1"/>
  <c r="H38" i="1" s="1"/>
  <c r="I38" i="1" s="1"/>
  <c r="J38" i="1" s="1"/>
  <c r="K38" i="1" s="1"/>
  <c r="L38" i="1" s="1"/>
  <c r="M38" i="1" s="1"/>
  <c r="N38" i="1" s="1"/>
  <c r="O38" i="1" s="1"/>
  <c r="G38" i="2" l="1"/>
  <c r="F47" i="1"/>
  <c r="H38" i="2" l="1"/>
  <c r="G47" i="1"/>
  <c r="I38" i="2" l="1"/>
  <c r="I47" i="1"/>
  <c r="I37" i="3"/>
  <c r="M37" i="3" s="1"/>
  <c r="P36" i="3"/>
  <c r="I36" i="3"/>
  <c r="K36" i="3" s="1"/>
  <c r="P35" i="3"/>
  <c r="O34" i="3"/>
  <c r="O33" i="3"/>
  <c r="G33" i="3"/>
  <c r="D33" i="3"/>
  <c r="E33" i="3" s="1"/>
  <c r="O32" i="3"/>
  <c r="G32" i="3"/>
  <c r="D32" i="3"/>
  <c r="G31" i="3"/>
  <c r="D31" i="3"/>
  <c r="Q30" i="3"/>
  <c r="G30" i="3"/>
  <c r="D30" i="3"/>
  <c r="D29" i="3"/>
  <c r="I28" i="3" s="1"/>
  <c r="K28" i="3"/>
  <c r="F28" i="3"/>
  <c r="D28" i="3"/>
  <c r="I21" i="3"/>
  <c r="G21" i="3"/>
  <c r="E21" i="3"/>
  <c r="I9" i="3"/>
  <c r="G9" i="3"/>
  <c r="E9" i="3"/>
  <c r="E25" i="3" s="1"/>
  <c r="I37" i="2"/>
  <c r="K37" i="2" s="1"/>
  <c r="P36" i="2"/>
  <c r="I36" i="2"/>
  <c r="M36" i="2" s="1"/>
  <c r="P35" i="2"/>
  <c r="O34" i="2"/>
  <c r="O33" i="2"/>
  <c r="G33" i="2"/>
  <c r="D33" i="2"/>
  <c r="G35" i="2" s="1"/>
  <c r="O32" i="2"/>
  <c r="G32" i="2"/>
  <c r="D32" i="2"/>
  <c r="G34" i="2" s="1"/>
  <c r="G31" i="2"/>
  <c r="D31" i="2"/>
  <c r="Q30" i="2"/>
  <c r="G30" i="2"/>
  <c r="D30" i="2"/>
  <c r="D29" i="2"/>
  <c r="I28" i="2" s="1"/>
  <c r="O28" i="2" s="1"/>
  <c r="K28" i="2"/>
  <c r="F28" i="2"/>
  <c r="D28" i="2"/>
  <c r="I21" i="2"/>
  <c r="G21" i="2"/>
  <c r="E21" i="2"/>
  <c r="I9" i="2"/>
  <c r="I10" i="2" s="1"/>
  <c r="G9" i="2"/>
  <c r="G25" i="2" s="1"/>
  <c r="E9" i="2"/>
  <c r="E25" i="2" s="1"/>
  <c r="G10" i="3" l="1"/>
  <c r="G11" i="3" s="1"/>
  <c r="G12" i="3" s="1"/>
  <c r="G25" i="3"/>
  <c r="E10" i="3"/>
  <c r="E11" i="3" s="1"/>
  <c r="E31" i="3" s="1"/>
  <c r="O30" i="3" s="1"/>
  <c r="K37" i="3"/>
  <c r="J38" i="2"/>
  <c r="J47" i="1"/>
  <c r="I13" i="2"/>
  <c r="I11" i="2"/>
  <c r="K36" i="2"/>
  <c r="G10" i="2"/>
  <c r="G11" i="2" s="1"/>
  <c r="G12" i="2" s="1"/>
  <c r="G13" i="2" s="1"/>
  <c r="G17" i="2" s="1"/>
  <c r="G18" i="2" s="1"/>
  <c r="E10" i="2"/>
  <c r="E14" i="2" s="1"/>
  <c r="I32" i="2"/>
  <c r="K32" i="2"/>
  <c r="K33" i="2" s="1"/>
  <c r="E33" i="2"/>
  <c r="Q28" i="3"/>
  <c r="Q29" i="3" s="1"/>
  <c r="M28" i="3"/>
  <c r="O28" i="3"/>
  <c r="I10" i="3"/>
  <c r="G34" i="3"/>
  <c r="K32" i="3"/>
  <c r="I32" i="3"/>
  <c r="E32" i="3"/>
  <c r="I34" i="3" s="1"/>
  <c r="M36" i="3"/>
  <c r="G35" i="3"/>
  <c r="M28" i="2"/>
  <c r="Q28" i="2"/>
  <c r="Q29" i="2" s="1"/>
  <c r="M37" i="2"/>
  <c r="I14" i="2"/>
  <c r="E32" i="2"/>
  <c r="I34" i="2" s="1"/>
  <c r="D30" i="1"/>
  <c r="Q30" i="1"/>
  <c r="F28" i="1"/>
  <c r="D28" i="1"/>
  <c r="G14" i="3" l="1"/>
  <c r="O29" i="3"/>
  <c r="E14" i="3"/>
  <c r="I15" i="2"/>
  <c r="I16" i="2" s="1"/>
  <c r="G15" i="2"/>
  <c r="G16" i="2" s="1"/>
  <c r="H53" i="2"/>
  <c r="F49" i="2"/>
  <c r="O49" i="2"/>
  <c r="G49" i="2"/>
  <c r="D53" i="2"/>
  <c r="E49" i="2"/>
  <c r="H49" i="2"/>
  <c r="D49" i="2"/>
  <c r="K49" i="2"/>
  <c r="F53" i="2"/>
  <c r="I53" i="2"/>
  <c r="L49" i="2"/>
  <c r="O53" i="2"/>
  <c r="N49" i="2"/>
  <c r="M49" i="2"/>
  <c r="K53" i="2"/>
  <c r="J53" i="2"/>
  <c r="E53" i="2"/>
  <c r="G53" i="2"/>
  <c r="J49" i="2"/>
  <c r="I49" i="2"/>
  <c r="N53" i="2"/>
  <c r="M53" i="2"/>
  <c r="L53" i="2"/>
  <c r="D51" i="2"/>
  <c r="F51" i="2"/>
  <c r="G51" i="2"/>
  <c r="E51" i="2"/>
  <c r="H51" i="2"/>
  <c r="I51" i="2"/>
  <c r="K38" i="2"/>
  <c r="K47" i="1"/>
  <c r="J51" i="2"/>
  <c r="I33" i="2"/>
  <c r="E11" i="2"/>
  <c r="E31" i="2" s="1"/>
  <c r="O30" i="2" s="1"/>
  <c r="O29" i="2" s="1"/>
  <c r="G14" i="2"/>
  <c r="G22" i="2"/>
  <c r="G23" i="2" s="1"/>
  <c r="G24" i="2" s="1"/>
  <c r="I22" i="2"/>
  <c r="I23" i="2" s="1"/>
  <c r="I24" i="2" s="1"/>
  <c r="I12" i="2"/>
  <c r="E12" i="3"/>
  <c r="E13" i="3" s="1"/>
  <c r="E22" i="3"/>
  <c r="E23" i="3" s="1"/>
  <c r="E24" i="3" s="1"/>
  <c r="I11" i="3"/>
  <c r="I14" i="3"/>
  <c r="I13" i="3"/>
  <c r="K34" i="2"/>
  <c r="I33" i="3"/>
  <c r="G22" i="3"/>
  <c r="G23" i="3" s="1"/>
  <c r="G24" i="3" s="1"/>
  <c r="G13" i="3"/>
  <c r="G17" i="3" s="1"/>
  <c r="G18" i="3" s="1"/>
  <c r="K34" i="3"/>
  <c r="K33" i="3"/>
  <c r="E15" i="3" l="1"/>
  <c r="E16" i="3" s="1"/>
  <c r="F29" i="3" s="1"/>
  <c r="F30" i="3" s="1"/>
  <c r="E17" i="3"/>
  <c r="E18" i="3" s="1"/>
  <c r="K51" i="3"/>
  <c r="E12" i="2"/>
  <c r="E13" i="2" s="1"/>
  <c r="E17" i="2" s="1"/>
  <c r="E18" i="2" s="1"/>
  <c r="I42" i="3"/>
  <c r="E29" i="3"/>
  <c r="E28" i="3"/>
  <c r="E40" i="3"/>
  <c r="I40" i="3"/>
  <c r="M40" i="3"/>
  <c r="D40" i="3"/>
  <c r="E44" i="3"/>
  <c r="F40" i="3"/>
  <c r="J40" i="3"/>
  <c r="N40" i="3"/>
  <c r="G40" i="3"/>
  <c r="K40" i="3"/>
  <c r="O40" i="3"/>
  <c r="G44" i="3"/>
  <c r="H40" i="3"/>
  <c r="L40" i="3"/>
  <c r="D44" i="3"/>
  <c r="O44" i="3"/>
  <c r="N44" i="3"/>
  <c r="J44" i="3"/>
  <c r="M44" i="3"/>
  <c r="L44" i="3"/>
  <c r="K44" i="3"/>
  <c r="F44" i="3"/>
  <c r="I44" i="3"/>
  <c r="H44" i="3"/>
  <c r="D42" i="3"/>
  <c r="E42" i="3"/>
  <c r="F42" i="3"/>
  <c r="G42" i="3"/>
  <c r="H42" i="3"/>
  <c r="G15" i="3"/>
  <c r="G16" i="3" s="1"/>
  <c r="D53" i="3"/>
  <c r="H49" i="3"/>
  <c r="M49" i="3"/>
  <c r="E49" i="3"/>
  <c r="I49" i="3"/>
  <c r="O49" i="3"/>
  <c r="F49" i="3"/>
  <c r="K49" i="3"/>
  <c r="D49" i="3"/>
  <c r="H53" i="3"/>
  <c r="G49" i="3"/>
  <c r="L49" i="3"/>
  <c r="N53" i="3"/>
  <c r="L53" i="3"/>
  <c r="K53" i="3"/>
  <c r="J53" i="3"/>
  <c r="J49" i="3"/>
  <c r="G51" i="3"/>
  <c r="E53" i="3"/>
  <c r="G53" i="3"/>
  <c r="F53" i="3"/>
  <c r="M53" i="3"/>
  <c r="E51" i="3"/>
  <c r="O53" i="3"/>
  <c r="I53" i="3"/>
  <c r="D51" i="3"/>
  <c r="N49" i="3"/>
  <c r="F51" i="3"/>
  <c r="H51" i="3"/>
  <c r="I51" i="3"/>
  <c r="J51" i="3"/>
  <c r="D42" i="2"/>
  <c r="F44" i="2"/>
  <c r="E42" i="2"/>
  <c r="F42" i="2"/>
  <c r="H44" i="2"/>
  <c r="L38" i="2"/>
  <c r="L47" i="1"/>
  <c r="L51" i="3"/>
  <c r="K51" i="2"/>
  <c r="J42" i="3"/>
  <c r="J42" i="2"/>
  <c r="E22" i="2"/>
  <c r="E23" i="2" s="1"/>
  <c r="E24" i="2" s="1"/>
  <c r="E30" i="3"/>
  <c r="M32" i="3"/>
  <c r="M33" i="3" s="1"/>
  <c r="M34" i="3" s="1"/>
  <c r="I30" i="3"/>
  <c r="I29" i="3" s="1"/>
  <c r="I22" i="3"/>
  <c r="I23" i="3" s="1"/>
  <c r="I24" i="3" s="1"/>
  <c r="I12" i="3"/>
  <c r="I15" i="3"/>
  <c r="I16" i="3" s="1"/>
  <c r="E30" i="2"/>
  <c r="E21" i="1"/>
  <c r="J44" i="2" l="1"/>
  <c r="E29" i="2"/>
  <c r="D40" i="2"/>
  <c r="E28" i="2"/>
  <c r="F40" i="2"/>
  <c r="C29" i="3"/>
  <c r="N32" i="3" s="1"/>
  <c r="I42" i="2"/>
  <c r="J40" i="2"/>
  <c r="C30" i="3"/>
  <c r="C31" i="3" s="1"/>
  <c r="D44" i="2"/>
  <c r="H42" i="2"/>
  <c r="E15" i="2"/>
  <c r="E16" i="2" s="1"/>
  <c r="C29" i="2" s="1"/>
  <c r="I40" i="2"/>
  <c r="E40" i="2"/>
  <c r="K44" i="2"/>
  <c r="H40" i="2"/>
  <c r="I44" i="2"/>
  <c r="K40" i="2"/>
  <c r="E44" i="2"/>
  <c r="G42" i="2"/>
  <c r="G40" i="2"/>
  <c r="G28" i="2"/>
  <c r="G29" i="2" s="1"/>
  <c r="K30" i="2"/>
  <c r="G44" i="2"/>
  <c r="K30" i="3"/>
  <c r="G28" i="3"/>
  <c r="G29" i="3" s="1"/>
  <c r="M38" i="2"/>
  <c r="L44" i="2"/>
  <c r="L40" i="2"/>
  <c r="M47" i="1"/>
  <c r="M51" i="3"/>
  <c r="L51" i="2"/>
  <c r="K42" i="3"/>
  <c r="K42" i="2"/>
  <c r="L32" i="3"/>
  <c r="L28" i="3"/>
  <c r="F31" i="3"/>
  <c r="J28" i="3"/>
  <c r="C30" i="2"/>
  <c r="F29" i="2"/>
  <c r="F30" i="2" s="1"/>
  <c r="M32" i="2"/>
  <c r="M33" i="2" s="1"/>
  <c r="M34" i="2" s="1"/>
  <c r="I30" i="2"/>
  <c r="I29" i="2" s="1"/>
  <c r="E9" i="1"/>
  <c r="E25" i="1" s="1"/>
  <c r="P36" i="1"/>
  <c r="P35" i="1"/>
  <c r="C32" i="3" l="1"/>
  <c r="M30" i="2"/>
  <c r="M29" i="2" s="1"/>
  <c r="K29" i="2"/>
  <c r="H36" i="3"/>
  <c r="H37" i="3" s="1"/>
  <c r="M30" i="3"/>
  <c r="M29" i="3" s="1"/>
  <c r="K29" i="3"/>
  <c r="H28" i="3"/>
  <c r="H29" i="3" s="1"/>
  <c r="N38" i="2"/>
  <c r="M44" i="2"/>
  <c r="M40" i="2"/>
  <c r="N47" i="1"/>
  <c r="N51" i="3"/>
  <c r="M51" i="2"/>
  <c r="L42" i="3"/>
  <c r="L42" i="2"/>
  <c r="L29" i="3"/>
  <c r="L30" i="3"/>
  <c r="F32" i="3"/>
  <c r="J36" i="3"/>
  <c r="J37" i="3" s="1"/>
  <c r="L34" i="3"/>
  <c r="L33" i="3" s="1"/>
  <c r="N28" i="3"/>
  <c r="J29" i="3"/>
  <c r="J30" i="3"/>
  <c r="F33" i="3"/>
  <c r="F34" i="3" s="1"/>
  <c r="N34" i="3"/>
  <c r="N33" i="3" s="1"/>
  <c r="P28" i="3"/>
  <c r="C34" i="3"/>
  <c r="H32" i="3"/>
  <c r="C33" i="3"/>
  <c r="F31" i="2"/>
  <c r="J28" i="2"/>
  <c r="C32" i="2"/>
  <c r="C31" i="2"/>
  <c r="L28" i="2"/>
  <c r="L32" i="2"/>
  <c r="H36" i="2"/>
  <c r="H37" i="2" s="1"/>
  <c r="N32" i="2"/>
  <c r="H28" i="2"/>
  <c r="E10" i="1"/>
  <c r="H30" i="3" l="1"/>
  <c r="O38" i="2"/>
  <c r="N44" i="2"/>
  <c r="N40" i="2"/>
  <c r="O47" i="1"/>
  <c r="O51" i="3"/>
  <c r="N51" i="2"/>
  <c r="M42" i="3"/>
  <c r="M42" i="2"/>
  <c r="P29" i="3"/>
  <c r="P30" i="3"/>
  <c r="J34" i="3"/>
  <c r="J32" i="3"/>
  <c r="J33" i="3" s="1"/>
  <c r="F35" i="3"/>
  <c r="L36" i="3"/>
  <c r="L37" i="3" s="1"/>
  <c r="H33" i="3"/>
  <c r="H34" i="3"/>
  <c r="N29" i="3"/>
  <c r="N30" i="3"/>
  <c r="H29" i="2"/>
  <c r="H30" i="2"/>
  <c r="L29" i="2"/>
  <c r="L30" i="2"/>
  <c r="J36" i="2"/>
  <c r="J37" i="2" s="1"/>
  <c r="L34" i="2"/>
  <c r="L33" i="2" s="1"/>
  <c r="N28" i="2"/>
  <c r="F32" i="2"/>
  <c r="C34" i="2"/>
  <c r="C33" i="2"/>
  <c r="H32" i="2"/>
  <c r="F33" i="2"/>
  <c r="F34" i="2" s="1"/>
  <c r="N34" i="2"/>
  <c r="N33" i="2" s="1"/>
  <c r="P28" i="2"/>
  <c r="J29" i="2"/>
  <c r="J30" i="2"/>
  <c r="E11" i="1"/>
  <c r="E14" i="1"/>
  <c r="O44" i="2" l="1"/>
  <c r="O40" i="2"/>
  <c r="E22" i="1"/>
  <c r="E23" i="1" s="1"/>
  <c r="E24" i="1" s="1"/>
  <c r="O51" i="2"/>
  <c r="N42" i="3"/>
  <c r="N42" i="2"/>
  <c r="H33" i="2"/>
  <c r="H34" i="2"/>
  <c r="L36" i="2"/>
  <c r="L37" i="2" s="1"/>
  <c r="N29" i="2"/>
  <c r="N30" i="2"/>
  <c r="P29" i="2"/>
  <c r="P30" i="2"/>
  <c r="F35" i="2"/>
  <c r="J34" i="2"/>
  <c r="J32" i="2"/>
  <c r="E12" i="1"/>
  <c r="E13" i="1" s="1"/>
  <c r="O40" i="1" l="1"/>
  <c r="E17" i="1"/>
  <c r="E18" i="1" s="1"/>
  <c r="N42" i="1"/>
  <c r="H44" i="1"/>
  <c r="E44" i="1"/>
  <c r="F44" i="1"/>
  <c r="J44" i="1"/>
  <c r="N44" i="1"/>
  <c r="D44" i="1"/>
  <c r="M44" i="1"/>
  <c r="G44" i="1"/>
  <c r="K44" i="1"/>
  <c r="O44" i="1"/>
  <c r="E40" i="1"/>
  <c r="L44" i="1"/>
  <c r="D40" i="1"/>
  <c r="I44" i="1"/>
  <c r="E42" i="1"/>
  <c r="D42" i="1"/>
  <c r="F40" i="1"/>
  <c r="F42" i="1"/>
  <c r="G42" i="1"/>
  <c r="G40" i="1"/>
  <c r="H42" i="1"/>
  <c r="H40" i="1"/>
  <c r="I42" i="1"/>
  <c r="I40" i="1"/>
  <c r="J42" i="1"/>
  <c r="J40" i="1"/>
  <c r="K42" i="1"/>
  <c r="K40" i="1"/>
  <c r="L42" i="1"/>
  <c r="L40" i="1"/>
  <c r="M42" i="1"/>
  <c r="M40" i="1"/>
  <c r="N40" i="1"/>
  <c r="O42" i="3"/>
  <c r="O42" i="1"/>
  <c r="O42" i="2"/>
  <c r="J33" i="2"/>
  <c r="E30" i="1"/>
  <c r="E15" i="1"/>
  <c r="E16" i="1" s="1"/>
  <c r="K30" i="1" l="1"/>
  <c r="M30" i="1" s="1"/>
  <c r="G28" i="1"/>
  <c r="G29" i="1" s="1"/>
  <c r="F29" i="1"/>
  <c r="F30" i="1" s="1"/>
  <c r="C30" i="1"/>
  <c r="C29" i="1"/>
  <c r="I37" i="1"/>
  <c r="M37" i="1" s="1"/>
  <c r="I36" i="1"/>
  <c r="K36" i="1" s="1"/>
  <c r="K28" i="1"/>
  <c r="O34" i="1"/>
  <c r="O33" i="1"/>
  <c r="O32" i="1"/>
  <c r="G33" i="1"/>
  <c r="G32" i="1"/>
  <c r="G31" i="1"/>
  <c r="G30" i="1"/>
  <c r="D33" i="1"/>
  <c r="E33" i="1" s="1"/>
  <c r="D32" i="1"/>
  <c r="E32" i="1" s="1"/>
  <c r="I34" i="1" s="1"/>
  <c r="D31" i="1"/>
  <c r="D29" i="1"/>
  <c r="I28" i="1" l="1"/>
  <c r="M28" i="1" s="1"/>
  <c r="E29" i="1"/>
  <c r="I30" i="1" s="1"/>
  <c r="N32" i="1"/>
  <c r="L32" i="1"/>
  <c r="H28" i="1"/>
  <c r="M36" i="1"/>
  <c r="K37" i="1"/>
  <c r="K29" i="1"/>
  <c r="O28" i="1"/>
  <c r="G34" i="1"/>
  <c r="G35" i="1"/>
  <c r="I32" i="1"/>
  <c r="I33" i="1" s="1"/>
  <c r="K32" i="1"/>
  <c r="I21" i="1"/>
  <c r="G21" i="1"/>
  <c r="I9" i="1"/>
  <c r="I10" i="1" s="1"/>
  <c r="G9" i="1"/>
  <c r="Q28" i="1" l="1"/>
  <c r="Q29" i="1" s="1"/>
  <c r="G10" i="1"/>
  <c r="G14" i="1" s="1"/>
  <c r="G25" i="1"/>
  <c r="M29" i="1"/>
  <c r="K34" i="1"/>
  <c r="K33" i="1"/>
  <c r="I14" i="1"/>
  <c r="I13" i="1"/>
  <c r="I11" i="1"/>
  <c r="G11" i="1"/>
  <c r="I12" i="1" l="1"/>
  <c r="I22" i="1"/>
  <c r="I23" i="1"/>
  <c r="I24" i="1" s="1"/>
  <c r="G22" i="1"/>
  <c r="G23" i="1" s="1"/>
  <c r="G24" i="1" s="1"/>
  <c r="G12" i="1"/>
  <c r="G13" i="1" s="1"/>
  <c r="G17" i="1" s="1"/>
  <c r="G18" i="1" s="1"/>
  <c r="E31" i="1"/>
  <c r="O30" i="1" s="1"/>
  <c r="O29" i="1" s="1"/>
  <c r="E28" i="1"/>
  <c r="I15" i="1"/>
  <c r="I16" i="1" s="1"/>
  <c r="G15" i="1" l="1"/>
  <c r="G16" i="1" s="1"/>
  <c r="D53" i="1"/>
  <c r="H49" i="1"/>
  <c r="O49" i="1"/>
  <c r="E49" i="1"/>
  <c r="J49" i="1"/>
  <c r="D49" i="1"/>
  <c r="F49" i="1"/>
  <c r="K49" i="1"/>
  <c r="H53" i="1"/>
  <c r="G49" i="1"/>
  <c r="N49" i="1"/>
  <c r="E53" i="1"/>
  <c r="I49" i="1"/>
  <c r="E51" i="1"/>
  <c r="M49" i="1"/>
  <c r="L49" i="1"/>
  <c r="D51" i="1"/>
  <c r="F53" i="1"/>
  <c r="F51" i="1"/>
  <c r="G51" i="1"/>
  <c r="G53" i="1"/>
  <c r="I53" i="1"/>
  <c r="H51" i="1"/>
  <c r="J53" i="1"/>
  <c r="I51" i="1"/>
  <c r="K53" i="1"/>
  <c r="J51" i="1"/>
  <c r="L53" i="1"/>
  <c r="K51" i="1"/>
  <c r="M53" i="1"/>
  <c r="L51" i="1"/>
  <c r="N53" i="1"/>
  <c r="M51" i="1"/>
  <c r="O53" i="1"/>
  <c r="N51" i="1"/>
  <c r="O51" i="1"/>
  <c r="I29" i="1"/>
  <c r="M32" i="1"/>
  <c r="M33" i="1" s="1"/>
  <c r="M34" i="1" s="1"/>
  <c r="F31" i="1"/>
  <c r="H29" i="1"/>
  <c r="L28" i="1"/>
  <c r="L29" i="1" s="1"/>
  <c r="C31" i="1"/>
  <c r="L34" i="1" s="1"/>
  <c r="J28" i="1"/>
  <c r="J29" i="1" s="1"/>
  <c r="C32" i="1"/>
  <c r="C34" i="1" s="1"/>
  <c r="H36" i="1"/>
  <c r="H37" i="1" s="1"/>
  <c r="J30" i="1" l="1"/>
  <c r="F32" i="1"/>
  <c r="J36" i="1"/>
  <c r="J37" i="1" s="1"/>
  <c r="P28" i="1"/>
  <c r="N34" i="1"/>
  <c r="N33" i="1" s="1"/>
  <c r="N28" i="1"/>
  <c r="N30" i="1" s="1"/>
  <c r="H32" i="1"/>
  <c r="H33" i="1" s="1"/>
  <c r="C33" i="1"/>
  <c r="L33" i="1"/>
  <c r="H30" i="1"/>
  <c r="L30" i="1"/>
  <c r="F33" i="1"/>
  <c r="F34" i="1" s="1"/>
  <c r="H34" i="1" l="1"/>
  <c r="L36" i="1"/>
  <c r="L37" i="1" s="1"/>
  <c r="N29" i="1"/>
  <c r="J34" i="1"/>
  <c r="J32" i="1"/>
  <c r="F35" i="1"/>
  <c r="P30" i="1"/>
  <c r="P29" i="1"/>
  <c r="J33" i="1" l="1"/>
</calcChain>
</file>

<file path=xl/sharedStrings.xml><?xml version="1.0" encoding="utf-8"?>
<sst xmlns="http://schemas.openxmlformats.org/spreadsheetml/2006/main" count="477" uniqueCount="76">
  <si>
    <t>Caudal de diseño</t>
  </si>
  <si>
    <t>Altura de la caída</t>
  </si>
  <si>
    <t xml:space="preserve">m </t>
  </si>
  <si>
    <t>Ancho superficial</t>
  </si>
  <si>
    <t>m</t>
  </si>
  <si>
    <r>
      <t>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/m s</t>
    </r>
  </si>
  <si>
    <r>
      <t>m</t>
    </r>
    <r>
      <rPr>
        <vertAlign val="superscript"/>
        <sz val="11"/>
        <color theme="1"/>
        <rFont val="Calibri"/>
        <family val="2"/>
        <scheme val="minor"/>
      </rPr>
      <t>2</t>
    </r>
  </si>
  <si>
    <t>Caudal medio</t>
  </si>
  <si>
    <t>m/s</t>
  </si>
  <si>
    <t>DISEÑO DE LAS ESTRUCTURAS DE CAÍDA</t>
  </si>
  <si>
    <t xml:space="preserve">Caudal por unidad de ancho </t>
  </si>
  <si>
    <t>Número de caída</t>
  </si>
  <si>
    <t>Profundidad antes del resalto</t>
  </si>
  <si>
    <t>Profundidad de la piscina</t>
  </si>
  <si>
    <t>Profundidad después del resalto</t>
  </si>
  <si>
    <t>Longitud der resalto</t>
  </si>
  <si>
    <t>Altura seleccionada del obstáculo</t>
  </si>
  <si>
    <t>Velocidad en la caída</t>
  </si>
  <si>
    <t>Profundidad en la caída</t>
  </si>
  <si>
    <t>Energía específica en la caída</t>
  </si>
  <si>
    <t>Velocidad antes del resalto</t>
  </si>
  <si>
    <t>Energía específica antes del resalto</t>
  </si>
  <si>
    <t>Energía discipada en la caída</t>
  </si>
  <si>
    <t>=</t>
  </si>
  <si>
    <t>q</t>
  </si>
  <si>
    <t>Qd</t>
  </si>
  <si>
    <t>hc</t>
  </si>
  <si>
    <t>T</t>
  </si>
  <si>
    <t>Dr</t>
  </si>
  <si>
    <r>
      <t>y</t>
    </r>
    <r>
      <rPr>
        <vertAlign val="subscript"/>
        <sz val="11"/>
        <color theme="1"/>
        <rFont val="Calibri"/>
        <family val="2"/>
        <scheme val="minor"/>
      </rPr>
      <t>1</t>
    </r>
  </si>
  <si>
    <r>
      <t>y</t>
    </r>
    <r>
      <rPr>
        <vertAlign val="subscript"/>
        <sz val="11"/>
        <color theme="1"/>
        <rFont val="Calibri"/>
        <family val="2"/>
        <scheme val="minor"/>
      </rPr>
      <t>2</t>
    </r>
  </si>
  <si>
    <r>
      <t>Y</t>
    </r>
    <r>
      <rPr>
        <vertAlign val="subscript"/>
        <sz val="11"/>
        <color theme="1"/>
        <rFont val="Calibri"/>
        <family val="2"/>
        <scheme val="minor"/>
      </rPr>
      <t>p</t>
    </r>
  </si>
  <si>
    <r>
      <t>L</t>
    </r>
    <r>
      <rPr>
        <vertAlign val="subscript"/>
        <sz val="11"/>
        <color theme="1"/>
        <rFont val="Calibri"/>
        <family val="2"/>
        <scheme val="minor"/>
      </rPr>
      <t>j</t>
    </r>
  </si>
  <si>
    <r>
      <t>L</t>
    </r>
    <r>
      <rPr>
        <vertAlign val="subscript"/>
        <sz val="11"/>
        <color theme="1"/>
        <rFont val="Calibri"/>
        <family val="2"/>
        <scheme val="minor"/>
      </rPr>
      <t>B</t>
    </r>
  </si>
  <si>
    <t>h</t>
  </si>
  <si>
    <r>
      <t>E</t>
    </r>
    <r>
      <rPr>
        <vertAlign val="subscript"/>
        <sz val="11"/>
        <color theme="1"/>
        <rFont val="Calibri"/>
        <family val="2"/>
        <scheme val="minor"/>
      </rPr>
      <t>0</t>
    </r>
  </si>
  <si>
    <r>
      <t>V</t>
    </r>
    <r>
      <rPr>
        <vertAlign val="subscript"/>
        <sz val="11"/>
        <color theme="1"/>
        <rFont val="Calibri"/>
        <family val="2"/>
        <scheme val="minor"/>
      </rPr>
      <t>1</t>
    </r>
  </si>
  <si>
    <r>
      <t>E</t>
    </r>
    <r>
      <rPr>
        <vertAlign val="subscript"/>
        <sz val="11"/>
        <color theme="1"/>
        <rFont val="Calibri"/>
        <family val="2"/>
        <scheme val="minor"/>
      </rPr>
      <t>1</t>
    </r>
  </si>
  <si>
    <t>DE</t>
  </si>
  <si>
    <t>Tr = 50
Evento máximo</t>
  </si>
  <si>
    <t>Tr = 2.33
Caudal dominante</t>
  </si>
  <si>
    <t>Parámetros del Modelo</t>
  </si>
  <si>
    <t>Proyecto:</t>
  </si>
  <si>
    <t>Datos de entrada en color rojo</t>
  </si>
  <si>
    <t>Realineamiento No. 4 Arroyo San Antonio</t>
  </si>
  <si>
    <t>Vert</t>
  </si>
  <si>
    <t>Abscisa</t>
  </si>
  <si>
    <t>Elev</t>
  </si>
  <si>
    <t>Parámetro</t>
  </si>
  <si>
    <t>Y2</t>
  </si>
  <si>
    <t>Final</t>
  </si>
  <si>
    <t>Y1</t>
  </si>
  <si>
    <t>Yo</t>
  </si>
  <si>
    <t>Inicio</t>
  </si>
  <si>
    <t>Fondo</t>
  </si>
  <si>
    <t>grosor (pto)</t>
  </si>
  <si>
    <t>Vertedero</t>
  </si>
  <si>
    <t>lj</t>
  </si>
  <si>
    <t>LB</t>
  </si>
  <si>
    <t>EJE</t>
  </si>
  <si>
    <t>Número de Froude antes del resalto</t>
  </si>
  <si>
    <t>NF1</t>
  </si>
  <si>
    <t>adm</t>
  </si>
  <si>
    <t>yc</t>
  </si>
  <si>
    <t>Longitud hasta la profundidad secuente</t>
  </si>
  <si>
    <t>*</t>
  </si>
  <si>
    <r>
      <t>m</t>
    </r>
    <r>
      <rPr>
        <vertAlign val="superscript"/>
        <sz val="11"/>
        <color theme="4"/>
        <rFont val="Calibri"/>
        <family val="2"/>
        <scheme val="minor"/>
      </rPr>
      <t>3</t>
    </r>
    <r>
      <rPr>
        <sz val="11"/>
        <color theme="4"/>
        <rFont val="Calibri"/>
        <family val="2"/>
        <scheme val="minor"/>
      </rPr>
      <t>/s</t>
    </r>
  </si>
  <si>
    <r>
      <t>V</t>
    </r>
    <r>
      <rPr>
        <vertAlign val="subscript"/>
        <sz val="11"/>
        <color theme="4"/>
        <rFont val="Calibri"/>
        <family val="2"/>
        <scheme val="minor"/>
      </rPr>
      <t>0</t>
    </r>
  </si>
  <si>
    <r>
      <t>y</t>
    </r>
    <r>
      <rPr>
        <vertAlign val="subscript"/>
        <sz val="11"/>
        <color theme="4"/>
        <rFont val="Calibri"/>
        <family val="2"/>
        <scheme val="minor"/>
      </rPr>
      <t>0</t>
    </r>
  </si>
  <si>
    <t>Y3</t>
  </si>
  <si>
    <t>Datos de entrada en color azul</t>
  </si>
  <si>
    <t>h (c.m.)</t>
  </si>
  <si>
    <t>h energía</t>
  </si>
  <si>
    <t>h c.m.a.</t>
  </si>
  <si>
    <t>y3</t>
  </si>
  <si>
    <t>Profundidad sobre el contraescalón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</si>
</sst>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17" x14ac:knownFonts="1">
    <font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0070C0"/>
      <name val="Calibri Light"/>
      <family val="2"/>
    </font>
    <font>
      <sz val="10"/>
      <name val="Calibri Light"/>
      <family val="2"/>
    </font>
    <font>
      <sz val="10"/>
      <color theme="4"/>
      <name val="Calibri Light"/>
      <family val="2"/>
    </font>
    <font>
      <vertAlign val="superscript"/>
      <sz val="11"/>
      <color theme="4"/>
      <name val="Calibri"/>
      <family val="2"/>
      <scheme val="minor"/>
    </font>
    <font>
      <sz val="11"/>
      <color theme="4"/>
      <name val="Calibri"/>
      <family val="2"/>
      <scheme val="minor"/>
    </font>
    <font>
      <vertAlign val="subscript"/>
      <sz val="11"/>
      <color theme="4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i/>
      <u/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C9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1" tint="0.499984740745262"/>
      </right>
      <top style="thin">
        <color indexed="64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indexed="64"/>
      </top>
      <bottom/>
      <diagonal/>
    </border>
    <border>
      <left style="thin">
        <color theme="1" tint="0.499984740745262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indexed="64"/>
      </right>
      <top/>
      <bottom/>
      <diagonal/>
    </border>
    <border>
      <left style="thin">
        <color indexed="64"/>
      </left>
      <right style="thin">
        <color theme="1" tint="0.499984740745262"/>
      </right>
      <top/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94">
    <xf numFmtId="0" fontId="0" fillId="0" borderId="0" xfId="0"/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vertical="center"/>
    </xf>
    <xf numFmtId="2" fontId="0" fillId="0" borderId="1" xfId="0" applyNumberFormat="1" applyBorder="1" applyAlignment="1">
      <alignment vertical="center"/>
    </xf>
    <xf numFmtId="2" fontId="0" fillId="0" borderId="3" xfId="0" applyNumberFormat="1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6" xfId="0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2" fontId="5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0" fontId="0" fillId="0" borderId="9" xfId="0" applyBorder="1" applyAlignment="1">
      <alignment vertical="center"/>
    </xf>
    <xf numFmtId="0" fontId="0" fillId="0" borderId="11" xfId="0" applyBorder="1" applyAlignment="1">
      <alignment vertical="center"/>
    </xf>
    <xf numFmtId="2" fontId="0" fillId="0" borderId="0" xfId="0" applyNumberFormat="1" applyBorder="1" applyAlignment="1">
      <alignment vertical="center"/>
    </xf>
    <xf numFmtId="2" fontId="0" fillId="0" borderId="4" xfId="0" applyNumberFormat="1" applyBorder="1" applyAlignment="1">
      <alignment vertical="center"/>
    </xf>
    <xf numFmtId="164" fontId="0" fillId="0" borderId="5" xfId="0" applyNumberFormat="1" applyBorder="1" applyAlignment="1">
      <alignment vertical="center"/>
    </xf>
    <xf numFmtId="164" fontId="0" fillId="0" borderId="0" xfId="0" applyNumberFormat="1" applyBorder="1" applyAlignment="1">
      <alignment vertical="center"/>
    </xf>
    <xf numFmtId="164" fontId="0" fillId="0" borderId="4" xfId="0" applyNumberFormat="1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7" xfId="0" applyBorder="1" applyAlignment="1">
      <alignment vertical="center"/>
    </xf>
    <xf numFmtId="2" fontId="0" fillId="0" borderId="11" xfId="0" applyNumberFormat="1" applyBorder="1" applyAlignment="1">
      <alignment vertical="center"/>
    </xf>
    <xf numFmtId="2" fontId="0" fillId="0" borderId="9" xfId="0" applyNumberFormat="1" applyBorder="1" applyAlignment="1">
      <alignment vertical="center"/>
    </xf>
    <xf numFmtId="2" fontId="0" fillId="0" borderId="5" xfId="0" applyNumberFormat="1" applyBorder="1" applyAlignment="1">
      <alignment vertical="center"/>
    </xf>
    <xf numFmtId="2" fontId="0" fillId="0" borderId="2" xfId="0" applyNumberFormat="1" applyBorder="1" applyAlignment="1">
      <alignment vertical="center"/>
    </xf>
    <xf numFmtId="0" fontId="6" fillId="0" borderId="6" xfId="0" applyFont="1" applyBorder="1" applyAlignment="1">
      <alignment vertical="center"/>
    </xf>
    <xf numFmtId="0" fontId="0" fillId="0" borderId="0" xfId="0" applyBorder="1" applyAlignment="1">
      <alignment vertical="center"/>
    </xf>
    <xf numFmtId="164" fontId="0" fillId="0" borderId="10" xfId="0" applyNumberFormat="1" applyBorder="1" applyAlignment="1">
      <alignment vertical="center"/>
    </xf>
    <xf numFmtId="164" fontId="0" fillId="0" borderId="8" xfId="0" applyNumberFormat="1" applyBorder="1" applyAlignment="1">
      <alignment vertical="center"/>
    </xf>
    <xf numFmtId="2" fontId="0" fillId="0" borderId="8" xfId="0" applyNumberFormat="1" applyBorder="1" applyAlignment="1">
      <alignment vertical="center"/>
    </xf>
    <xf numFmtId="164" fontId="0" fillId="0" borderId="11" xfId="0" applyNumberFormat="1" applyBorder="1" applyAlignment="1">
      <alignment vertical="center"/>
    </xf>
    <xf numFmtId="1" fontId="0" fillId="0" borderId="6" xfId="0" applyNumberFormat="1" applyBorder="1" applyAlignment="1">
      <alignment vertical="center"/>
    </xf>
    <xf numFmtId="0" fontId="0" fillId="2" borderId="12" xfId="0" applyFont="1" applyFill="1" applyBorder="1" applyAlignment="1">
      <alignment horizontal="center" vertical="center" wrapText="1"/>
    </xf>
    <xf numFmtId="165" fontId="0" fillId="2" borderId="13" xfId="0" applyNumberFormat="1" applyFont="1" applyFill="1" applyBorder="1" applyAlignment="1">
      <alignment horizontal="center" vertical="center" wrapText="1"/>
    </xf>
    <xf numFmtId="0" fontId="0" fillId="2" borderId="13" xfId="0" applyFont="1" applyFill="1" applyBorder="1" applyAlignment="1">
      <alignment horizontal="center" vertical="center" wrapText="1"/>
    </xf>
    <xf numFmtId="0" fontId="0" fillId="2" borderId="14" xfId="0" applyFont="1" applyFill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164" fontId="7" fillId="0" borderId="13" xfId="0" applyNumberFormat="1" applyFont="1" applyBorder="1" applyAlignment="1">
      <alignment horizontal="center" vertical="center" wrapText="1"/>
    </xf>
    <xf numFmtId="0" fontId="7" fillId="0" borderId="15" xfId="0" applyFont="1" applyBorder="1" applyAlignment="1">
      <alignment horizontal="center" vertical="center" wrapText="1"/>
    </xf>
    <xf numFmtId="164" fontId="7" fillId="0" borderId="16" xfId="0" applyNumberFormat="1" applyFont="1" applyBorder="1" applyAlignment="1">
      <alignment horizontal="center" vertical="center" wrapText="1"/>
    </xf>
    <xf numFmtId="0" fontId="7" fillId="0" borderId="16" xfId="0" applyFont="1" applyBorder="1" applyAlignment="1">
      <alignment horizontal="center" vertical="center" wrapText="1"/>
    </xf>
    <xf numFmtId="0" fontId="7" fillId="0" borderId="17" xfId="0" applyFont="1" applyBorder="1" applyAlignment="1">
      <alignment horizontal="center" vertical="center" wrapText="1"/>
    </xf>
    <xf numFmtId="0" fontId="8" fillId="0" borderId="15" xfId="0" applyFont="1" applyBorder="1" applyAlignment="1">
      <alignment horizontal="center" vertical="center" wrapText="1"/>
    </xf>
    <xf numFmtId="164" fontId="8" fillId="0" borderId="16" xfId="0" applyNumberFormat="1" applyFont="1" applyBorder="1" applyAlignment="1">
      <alignment horizontal="center" vertical="center" wrapText="1"/>
    </xf>
    <xf numFmtId="0" fontId="8" fillId="0" borderId="16" xfId="0" applyFont="1" applyBorder="1" applyAlignment="1">
      <alignment horizontal="center" vertical="center" wrapText="1"/>
    </xf>
    <xf numFmtId="0" fontId="8" fillId="0" borderId="17" xfId="0" applyFont="1" applyBorder="1" applyAlignment="1">
      <alignment horizontal="center" vertical="center" wrapText="1"/>
    </xf>
    <xf numFmtId="0" fontId="8" fillId="0" borderId="18" xfId="0" applyFont="1" applyBorder="1" applyAlignment="1">
      <alignment horizontal="center" vertical="center" wrapText="1"/>
    </xf>
    <xf numFmtId="164" fontId="8" fillId="0" borderId="19" xfId="0" applyNumberFormat="1" applyFont="1" applyBorder="1" applyAlignment="1">
      <alignment horizontal="center" vertical="center" wrapText="1"/>
    </xf>
    <xf numFmtId="0" fontId="8" fillId="0" borderId="19" xfId="0" applyFont="1" applyBorder="1" applyAlignment="1">
      <alignment horizontal="center" vertical="center" wrapText="1"/>
    </xf>
    <xf numFmtId="164" fontId="9" fillId="0" borderId="13" xfId="0" applyNumberFormat="1" applyFont="1" applyBorder="1" applyAlignment="1">
      <alignment horizontal="center" vertical="center" wrapText="1"/>
    </xf>
    <xf numFmtId="0" fontId="9" fillId="0" borderId="14" xfId="0" applyFont="1" applyBorder="1" applyAlignment="1">
      <alignment horizontal="center" vertical="center" wrapText="1"/>
    </xf>
    <xf numFmtId="0" fontId="9" fillId="0" borderId="15" xfId="0" applyFont="1" applyBorder="1" applyAlignment="1">
      <alignment horizontal="center" vertical="center" wrapText="1"/>
    </xf>
    <xf numFmtId="164" fontId="9" fillId="0" borderId="16" xfId="0" applyNumberFormat="1" applyFont="1" applyBorder="1" applyAlignment="1">
      <alignment horizontal="center" vertical="center" wrapText="1"/>
    </xf>
    <xf numFmtId="0" fontId="9" fillId="0" borderId="16" xfId="0" applyFont="1" applyBorder="1" applyAlignment="1">
      <alignment horizontal="center" vertical="center" wrapText="1"/>
    </xf>
    <xf numFmtId="0" fontId="9" fillId="0" borderId="17" xfId="0" applyFont="1" applyBorder="1" applyAlignment="1">
      <alignment horizontal="center" vertical="center" wrapText="1"/>
    </xf>
    <xf numFmtId="164" fontId="0" fillId="0" borderId="2" xfId="0" applyNumberFormat="1" applyBorder="1" applyAlignment="1">
      <alignment vertical="center"/>
    </xf>
    <xf numFmtId="0" fontId="0" fillId="0" borderId="20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3" fillId="0" borderId="4" xfId="0" applyFont="1" applyBorder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23" xfId="0" applyFont="1" applyBorder="1" applyAlignment="1">
      <alignment horizontal="center" vertical="center" wrapText="1"/>
    </xf>
    <xf numFmtId="0" fontId="13" fillId="0" borderId="24" xfId="0" applyFont="1" applyBorder="1" applyAlignment="1">
      <alignment horizontal="center" vertical="center" wrapTex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13" fillId="3" borderId="20" xfId="0" applyFont="1" applyFill="1" applyBorder="1" applyAlignment="1">
      <alignment horizontal="center" vertical="center"/>
    </xf>
    <xf numFmtId="0" fontId="13" fillId="3" borderId="21" xfId="0" applyFont="1" applyFill="1" applyBorder="1" applyAlignment="1">
      <alignment horizontal="center" vertical="center"/>
    </xf>
    <xf numFmtId="0" fontId="0" fillId="3" borderId="22" xfId="0" applyFill="1" applyBorder="1" applyAlignment="1">
      <alignment horizontal="center" vertical="center" wrapText="1"/>
    </xf>
    <xf numFmtId="0" fontId="0" fillId="3" borderId="21" xfId="0" applyFill="1" applyBorder="1" applyAlignment="1">
      <alignment horizontal="center" vertical="center" wrapText="1"/>
    </xf>
    <xf numFmtId="0" fontId="13" fillId="3" borderId="23" xfId="0" applyFont="1" applyFill="1" applyBorder="1" applyAlignment="1">
      <alignment horizontal="center" vertical="center" wrapText="1"/>
    </xf>
    <xf numFmtId="0" fontId="13" fillId="3" borderId="24" xfId="0" applyFont="1" applyFill="1" applyBorder="1" applyAlignment="1">
      <alignment horizontal="center" vertical="center" wrapText="1"/>
    </xf>
    <xf numFmtId="0" fontId="0" fillId="3" borderId="20" xfId="0" applyFill="1" applyBorder="1" applyAlignment="1">
      <alignment horizontal="center" vertical="center" wrapText="1"/>
    </xf>
    <xf numFmtId="0" fontId="15" fillId="3" borderId="20" xfId="0" applyFont="1" applyFill="1" applyBorder="1" applyAlignment="1">
      <alignment horizontal="center" vertical="center" wrapText="1"/>
    </xf>
    <xf numFmtId="0" fontId="15" fillId="3" borderId="21" xfId="0" applyFont="1" applyFill="1" applyBorder="1" applyAlignment="1">
      <alignment horizontal="center" vertical="center" wrapText="1"/>
    </xf>
    <xf numFmtId="0" fontId="14" fillId="3" borderId="20" xfId="0" applyFont="1" applyFill="1" applyBorder="1" applyAlignment="1">
      <alignment horizontal="center" vertical="center"/>
    </xf>
    <xf numFmtId="0" fontId="14" fillId="3" borderId="21" xfId="0" applyFont="1" applyFill="1" applyBorder="1" applyAlignment="1">
      <alignment horizontal="center" vertical="center"/>
    </xf>
    <xf numFmtId="0" fontId="14" fillId="3" borderId="23" xfId="0" applyFont="1" applyFill="1" applyBorder="1" applyAlignment="1">
      <alignment horizontal="center" vertical="center" wrapText="1"/>
    </xf>
    <xf numFmtId="0" fontId="14" fillId="3" borderId="24" xfId="0" applyFont="1" applyFill="1" applyBorder="1" applyAlignment="1">
      <alignment horizontal="center" vertical="center" wrapText="1"/>
    </xf>
    <xf numFmtId="0" fontId="15" fillId="3" borderId="22" xfId="0" applyFont="1" applyFill="1" applyBorder="1" applyAlignment="1">
      <alignment horizontal="center" vertical="center" wrapText="1"/>
    </xf>
    <xf numFmtId="0" fontId="16" fillId="3" borderId="22" xfId="0" applyFont="1" applyFill="1" applyBorder="1" applyAlignment="1">
      <alignment horizontal="center" vertical="center" wrapText="1"/>
    </xf>
    <xf numFmtId="0" fontId="16" fillId="3" borderId="21" xfId="0" applyFont="1" applyFill="1" applyBorder="1" applyAlignment="1">
      <alignment horizontal="center" vertical="center" wrapText="1"/>
    </xf>
    <xf numFmtId="0" fontId="0" fillId="3" borderId="20" xfId="0" applyFill="1" applyBorder="1" applyAlignment="1">
      <alignment horizontal="center" vertical="center"/>
    </xf>
    <xf numFmtId="0" fontId="0" fillId="3" borderId="21" xfId="0" applyFill="1" applyBorder="1" applyAlignment="1">
      <alignment horizontal="center" vertical="center"/>
    </xf>
    <xf numFmtId="0" fontId="15" fillId="3" borderId="20" xfId="0" applyFont="1" applyFill="1" applyBorder="1" applyAlignment="1">
      <alignment horizontal="center" vertical="center"/>
    </xf>
    <xf numFmtId="0" fontId="15" fillId="3" borderId="2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C9"/>
      <color rgb="FF8D835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1"/>
          <c:tx>
            <c:v>Fondo</c:v>
          </c:tx>
          <c:spPr>
            <a:ln w="101600" cap="flat" cmpd="sng">
              <a:solidFill>
                <a:schemeClr val="bg2">
                  <a:lumMod val="50000"/>
                </a:schemeClr>
              </a:solidFill>
              <a:prstDash val="solid"/>
              <a:miter lim="800000"/>
            </a:ln>
            <a:effectLst/>
          </c:spPr>
          <c:marker>
            <c:symbol val="none"/>
          </c:marker>
          <c:xVal>
            <c:numRef>
              <c:f>'Zona 1 (aguas arriba)'!$F$28:$F$35</c:f>
              <c:numCache>
                <c:formatCode>General</c:formatCode>
                <c:ptCount val="8"/>
                <c:pt idx="0">
                  <c:v>0</c:v>
                </c:pt>
                <c:pt idx="1">
                  <c:v>0.8487612297311925</c:v>
                </c:pt>
                <c:pt idx="2">
                  <c:v>0.8487612297311925</c:v>
                </c:pt>
                <c:pt idx="3">
                  <c:v>2.5462836891935772</c:v>
                </c:pt>
                <c:pt idx="4">
                  <c:v>7.3126745254970622</c:v>
                </c:pt>
                <c:pt idx="5">
                  <c:v>11.033895986505502</c:v>
                </c:pt>
                <c:pt idx="6">
                  <c:v>11.033895986505502</c:v>
                </c:pt>
                <c:pt idx="7">
                  <c:v>16.126463364892658</c:v>
                </c:pt>
              </c:numCache>
            </c:numRef>
          </c:xVal>
          <c:yVal>
            <c:numRef>
              <c:f>'Zona 1 (aguas arriba)'!$G$28:$G$35</c:f>
              <c:numCache>
                <c:formatCode>General</c:formatCode>
                <c:ptCount val="8"/>
                <c:pt idx="0">
                  <c:v>2.2116887023264957</c:v>
                </c:pt>
                <c:pt idx="1">
                  <c:v>2.2116887023264957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 formatCode="0.00">
                  <c:v>2</c:v>
                </c:pt>
                <c:pt idx="6" formatCode="0.00">
                  <c:v>2.5</c:v>
                </c:pt>
                <c:pt idx="7" formatCode="0.00">
                  <c:v>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22-4B23-BB24-187E91C13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8477184"/>
        <c:axId val="578476064"/>
      </c:scatterChart>
      <c:scatterChart>
        <c:scatterStyle val="smoothMarker"/>
        <c:varyColors val="0"/>
        <c:ser>
          <c:idx val="0"/>
          <c:order val="0"/>
          <c:tx>
            <c:strRef>
              <c:f>'Zona 1 (aguas arriba)'!$E$27</c:f>
              <c:strCache>
                <c:ptCount val="1"/>
                <c:pt idx="0">
                  <c:v>Elev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'Zona 1 (aguas arriba)'!$C$28:$C$33</c:f>
              <c:numCache>
                <c:formatCode>General</c:formatCode>
                <c:ptCount val="6"/>
                <c:pt idx="0">
                  <c:v>0</c:v>
                </c:pt>
                <c:pt idx="1">
                  <c:v>1.2731418445967886</c:v>
                </c:pt>
                <c:pt idx="2">
                  <c:v>2.5462836891935772</c:v>
                </c:pt>
                <c:pt idx="3" formatCode="0.00">
                  <c:v>7.3126745254970622</c:v>
                </c:pt>
                <c:pt idx="4" formatCode="0.00">
                  <c:v>11.033895986505502</c:v>
                </c:pt>
                <c:pt idx="5">
                  <c:v>16.126463364892658</c:v>
                </c:pt>
              </c:numCache>
            </c:numRef>
          </c:xVal>
          <c:yVal>
            <c:numRef>
              <c:f>'Zona 1 (aguas arriba)'!$E$28:$E$33</c:f>
              <c:numCache>
                <c:formatCode>0.000</c:formatCode>
                <c:ptCount val="6"/>
                <c:pt idx="0">
                  <c:v>3.5064315046881043</c:v>
                </c:pt>
                <c:pt idx="1">
                  <c:v>3.4346966711315279</c:v>
                </c:pt>
                <c:pt idx="2">
                  <c:v>3.2912270040183751</c:v>
                </c:pt>
                <c:pt idx="3">
                  <c:v>2.6402981984142802</c:v>
                </c:pt>
                <c:pt idx="4">
                  <c:v>4.51</c:v>
                </c:pt>
                <c:pt idx="5">
                  <c:v>4.8114999999999997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922-4B23-BB24-187E91C13E1E}"/>
            </c:ext>
          </c:extLst>
        </c:ser>
        <c:ser>
          <c:idx val="2"/>
          <c:order val="2"/>
          <c:tx>
            <c:strRef>
              <c:f>'Zona 1 (aguas arriba)'!$H$27</c:f>
              <c:strCache>
                <c:ptCount val="1"/>
                <c:pt idx="0">
                  <c:v>Y2</c:v>
                </c:pt>
              </c:strCache>
            </c:strRef>
          </c:tx>
          <c:spPr>
            <a:ln w="12700" cap="rnd">
              <a:solidFill>
                <a:schemeClr val="bg1">
                  <a:lumMod val="50000"/>
                </a:schemeClr>
              </a:solidFill>
              <a:round/>
              <a:headEnd type="triangle"/>
              <a:tailEnd type="triangle" w="med" len="med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922-4B23-BB24-187E91C13E1E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2.8875513115773157E-2"/>
                      <c:h val="4.9094010939782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2922-4B23-BB24-187E91C13E1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922-4B23-BB24-187E91C13E1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'Zona 1 (aguas arriba)'!$H$28:$H$30</c:f>
              <c:numCache>
                <c:formatCode>General</c:formatCode>
                <c:ptCount val="3"/>
                <c:pt idx="0">
                  <c:v>1.2731418445967886</c:v>
                </c:pt>
                <c:pt idx="1">
                  <c:v>1.2731418445967886</c:v>
                </c:pt>
                <c:pt idx="2">
                  <c:v>1.2731418445967886</c:v>
                </c:pt>
              </c:numCache>
            </c:numRef>
          </c:xVal>
          <c:yVal>
            <c:numRef>
              <c:f>'Zona 1 (aguas arriba)'!$I$28:$I$30</c:f>
              <c:numCache>
                <c:formatCode>0.00</c:formatCode>
                <c:ptCount val="3"/>
                <c:pt idx="0">
                  <c:v>2.08</c:v>
                </c:pt>
                <c:pt idx="1">
                  <c:v>2.757348335565764</c:v>
                </c:pt>
                <c:pt idx="2" formatCode="0.000">
                  <c:v>3.4346966711315279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922-4B23-BB24-187E91C13E1E}"/>
            </c:ext>
          </c:extLst>
        </c:ser>
        <c:ser>
          <c:idx val="5"/>
          <c:order val="3"/>
          <c:tx>
            <c:strRef>
              <c:f>'Zona 1 (aguas arriba)'!$N$27</c:f>
              <c:strCache>
                <c:ptCount val="1"/>
                <c:pt idx="0">
                  <c:v>Y1</c:v>
                </c:pt>
              </c:strCache>
            </c:strRef>
          </c:tx>
          <c:spPr>
            <a:ln w="12700" cap="flat">
              <a:solidFill>
                <a:schemeClr val="bg1">
                  <a:lumMod val="50000"/>
                </a:schemeClr>
              </a:solidFill>
              <a:miter lim="800000"/>
              <a:headEnd type="triangle" w="sm" len="sm"/>
              <a:tailEnd type="triangle" w="sm" len="sm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922-4B23-BB24-187E91C13E1E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>
                  <a:outerShdw dir="5400000" algn="ctr" rotWithShape="0">
                    <a:srgbClr val="000000">
                      <a:alpha val="43137"/>
                    </a:srgbClr>
                  </a:outerShdw>
                </a:effectLst>
              </c:spPr>
              <c:txPr>
                <a:bodyPr rot="0" spcFirstLastPara="1" vertOverflow="ellipsis" vert="horz" wrap="square" lIns="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3.286131702681757E-2"/>
                      <c:h val="3.27293406265214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2922-4B23-BB24-187E91C13E1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922-4B23-BB24-187E91C13E1E}"/>
                </c:ext>
              </c:extLst>
            </c:dLbl>
            <c:spPr>
              <a:noFill/>
              <a:ln>
                <a:noFill/>
              </a:ln>
              <a:effectLst>
                <a:outerShdw dir="5400000" algn="ctr" rotWithShape="0">
                  <a:srgbClr val="000000">
                    <a:alpha val="43137"/>
                  </a:srgbClr>
                </a:outerShdw>
              </a:effectLst>
            </c:spPr>
            <c:txPr>
              <a:bodyPr rot="0" spcFirstLastPara="1" vertOverflow="ellipsis" vert="horz" wrap="square" lIns="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'Zona 1 (aguas arriba)'!$N$28:$N$30</c:f>
              <c:numCache>
                <c:formatCode>0.00</c:formatCode>
                <c:ptCount val="3"/>
                <c:pt idx="0">
                  <c:v>7.3126745254970622</c:v>
                </c:pt>
                <c:pt idx="1">
                  <c:v>7.3126745254970622</c:v>
                </c:pt>
                <c:pt idx="2">
                  <c:v>7.3126745254970622</c:v>
                </c:pt>
              </c:numCache>
            </c:numRef>
          </c:xVal>
          <c:yVal>
            <c:numRef>
              <c:f>'Zona 1 (aguas arriba)'!$O$28:$O$30</c:f>
              <c:numCache>
                <c:formatCode>0.00</c:formatCode>
                <c:ptCount val="3"/>
                <c:pt idx="0">
                  <c:v>2.08</c:v>
                </c:pt>
                <c:pt idx="1">
                  <c:v>2.3601490992071401</c:v>
                </c:pt>
                <c:pt idx="2" formatCode="0.000">
                  <c:v>2.6402981984142802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2922-4B23-BB24-187E91C13E1E}"/>
            </c:ext>
          </c:extLst>
        </c:ser>
        <c:ser>
          <c:idx val="6"/>
          <c:order val="4"/>
          <c:tx>
            <c:strRef>
              <c:f>'Zona 1 (aguas arriba)'!$P$27</c:f>
              <c:strCache>
                <c:ptCount val="1"/>
                <c:pt idx="0">
                  <c:v>hc</c:v>
                </c:pt>
              </c:strCache>
            </c:strRef>
          </c:tx>
          <c:spPr>
            <a:ln w="12700" cap="flat">
              <a:solidFill>
                <a:schemeClr val="bg1">
                  <a:lumMod val="50000"/>
                </a:schemeClr>
              </a:solidFill>
              <a:miter lim="800000"/>
              <a:headEnd type="triangle" w="sm" len="sm"/>
              <a:tailEnd type="triangle" w="sm" len="sm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922-4B23-BB24-187E91C13E1E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O"/>
                </a:p>
              </c:txPr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3.286131702681757E-2"/>
                      <c:h val="4.9094010939782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B-2922-4B23-BB24-187E91C13E1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922-4B23-BB24-187E91C13E1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'Zona 1 (aguas arriba)'!$P$28:$P$30</c:f>
              <c:numCache>
                <c:formatCode>General</c:formatCode>
                <c:ptCount val="3"/>
                <c:pt idx="0">
                  <c:v>10.482201187180227</c:v>
                </c:pt>
                <c:pt idx="1">
                  <c:v>10.482201187180227</c:v>
                </c:pt>
                <c:pt idx="2">
                  <c:v>10.482201187180227</c:v>
                </c:pt>
              </c:numCache>
            </c:numRef>
          </c:xVal>
          <c:yVal>
            <c:numRef>
              <c:f>'Zona 1 (aguas arriba)'!$Q$28:$Q$30</c:f>
              <c:numCache>
                <c:formatCode>0.00</c:formatCode>
                <c:ptCount val="3"/>
                <c:pt idx="0">
                  <c:v>2.08</c:v>
                </c:pt>
                <c:pt idx="1">
                  <c:v>2.33</c:v>
                </c:pt>
                <c:pt idx="2" formatCode="General">
                  <c:v>2.58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2922-4B23-BB24-187E91C13E1E}"/>
            </c:ext>
          </c:extLst>
        </c:ser>
        <c:ser>
          <c:idx val="7"/>
          <c:order val="5"/>
          <c:tx>
            <c:strRef>
              <c:f>'Zona 1 (aguas arriba)'!$H$31</c:f>
              <c:strCache>
                <c:ptCount val="1"/>
                <c:pt idx="0">
                  <c:v>Yo</c:v>
                </c:pt>
              </c:strCache>
            </c:strRef>
          </c:tx>
          <c:spPr>
            <a:ln w="12700" cap="flat">
              <a:solidFill>
                <a:schemeClr val="bg1">
                  <a:lumMod val="50000"/>
                </a:schemeClr>
              </a:solidFill>
              <a:miter lim="800000"/>
              <a:headEnd type="triangle" w="sm" len="sm"/>
              <a:tailEnd type="triangle" w="sm" len="sm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2922-4B23-BB24-187E91C13E1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2922-4B23-BB24-187E91C13E1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'Zona 1 (aguas arriba)'!$H$32:$H$34</c:f>
              <c:numCache>
                <c:formatCode>General</c:formatCode>
                <c:ptCount val="3"/>
                <c:pt idx="0">
                  <c:v>10.953895986505502</c:v>
                </c:pt>
                <c:pt idx="1">
                  <c:v>10.953895986505502</c:v>
                </c:pt>
                <c:pt idx="2">
                  <c:v>10.953895986505502</c:v>
                </c:pt>
              </c:numCache>
            </c:numRef>
          </c:xVal>
          <c:yVal>
            <c:numRef>
              <c:f>'Zona 1 (aguas arriba)'!$I$32:$I$34</c:f>
              <c:numCache>
                <c:formatCode>0.00</c:formatCode>
                <c:ptCount val="3"/>
                <c:pt idx="0" formatCode="General">
                  <c:v>2.58</c:v>
                </c:pt>
                <c:pt idx="1">
                  <c:v>3.5449999999999999</c:v>
                </c:pt>
                <c:pt idx="2" formatCode="0.000">
                  <c:v>4.51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2922-4B23-BB24-187E91C13E1E}"/>
            </c:ext>
          </c:extLst>
        </c:ser>
        <c:ser>
          <c:idx val="8"/>
          <c:order val="6"/>
          <c:tx>
            <c:strRef>
              <c:f>'Zona 1 (aguas arriba)'!$J$31</c:f>
              <c:strCache>
                <c:ptCount val="1"/>
                <c:pt idx="0">
                  <c:v>Qd</c:v>
                </c:pt>
              </c:strCache>
            </c:strRef>
          </c:tx>
          <c:spPr>
            <a:ln w="50800" cap="flat">
              <a:solidFill>
                <a:schemeClr val="bg2">
                  <a:lumMod val="90000"/>
                </a:schemeClr>
              </a:solidFill>
              <a:miter lim="800000"/>
              <a:headEnd type="stealth" w="lg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2922-4B23-BB24-187E91C13E1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2922-4B23-BB24-187E91C13E1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'Zona 1 (aguas arriba)'!$J$32:$J$34</c:f>
              <c:numCache>
                <c:formatCode>0.00</c:formatCode>
                <c:ptCount val="3"/>
                <c:pt idx="0">
                  <c:v>13.58017967569908</c:v>
                </c:pt>
                <c:pt idx="1">
                  <c:v>14.344064782457153</c:v>
                </c:pt>
                <c:pt idx="2">
                  <c:v>15.107949889215227</c:v>
                </c:pt>
              </c:numCache>
            </c:numRef>
          </c:xVal>
          <c:yVal>
            <c:numRef>
              <c:f>'Zona 1 (aguas arriba)'!$K$32:$K$34</c:f>
              <c:numCache>
                <c:formatCode>0.00</c:formatCode>
                <c:ptCount val="3"/>
                <c:pt idx="0">
                  <c:v>3.5</c:v>
                </c:pt>
                <c:pt idx="1">
                  <c:v>3.5</c:v>
                </c:pt>
                <c:pt idx="2">
                  <c:v>3.5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2922-4B23-BB24-187E91C13E1E}"/>
            </c:ext>
          </c:extLst>
        </c:ser>
        <c:ser>
          <c:idx val="9"/>
          <c:order val="7"/>
          <c:tx>
            <c:strRef>
              <c:f>'Zona 1 (aguas arriba)'!$N$31</c:f>
              <c:strCache>
                <c:ptCount val="1"/>
                <c:pt idx="0">
                  <c:v>LB</c:v>
                </c:pt>
              </c:strCache>
            </c:strRef>
          </c:tx>
          <c:spPr>
            <a:ln w="12700" cap="rnd">
              <a:solidFill>
                <a:schemeClr val="bg1">
                  <a:lumMod val="50000"/>
                </a:schemeClr>
              </a:solidFill>
              <a:round/>
              <a:headEnd type="triangle" w="sm" len="med"/>
              <a:tailEnd type="triangle" w="med" len="sm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2922-4B23-BB24-187E91C13E1E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5-2922-4B23-BB24-187E91C13E1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2922-4B23-BB24-187E91C13E1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'Zona 1 (aguas arriba)'!$N$32:$N$34</c:f>
              <c:numCache>
                <c:formatCode>0.00</c:formatCode>
                <c:ptCount val="3"/>
                <c:pt idx="0" formatCode="General">
                  <c:v>1.3531418445967887</c:v>
                </c:pt>
                <c:pt idx="1">
                  <c:v>6.1535189155511452</c:v>
                </c:pt>
                <c:pt idx="2" formatCode="General">
                  <c:v>10.953895986505502</c:v>
                </c:pt>
              </c:numCache>
            </c:numRef>
          </c:xVal>
          <c:yVal>
            <c:numRef>
              <c:f>'Zona 1 (aguas arriba)'!$O$32:$O$34</c:f>
              <c:numCache>
                <c:formatCode>General</c:formatCode>
                <c:ptCount val="3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2922-4B23-BB24-187E91C13E1E}"/>
            </c:ext>
          </c:extLst>
        </c:ser>
        <c:ser>
          <c:idx val="10"/>
          <c:order val="8"/>
          <c:tx>
            <c:strRef>
              <c:f>'Zona 1 (aguas arriba)'!$L$31</c:f>
              <c:strCache>
                <c:ptCount val="1"/>
                <c:pt idx="0">
                  <c:v>lj</c:v>
                </c:pt>
              </c:strCache>
            </c:strRef>
          </c:tx>
          <c:spPr>
            <a:ln w="12700" cap="flat">
              <a:solidFill>
                <a:schemeClr val="bg1">
                  <a:lumMod val="50000"/>
                </a:schemeClr>
              </a:solidFill>
              <a:miter lim="800000"/>
              <a:headEnd type="triangle" w="med" len="med"/>
              <a:tailEnd type="triangle" w="med" len="med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2922-4B23-BB24-187E91C13E1E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2922-4B23-BB24-187E91C13E1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2922-4B23-BB24-187E91C13E1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'Zona 1 (aguas arriba)'!$L$32:$L$34</c:f>
              <c:numCache>
                <c:formatCode>0.00</c:formatCode>
                <c:ptCount val="3"/>
                <c:pt idx="0" formatCode="General">
                  <c:v>1.3531418445967887</c:v>
                </c:pt>
                <c:pt idx="1">
                  <c:v>4.3329081850469251</c:v>
                </c:pt>
                <c:pt idx="2">
                  <c:v>7.3126745254970622</c:v>
                </c:pt>
              </c:numCache>
            </c:numRef>
          </c:xVal>
          <c:yVal>
            <c:numRef>
              <c:f>'Zona 1 (aguas arriba)'!$M$32:$M$34</c:f>
              <c:numCache>
                <c:formatCode>0.000</c:formatCode>
                <c:ptCount val="3"/>
                <c:pt idx="0">
                  <c:v>3.7346966711315277</c:v>
                </c:pt>
                <c:pt idx="1">
                  <c:v>3.7346966711315277</c:v>
                </c:pt>
                <c:pt idx="2">
                  <c:v>3.7346966711315277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2922-4B23-BB24-187E91C13E1E}"/>
            </c:ext>
          </c:extLst>
        </c:ser>
        <c:ser>
          <c:idx val="11"/>
          <c:order val="9"/>
          <c:tx>
            <c:strRef>
              <c:f>'Zona 1 (aguas arriba)'!$H$35</c:f>
              <c:strCache>
                <c:ptCount val="1"/>
                <c:pt idx="0">
                  <c:v>2</c:v>
                </c:pt>
              </c:strCache>
            </c:strRef>
          </c:tx>
          <c:spPr>
            <a:ln w="12700" cap="flat">
              <a:solidFill>
                <a:schemeClr val="bg1">
                  <a:lumMod val="50000"/>
                </a:schemeClr>
              </a:solidFill>
              <a:miter lim="800000"/>
              <a:head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2922-4B23-BB24-187E91C13E1E}"/>
                </c:ext>
              </c:extLst>
            </c:dLbl>
            <c:dLbl>
              <c:idx val="1"/>
              <c:spPr>
                <a:solidFill>
                  <a:schemeClr val="bg1"/>
                </a:solidFill>
                <a:ln cap="rnd">
                  <a:solidFill>
                    <a:schemeClr val="tx1"/>
                  </a:solidFill>
                </a:ln>
                <a:effectLst/>
              </c:spPr>
              <c:txPr>
                <a:bodyPr rot="0" spcFirstLastPara="1" vertOverflow="ellipsis" vert="horz" wrap="square" lIns="38100" tIns="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1.9901675820470002E-2"/>
                      <c:h val="4.3768003644091558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D-2922-4B23-BB24-187E91C13E1E}"/>
                </c:ext>
              </c:extLst>
            </c:dLbl>
            <c:spPr>
              <a:solidFill>
                <a:schemeClr val="bg1"/>
              </a:solidFill>
              <a:ln cap="rnd">
                <a:solidFill>
                  <a:schemeClr val="tx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'Zona 1 (aguas arriba)'!$H$36:$H$37</c:f>
              <c:numCache>
                <c:formatCode>General</c:formatCode>
                <c:ptCount val="2"/>
                <c:pt idx="0">
                  <c:v>1.2731418445967886</c:v>
                </c:pt>
                <c:pt idx="1">
                  <c:v>1.2731418445967886</c:v>
                </c:pt>
              </c:numCache>
            </c:numRef>
          </c:xVal>
          <c:yVal>
            <c:numRef>
              <c:f>'Zona 1 (aguas arriba)'!$I$36:$I$37</c:f>
              <c:numCache>
                <c:formatCode>0.000</c:formatCode>
                <c:ptCount val="2"/>
                <c:pt idx="0">
                  <c:v>1.92</c:v>
                </c:pt>
                <c:pt idx="1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2922-4B23-BB24-187E91C13E1E}"/>
            </c:ext>
          </c:extLst>
        </c:ser>
        <c:ser>
          <c:idx val="12"/>
          <c:order val="10"/>
          <c:tx>
            <c:strRef>
              <c:f>'Zona 1 (aguas arriba)'!$J$35</c:f>
              <c:strCache>
                <c:ptCount val="1"/>
                <c:pt idx="0">
                  <c:v>1</c:v>
                </c:pt>
              </c:strCache>
            </c:strRef>
          </c:tx>
          <c:spPr>
            <a:ln w="12700" cap="flat">
              <a:solidFill>
                <a:schemeClr val="bg1">
                  <a:lumMod val="50000"/>
                </a:schemeClr>
              </a:solidFill>
              <a:miter lim="800000"/>
              <a:head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2922-4B23-BB24-187E91C13E1E}"/>
                </c:ext>
              </c:extLst>
            </c:dLbl>
            <c:dLbl>
              <c:idx val="1"/>
              <c:spPr>
                <a:solidFill>
                  <a:schemeClr val="bg1"/>
                </a:solidFill>
                <a:ln cap="rnd">
                  <a:solidFill>
                    <a:schemeClr val="tx1"/>
                  </a:solidFill>
                </a:ln>
                <a:effectLst/>
              </c:spPr>
              <c:txPr>
                <a:bodyPr rot="0" spcFirstLastPara="1" vertOverflow="ellipsis" vert="horz" wrap="square" lIns="38100" tIns="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1.9901675820470002E-2"/>
                      <c:h val="4.3768003644091558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20-2922-4B23-BB24-187E91C13E1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'Zona 1 (aguas arriba)'!$J$36:$J$37</c:f>
              <c:numCache>
                <c:formatCode>0.00</c:formatCode>
                <c:ptCount val="2"/>
                <c:pt idx="0">
                  <c:v>7.3126745254970622</c:v>
                </c:pt>
                <c:pt idx="1">
                  <c:v>7.3126745254970622</c:v>
                </c:pt>
              </c:numCache>
            </c:numRef>
          </c:xVal>
          <c:yVal>
            <c:numRef>
              <c:f>'Zona 1 (aguas arriba)'!$K$36:$K$37</c:f>
              <c:numCache>
                <c:formatCode>0.00</c:formatCode>
                <c:ptCount val="2"/>
                <c:pt idx="0">
                  <c:v>1.92</c:v>
                </c:pt>
                <c:pt idx="1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2922-4B23-BB24-187E91C13E1E}"/>
            </c:ext>
          </c:extLst>
        </c:ser>
        <c:ser>
          <c:idx val="13"/>
          <c:order val="11"/>
          <c:tx>
            <c:strRef>
              <c:f>'Zona 1 (aguas arriba)'!$L$35</c:f>
              <c:strCache>
                <c:ptCount val="1"/>
                <c:pt idx="0">
                  <c:v>0</c:v>
                </c:pt>
              </c:strCache>
            </c:strRef>
          </c:tx>
          <c:spPr>
            <a:ln w="12700" cap="flat">
              <a:solidFill>
                <a:schemeClr val="bg1">
                  <a:lumMod val="50000"/>
                </a:schemeClr>
              </a:solidFill>
              <a:miter lim="800000"/>
              <a:head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2922-4B23-BB24-187E91C13E1E}"/>
                </c:ext>
              </c:extLst>
            </c:dLbl>
            <c:dLbl>
              <c:idx val="1"/>
              <c:spPr>
                <a:solidFill>
                  <a:schemeClr val="bg1"/>
                </a:solidFill>
                <a:ln cap="rnd">
                  <a:solidFill>
                    <a:schemeClr val="tx1"/>
                  </a:solidFill>
                </a:ln>
                <a:effectLst/>
              </c:spPr>
              <c:txPr>
                <a:bodyPr rot="0" spcFirstLastPara="1" vertOverflow="ellipsis" vert="horz" wrap="square" lIns="38100" tIns="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1.9901675820470002E-2"/>
                      <c:h val="4.3768003644091558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23-2922-4B23-BB24-187E91C13E1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'Zona 1 (aguas arriba)'!$L$36:$L$37</c:f>
              <c:numCache>
                <c:formatCode>0.00</c:formatCode>
                <c:ptCount val="2"/>
                <c:pt idx="0">
                  <c:v>10.953895986505502</c:v>
                </c:pt>
                <c:pt idx="1">
                  <c:v>10.953895986505502</c:v>
                </c:pt>
              </c:numCache>
            </c:numRef>
          </c:xVal>
          <c:yVal>
            <c:numRef>
              <c:f>'Zona 1 (aguas arriba)'!$M$36:$M$37</c:f>
              <c:numCache>
                <c:formatCode>0.000</c:formatCode>
                <c:ptCount val="2"/>
                <c:pt idx="0">
                  <c:v>1.92</c:v>
                </c:pt>
                <c:pt idx="1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2922-4B23-BB24-187E91C13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8477184"/>
        <c:axId val="578476064"/>
      </c:scatterChart>
      <c:valAx>
        <c:axId val="57847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78476064"/>
        <c:crosses val="autoZero"/>
        <c:crossBetween val="midCat"/>
      </c:valAx>
      <c:valAx>
        <c:axId val="578476064"/>
        <c:scaling>
          <c:orientation val="minMax"/>
        </c:scaling>
        <c:delete val="0"/>
        <c:axPos val="l"/>
        <c:majorGridlines>
          <c:spPr>
            <a:ln w="9525" cap="flat" cmpd="thickThin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78477184"/>
        <c:crosses val="autoZero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1"/>
          <c:tx>
            <c:v>Fondo</c:v>
          </c:tx>
          <c:spPr>
            <a:ln w="101600" cap="flat" cmpd="sng">
              <a:solidFill>
                <a:schemeClr val="bg2">
                  <a:lumMod val="50000"/>
                </a:schemeClr>
              </a:solidFill>
              <a:prstDash val="solid"/>
              <a:miter lim="800000"/>
            </a:ln>
            <a:effectLst/>
          </c:spPr>
          <c:marker>
            <c:symbol val="none"/>
          </c:marker>
          <c:xVal>
            <c:numRef>
              <c:f>'Zona 2 (centro)'!$F$28:$F$35</c:f>
              <c:numCache>
                <c:formatCode>General</c:formatCode>
                <c:ptCount val="8"/>
                <c:pt idx="0">
                  <c:v>0</c:v>
                </c:pt>
                <c:pt idx="1">
                  <c:v>0.77920716368271536</c:v>
                </c:pt>
                <c:pt idx="2">
                  <c:v>0.77920716368271536</c:v>
                </c:pt>
                <c:pt idx="3">
                  <c:v>2.3376214910481456</c:v>
                </c:pt>
                <c:pt idx="4">
                  <c:v>6.8212039500179227</c:v>
                </c:pt>
                <c:pt idx="5">
                  <c:v>10.129693127875299</c:v>
                </c:pt>
                <c:pt idx="6">
                  <c:v>10.129693127875299</c:v>
                </c:pt>
                <c:pt idx="7">
                  <c:v>14.804936109971591</c:v>
                </c:pt>
              </c:numCache>
            </c:numRef>
          </c:xVal>
          <c:yVal>
            <c:numRef>
              <c:f>'Zona 2 (centro)'!$G$28:$G$35</c:f>
              <c:numCache>
                <c:formatCode>General</c:formatCode>
                <c:ptCount val="8"/>
                <c:pt idx="0">
                  <c:v>2.2114808162053818</c:v>
                </c:pt>
                <c:pt idx="1">
                  <c:v>2.2114808162053818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 formatCode="0.00">
                  <c:v>2</c:v>
                </c:pt>
                <c:pt idx="6" formatCode="0.00">
                  <c:v>2.5</c:v>
                </c:pt>
                <c:pt idx="7" formatCode="0.00">
                  <c:v>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FF-471F-8189-3DC29D4BC2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416960"/>
        <c:axId val="575417520"/>
      </c:scatterChart>
      <c:scatterChart>
        <c:scatterStyle val="smoothMarker"/>
        <c:varyColors val="0"/>
        <c:ser>
          <c:idx val="0"/>
          <c:order val="0"/>
          <c:tx>
            <c:strRef>
              <c:f>'Zona 2 (centro)'!$E$27</c:f>
              <c:strCache>
                <c:ptCount val="1"/>
                <c:pt idx="0">
                  <c:v>Elev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'Zona 2 (centro)'!$C$28:$C$33</c:f>
              <c:numCache>
                <c:formatCode>General</c:formatCode>
                <c:ptCount val="6"/>
                <c:pt idx="0">
                  <c:v>0</c:v>
                </c:pt>
                <c:pt idx="1">
                  <c:v>1.1688107455240728</c:v>
                </c:pt>
                <c:pt idx="2">
                  <c:v>2.3376214910481456</c:v>
                </c:pt>
                <c:pt idx="3" formatCode="0.00">
                  <c:v>6.8212039500179227</c:v>
                </c:pt>
                <c:pt idx="4" formatCode="0.00">
                  <c:v>10.129693127875299</c:v>
                </c:pt>
                <c:pt idx="5">
                  <c:v>14.804936109971591</c:v>
                </c:pt>
              </c:numCache>
            </c:numRef>
          </c:xVal>
          <c:yVal>
            <c:numRef>
              <c:f>'Zona 2 (centro)'!$E$28:$E$33</c:f>
              <c:numCache>
                <c:formatCode>0.000</c:formatCode>
                <c:ptCount val="6"/>
                <c:pt idx="0">
                  <c:v>3.3433620499973937</c:v>
                </c:pt>
                <c:pt idx="1">
                  <c:v>3.2793924285689462</c:v>
                </c:pt>
                <c:pt idx="2">
                  <c:v>3.151453185712052</c:v>
                </c:pt>
                <c:pt idx="3">
                  <c:v>2.5321286854073168</c:v>
                </c:pt>
                <c:pt idx="4">
                  <c:v>4.17</c:v>
                </c:pt>
                <c:pt idx="5">
                  <c:v>4.4204999999999997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9FF-471F-8189-3DC29D4BC28F}"/>
            </c:ext>
          </c:extLst>
        </c:ser>
        <c:ser>
          <c:idx val="2"/>
          <c:order val="2"/>
          <c:tx>
            <c:strRef>
              <c:f>'Zona 2 (centro)'!$H$27</c:f>
              <c:strCache>
                <c:ptCount val="1"/>
                <c:pt idx="0">
                  <c:v>Y2</c:v>
                </c:pt>
              </c:strCache>
            </c:strRef>
          </c:tx>
          <c:spPr>
            <a:ln w="12700" cap="rnd">
              <a:solidFill>
                <a:schemeClr val="bg1">
                  <a:lumMod val="50000"/>
                </a:schemeClr>
              </a:solidFill>
              <a:round/>
              <a:headEnd type="triangle"/>
              <a:tailEnd type="triangle" w="med" len="med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9FF-471F-8189-3DC29D4BC28F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3-39FF-471F-8189-3DC29D4BC28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9FF-471F-8189-3DC29D4BC28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'Zona 2 (centro)'!$H$28:$H$30</c:f>
              <c:numCache>
                <c:formatCode>General</c:formatCode>
                <c:ptCount val="3"/>
                <c:pt idx="0">
                  <c:v>1.1688107455240728</c:v>
                </c:pt>
                <c:pt idx="1">
                  <c:v>1.1688107455240728</c:v>
                </c:pt>
                <c:pt idx="2">
                  <c:v>1.1688107455240728</c:v>
                </c:pt>
              </c:numCache>
            </c:numRef>
          </c:xVal>
          <c:yVal>
            <c:numRef>
              <c:f>'Zona 2 (centro)'!$I$28:$I$30</c:f>
              <c:numCache>
                <c:formatCode>0.00</c:formatCode>
                <c:ptCount val="3"/>
                <c:pt idx="0">
                  <c:v>2.08</c:v>
                </c:pt>
                <c:pt idx="1">
                  <c:v>2.6796962142844731</c:v>
                </c:pt>
                <c:pt idx="2" formatCode="0.000">
                  <c:v>3.2793924285689462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9FF-471F-8189-3DC29D4BC28F}"/>
            </c:ext>
          </c:extLst>
        </c:ser>
        <c:ser>
          <c:idx val="5"/>
          <c:order val="3"/>
          <c:tx>
            <c:strRef>
              <c:f>'Zona 2 (centro)'!$N$27</c:f>
              <c:strCache>
                <c:ptCount val="1"/>
                <c:pt idx="0">
                  <c:v>Y1</c:v>
                </c:pt>
              </c:strCache>
            </c:strRef>
          </c:tx>
          <c:spPr>
            <a:ln w="12700" cap="flat">
              <a:solidFill>
                <a:schemeClr val="bg1">
                  <a:lumMod val="50000"/>
                </a:schemeClr>
              </a:solidFill>
              <a:miter lim="800000"/>
              <a:headEnd type="triangle" w="sm" len="sm"/>
              <a:tailEnd type="triangle" w="sm" len="sm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9FF-471F-8189-3DC29D4BC28F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>
                  <a:outerShdw dir="5400000" algn="ctr" rotWithShape="0">
                    <a:srgbClr val="000000">
                      <a:alpha val="43137"/>
                    </a:srgbClr>
                  </a:outerShdw>
                </a:effectLst>
              </c:spPr>
              <c:txPr>
                <a:bodyPr rot="0" spcFirstLastPara="1" vertOverflow="ellipsis" vert="horz" wrap="square" lIns="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7-39FF-471F-8189-3DC29D4BC28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9FF-471F-8189-3DC29D4BC28F}"/>
                </c:ext>
              </c:extLst>
            </c:dLbl>
            <c:spPr>
              <a:noFill/>
              <a:ln>
                <a:noFill/>
              </a:ln>
              <a:effectLst>
                <a:outerShdw dir="5400000" algn="ctr" rotWithShape="0">
                  <a:srgbClr val="000000">
                    <a:alpha val="43137"/>
                  </a:srgbClr>
                </a:outerShdw>
              </a:effectLst>
            </c:spPr>
            <c:txPr>
              <a:bodyPr rot="0" spcFirstLastPara="1" vertOverflow="ellipsis" vert="horz" wrap="square" lIns="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'Zona 2 (centro)'!$N$28:$N$30</c:f>
              <c:numCache>
                <c:formatCode>0.00</c:formatCode>
                <c:ptCount val="3"/>
                <c:pt idx="0">
                  <c:v>6.8212039500179227</c:v>
                </c:pt>
                <c:pt idx="1">
                  <c:v>6.8212039500179227</c:v>
                </c:pt>
                <c:pt idx="2">
                  <c:v>6.8212039500179227</c:v>
                </c:pt>
              </c:numCache>
            </c:numRef>
          </c:xVal>
          <c:yVal>
            <c:numRef>
              <c:f>'Zona 2 (centro)'!$O$28:$O$30</c:f>
              <c:numCache>
                <c:formatCode>0.00</c:formatCode>
                <c:ptCount val="3"/>
                <c:pt idx="0">
                  <c:v>2.08</c:v>
                </c:pt>
                <c:pt idx="1">
                  <c:v>2.3060643427036585</c:v>
                </c:pt>
                <c:pt idx="2" formatCode="0.000">
                  <c:v>2.5321286854073168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9FF-471F-8189-3DC29D4BC28F}"/>
            </c:ext>
          </c:extLst>
        </c:ser>
        <c:ser>
          <c:idx val="6"/>
          <c:order val="4"/>
          <c:tx>
            <c:strRef>
              <c:f>'Zona 2 (centro)'!$P$27</c:f>
              <c:strCache>
                <c:ptCount val="1"/>
                <c:pt idx="0">
                  <c:v>hc</c:v>
                </c:pt>
              </c:strCache>
            </c:strRef>
          </c:tx>
          <c:spPr>
            <a:ln w="12700" cap="flat">
              <a:solidFill>
                <a:schemeClr val="bg1">
                  <a:lumMod val="50000"/>
                </a:schemeClr>
              </a:solidFill>
              <a:miter lim="800000"/>
              <a:headEnd type="triangle" w="sm" len="sm"/>
              <a:tailEnd type="triangle" w="sm" len="sm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9FF-471F-8189-3DC29D4BC28F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O"/>
                </a:p>
              </c:txPr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B-39FF-471F-8189-3DC29D4BC28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9FF-471F-8189-3DC29D4BC28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'Zona 2 (centro)'!$P$28:$P$30</c:f>
              <c:numCache>
                <c:formatCode>General</c:formatCode>
                <c:ptCount val="3"/>
                <c:pt idx="0">
                  <c:v>9.6232084714815347</c:v>
                </c:pt>
                <c:pt idx="1">
                  <c:v>9.6232084714815347</c:v>
                </c:pt>
                <c:pt idx="2">
                  <c:v>9.6232084714815347</c:v>
                </c:pt>
              </c:numCache>
            </c:numRef>
          </c:xVal>
          <c:yVal>
            <c:numRef>
              <c:f>'Zona 2 (centro)'!$Q$28:$Q$30</c:f>
              <c:numCache>
                <c:formatCode>0.00</c:formatCode>
                <c:ptCount val="3"/>
                <c:pt idx="0">
                  <c:v>2.08</c:v>
                </c:pt>
                <c:pt idx="1">
                  <c:v>2.33</c:v>
                </c:pt>
                <c:pt idx="2" formatCode="General">
                  <c:v>2.58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9FF-471F-8189-3DC29D4BC28F}"/>
            </c:ext>
          </c:extLst>
        </c:ser>
        <c:ser>
          <c:idx val="7"/>
          <c:order val="5"/>
          <c:tx>
            <c:strRef>
              <c:f>'Zona 2 (centro)'!$H$31</c:f>
              <c:strCache>
                <c:ptCount val="1"/>
                <c:pt idx="0">
                  <c:v>Yo</c:v>
                </c:pt>
              </c:strCache>
            </c:strRef>
          </c:tx>
          <c:spPr>
            <a:ln w="12700" cap="flat">
              <a:solidFill>
                <a:schemeClr val="bg1">
                  <a:lumMod val="50000"/>
                </a:schemeClr>
              </a:solidFill>
              <a:miter lim="800000"/>
              <a:headEnd type="triangle" w="sm" len="sm"/>
              <a:tailEnd type="triangle" w="sm" len="sm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39FF-471F-8189-3DC29D4BC28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39FF-471F-8189-3DC29D4BC28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'Zona 2 (centro)'!$H$32:$H$34</c:f>
              <c:numCache>
                <c:formatCode>General</c:formatCode>
                <c:ptCount val="3"/>
                <c:pt idx="0">
                  <c:v>10.049693127875299</c:v>
                </c:pt>
                <c:pt idx="1">
                  <c:v>10.049693127875299</c:v>
                </c:pt>
                <c:pt idx="2">
                  <c:v>10.049693127875299</c:v>
                </c:pt>
              </c:numCache>
            </c:numRef>
          </c:xVal>
          <c:yVal>
            <c:numRef>
              <c:f>'Zona 2 (centro)'!$I$32:$I$34</c:f>
              <c:numCache>
                <c:formatCode>0.00</c:formatCode>
                <c:ptCount val="3"/>
                <c:pt idx="0" formatCode="General">
                  <c:v>2.58</c:v>
                </c:pt>
                <c:pt idx="1">
                  <c:v>3.375</c:v>
                </c:pt>
                <c:pt idx="2" formatCode="0.000">
                  <c:v>4.17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39FF-471F-8189-3DC29D4BC28F}"/>
            </c:ext>
          </c:extLst>
        </c:ser>
        <c:ser>
          <c:idx val="8"/>
          <c:order val="6"/>
          <c:tx>
            <c:strRef>
              <c:f>'Zona 2 (centro)'!$J$31</c:f>
              <c:strCache>
                <c:ptCount val="1"/>
                <c:pt idx="0">
                  <c:v>Qd</c:v>
                </c:pt>
              </c:strCache>
            </c:strRef>
          </c:tx>
          <c:spPr>
            <a:ln w="50800" cap="flat">
              <a:solidFill>
                <a:schemeClr val="bg2">
                  <a:lumMod val="90000"/>
                </a:schemeClr>
              </a:solidFill>
              <a:miter lim="800000"/>
              <a:headEnd type="stealth" w="lg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39FF-471F-8189-3DC29D4BC28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39FF-471F-8189-3DC29D4BC28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'Zona 2 (centro)'!$J$32:$J$34</c:f>
              <c:numCache>
                <c:formatCode>0.00</c:formatCode>
                <c:ptCount val="3"/>
                <c:pt idx="0">
                  <c:v>12.467314618923446</c:v>
                </c:pt>
                <c:pt idx="1">
                  <c:v>13.168601066237889</c:v>
                </c:pt>
                <c:pt idx="2">
                  <c:v>13.869887513552332</c:v>
                </c:pt>
              </c:numCache>
            </c:numRef>
          </c:xVal>
          <c:yVal>
            <c:numRef>
              <c:f>'Zona 2 (centro)'!$K$32:$K$34</c:f>
              <c:numCache>
                <c:formatCode>0.00</c:formatCode>
                <c:ptCount val="3"/>
                <c:pt idx="0">
                  <c:v>3.5</c:v>
                </c:pt>
                <c:pt idx="1">
                  <c:v>3.5</c:v>
                </c:pt>
                <c:pt idx="2">
                  <c:v>3.5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39FF-471F-8189-3DC29D4BC28F}"/>
            </c:ext>
          </c:extLst>
        </c:ser>
        <c:ser>
          <c:idx val="9"/>
          <c:order val="7"/>
          <c:tx>
            <c:strRef>
              <c:f>'Zona 2 (centro)'!$N$31</c:f>
              <c:strCache>
                <c:ptCount val="1"/>
                <c:pt idx="0">
                  <c:v>LB</c:v>
                </c:pt>
              </c:strCache>
            </c:strRef>
          </c:tx>
          <c:spPr>
            <a:ln w="12700" cap="rnd">
              <a:solidFill>
                <a:schemeClr val="bg1">
                  <a:lumMod val="50000"/>
                </a:schemeClr>
              </a:solidFill>
              <a:round/>
              <a:headEnd type="triangle" w="sm" len="med"/>
              <a:tailEnd type="triangle" w="med" len="sm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39FF-471F-8189-3DC29D4BC28F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5-39FF-471F-8189-3DC29D4BC28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39FF-471F-8189-3DC29D4BC28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'Zona 2 (centro)'!$N$32:$N$34</c:f>
              <c:numCache>
                <c:formatCode>0.00</c:formatCode>
                <c:ptCount val="3"/>
                <c:pt idx="0" formatCode="General">
                  <c:v>1.2488107455240729</c:v>
                </c:pt>
                <c:pt idx="1">
                  <c:v>5.6492519366996863</c:v>
                </c:pt>
                <c:pt idx="2" formatCode="General">
                  <c:v>10.049693127875299</c:v>
                </c:pt>
              </c:numCache>
            </c:numRef>
          </c:xVal>
          <c:yVal>
            <c:numRef>
              <c:f>'Zona 2 (centro)'!$O$32:$O$34</c:f>
              <c:numCache>
                <c:formatCode>General</c:formatCode>
                <c:ptCount val="3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39FF-471F-8189-3DC29D4BC28F}"/>
            </c:ext>
          </c:extLst>
        </c:ser>
        <c:ser>
          <c:idx val="10"/>
          <c:order val="8"/>
          <c:tx>
            <c:strRef>
              <c:f>'Zona 2 (centro)'!$L$31</c:f>
              <c:strCache>
                <c:ptCount val="1"/>
                <c:pt idx="0">
                  <c:v>lj</c:v>
                </c:pt>
              </c:strCache>
            </c:strRef>
          </c:tx>
          <c:spPr>
            <a:ln w="12700" cap="flat">
              <a:solidFill>
                <a:schemeClr val="bg1">
                  <a:lumMod val="50000"/>
                </a:schemeClr>
              </a:solidFill>
              <a:miter lim="800000"/>
              <a:headEnd type="triangle" w="med" len="med"/>
              <a:tailEnd type="triangle" w="med" len="med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39FF-471F-8189-3DC29D4BC28F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39FF-471F-8189-3DC29D4BC28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39FF-471F-8189-3DC29D4BC28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'Zona 2 (centro)'!$L$32:$L$34</c:f>
              <c:numCache>
                <c:formatCode>0.00</c:formatCode>
                <c:ptCount val="3"/>
                <c:pt idx="0" formatCode="General">
                  <c:v>1.2488107455240729</c:v>
                </c:pt>
                <c:pt idx="1">
                  <c:v>4.035007347770998</c:v>
                </c:pt>
                <c:pt idx="2">
                  <c:v>6.8212039500179227</c:v>
                </c:pt>
              </c:numCache>
            </c:numRef>
          </c:xVal>
          <c:yVal>
            <c:numRef>
              <c:f>'Zona 2 (centro)'!$M$32:$M$34</c:f>
              <c:numCache>
                <c:formatCode>0.000</c:formatCode>
                <c:ptCount val="3"/>
                <c:pt idx="0">
                  <c:v>3.579392428568946</c:v>
                </c:pt>
                <c:pt idx="1">
                  <c:v>3.579392428568946</c:v>
                </c:pt>
                <c:pt idx="2">
                  <c:v>3.579392428568946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39FF-471F-8189-3DC29D4BC28F}"/>
            </c:ext>
          </c:extLst>
        </c:ser>
        <c:ser>
          <c:idx val="11"/>
          <c:order val="9"/>
          <c:tx>
            <c:strRef>
              <c:f>'Zona 2 (centro)'!$H$35</c:f>
              <c:strCache>
                <c:ptCount val="1"/>
                <c:pt idx="0">
                  <c:v>2</c:v>
                </c:pt>
              </c:strCache>
            </c:strRef>
          </c:tx>
          <c:spPr>
            <a:ln w="12700" cap="flat">
              <a:solidFill>
                <a:schemeClr val="bg1">
                  <a:lumMod val="50000"/>
                </a:schemeClr>
              </a:solidFill>
              <a:miter lim="800000"/>
              <a:head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39FF-471F-8189-3DC29D4BC28F}"/>
                </c:ext>
              </c:extLst>
            </c:dLbl>
            <c:dLbl>
              <c:idx val="1"/>
              <c:spPr>
                <a:solidFill>
                  <a:schemeClr val="bg1"/>
                </a:solidFill>
                <a:ln cap="rnd">
                  <a:solidFill>
                    <a:schemeClr val="tx1"/>
                  </a:solidFill>
                </a:ln>
                <a:effectLst/>
              </c:spPr>
              <c:txPr>
                <a:bodyPr rot="0" spcFirstLastPara="1" vertOverflow="ellipsis" vert="horz" wrap="square" lIns="38100" tIns="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D-39FF-471F-8189-3DC29D4BC28F}"/>
                </c:ext>
              </c:extLst>
            </c:dLbl>
            <c:spPr>
              <a:solidFill>
                <a:schemeClr val="bg1"/>
              </a:solidFill>
              <a:ln cap="rnd">
                <a:solidFill>
                  <a:schemeClr val="tx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'Zona 2 (centro)'!$H$36:$H$37</c:f>
              <c:numCache>
                <c:formatCode>General</c:formatCode>
                <c:ptCount val="2"/>
                <c:pt idx="0">
                  <c:v>1.1688107455240728</c:v>
                </c:pt>
                <c:pt idx="1">
                  <c:v>1.1688107455240728</c:v>
                </c:pt>
              </c:numCache>
            </c:numRef>
          </c:xVal>
          <c:yVal>
            <c:numRef>
              <c:f>'Zona 2 (centro)'!$I$36:$I$37</c:f>
              <c:numCache>
                <c:formatCode>0.000</c:formatCode>
                <c:ptCount val="2"/>
                <c:pt idx="0">
                  <c:v>1.92</c:v>
                </c:pt>
                <c:pt idx="1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39FF-471F-8189-3DC29D4BC28F}"/>
            </c:ext>
          </c:extLst>
        </c:ser>
        <c:ser>
          <c:idx val="12"/>
          <c:order val="10"/>
          <c:tx>
            <c:strRef>
              <c:f>'Zona 2 (centro)'!$J$35</c:f>
              <c:strCache>
                <c:ptCount val="1"/>
                <c:pt idx="0">
                  <c:v>1</c:v>
                </c:pt>
              </c:strCache>
            </c:strRef>
          </c:tx>
          <c:spPr>
            <a:ln w="12700" cap="flat">
              <a:solidFill>
                <a:schemeClr val="bg1">
                  <a:lumMod val="50000"/>
                </a:schemeClr>
              </a:solidFill>
              <a:miter lim="800000"/>
              <a:head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39FF-471F-8189-3DC29D4BC28F}"/>
                </c:ext>
              </c:extLst>
            </c:dLbl>
            <c:dLbl>
              <c:idx val="1"/>
              <c:spPr>
                <a:solidFill>
                  <a:schemeClr val="bg1"/>
                </a:solidFill>
                <a:ln cap="rnd">
                  <a:solidFill>
                    <a:schemeClr val="tx1"/>
                  </a:solidFill>
                </a:ln>
                <a:effectLst/>
              </c:spPr>
              <c:txPr>
                <a:bodyPr rot="0" spcFirstLastPara="1" vertOverflow="ellipsis" vert="horz" wrap="square" lIns="38100" tIns="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20-39FF-471F-8189-3DC29D4BC28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'Zona 2 (centro)'!$J$36:$J$37</c:f>
              <c:numCache>
                <c:formatCode>0.00</c:formatCode>
                <c:ptCount val="2"/>
                <c:pt idx="0">
                  <c:v>6.8212039500179227</c:v>
                </c:pt>
                <c:pt idx="1">
                  <c:v>6.8212039500179227</c:v>
                </c:pt>
              </c:numCache>
            </c:numRef>
          </c:xVal>
          <c:yVal>
            <c:numRef>
              <c:f>'Zona 2 (centro)'!$K$36:$K$37</c:f>
              <c:numCache>
                <c:formatCode>0.00</c:formatCode>
                <c:ptCount val="2"/>
                <c:pt idx="0">
                  <c:v>1.92</c:v>
                </c:pt>
                <c:pt idx="1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39FF-471F-8189-3DC29D4BC28F}"/>
            </c:ext>
          </c:extLst>
        </c:ser>
        <c:ser>
          <c:idx val="13"/>
          <c:order val="11"/>
          <c:tx>
            <c:strRef>
              <c:f>'Zona 2 (centro)'!$L$35</c:f>
              <c:strCache>
                <c:ptCount val="1"/>
                <c:pt idx="0">
                  <c:v>0</c:v>
                </c:pt>
              </c:strCache>
            </c:strRef>
          </c:tx>
          <c:spPr>
            <a:ln w="12700" cap="flat">
              <a:solidFill>
                <a:schemeClr val="bg1">
                  <a:lumMod val="50000"/>
                </a:schemeClr>
              </a:solidFill>
              <a:miter lim="800000"/>
              <a:head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39FF-471F-8189-3DC29D4BC28F}"/>
                </c:ext>
              </c:extLst>
            </c:dLbl>
            <c:dLbl>
              <c:idx val="1"/>
              <c:spPr>
                <a:solidFill>
                  <a:schemeClr val="bg1"/>
                </a:solidFill>
                <a:ln cap="rnd">
                  <a:solidFill>
                    <a:schemeClr val="tx1"/>
                  </a:solidFill>
                </a:ln>
                <a:effectLst/>
              </c:spPr>
              <c:txPr>
                <a:bodyPr rot="0" spcFirstLastPara="1" vertOverflow="ellipsis" vert="horz" wrap="square" lIns="38100" tIns="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23-39FF-471F-8189-3DC29D4BC28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'Zona 2 (centro)'!$L$36:$L$37</c:f>
              <c:numCache>
                <c:formatCode>0.00</c:formatCode>
                <c:ptCount val="2"/>
                <c:pt idx="0">
                  <c:v>10.049693127875299</c:v>
                </c:pt>
                <c:pt idx="1">
                  <c:v>10.049693127875299</c:v>
                </c:pt>
              </c:numCache>
            </c:numRef>
          </c:xVal>
          <c:yVal>
            <c:numRef>
              <c:f>'Zona 2 (centro)'!$M$36:$M$37</c:f>
              <c:numCache>
                <c:formatCode>0.000</c:formatCode>
                <c:ptCount val="2"/>
                <c:pt idx="0">
                  <c:v>1.92</c:v>
                </c:pt>
                <c:pt idx="1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39FF-471F-8189-3DC29D4BC2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416960"/>
        <c:axId val="575417520"/>
      </c:scatterChart>
      <c:valAx>
        <c:axId val="57541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75417520"/>
        <c:crosses val="autoZero"/>
        <c:crossBetween val="midCat"/>
      </c:valAx>
      <c:valAx>
        <c:axId val="575417520"/>
        <c:scaling>
          <c:orientation val="minMax"/>
        </c:scaling>
        <c:delete val="0"/>
        <c:axPos val="l"/>
        <c:majorGridlines>
          <c:spPr>
            <a:ln w="9525" cap="flat" cmpd="thickThin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75416960"/>
        <c:crosses val="autoZero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1"/>
          <c:tx>
            <c:v>Fondo</c:v>
          </c:tx>
          <c:spPr>
            <a:ln w="101600" cap="flat" cmpd="sng">
              <a:solidFill>
                <a:schemeClr val="bg2">
                  <a:lumMod val="50000"/>
                </a:schemeClr>
              </a:solidFill>
              <a:prstDash val="solid"/>
              <a:miter lim="800000"/>
            </a:ln>
            <a:effectLst/>
          </c:spPr>
          <c:marker>
            <c:symbol val="none"/>
          </c:marker>
          <c:xVal>
            <c:numRef>
              <c:f>'Zona 3 (aguas abajo)'!$F$28:$F$35</c:f>
              <c:numCache>
                <c:formatCode>General</c:formatCode>
                <c:ptCount val="8"/>
                <c:pt idx="0">
                  <c:v>0</c:v>
                </c:pt>
                <c:pt idx="1">
                  <c:v>0.77710131019088513</c:v>
                </c:pt>
                <c:pt idx="2">
                  <c:v>0.77710131019088513</c:v>
                </c:pt>
                <c:pt idx="3">
                  <c:v>2.3313039305726551</c:v>
                </c:pt>
                <c:pt idx="4">
                  <c:v>6.805861257286729</c:v>
                </c:pt>
                <c:pt idx="5">
                  <c:v>10.102317032481507</c:v>
                </c:pt>
                <c:pt idx="6">
                  <c:v>10.102317032481507</c:v>
                </c:pt>
                <c:pt idx="7">
                  <c:v>14.764924893626816</c:v>
                </c:pt>
              </c:numCache>
            </c:numRef>
          </c:xVal>
          <c:yVal>
            <c:numRef>
              <c:f>'Zona 3 (aguas abajo)'!$G$28:$G$35</c:f>
              <c:numCache>
                <c:formatCode>General</c:formatCode>
                <c:ptCount val="8"/>
                <c:pt idx="0">
                  <c:v>2.2114444745937329</c:v>
                </c:pt>
                <c:pt idx="1">
                  <c:v>2.2114444745937329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 formatCode="0.00">
                  <c:v>2</c:v>
                </c:pt>
                <c:pt idx="6" formatCode="0.00">
                  <c:v>2.5</c:v>
                </c:pt>
                <c:pt idx="7" formatCode="0.00">
                  <c:v>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DF-4D17-BD28-9CCDD49B76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3952816"/>
        <c:axId val="573953376"/>
      </c:scatterChart>
      <c:scatterChart>
        <c:scatterStyle val="smoothMarker"/>
        <c:varyColors val="0"/>
        <c:ser>
          <c:idx val="0"/>
          <c:order val="0"/>
          <c:tx>
            <c:strRef>
              <c:f>'Zona 3 (aguas abajo)'!$E$27</c:f>
              <c:strCache>
                <c:ptCount val="1"/>
                <c:pt idx="0">
                  <c:v>Elev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'Zona 3 (aguas abajo)'!$C$28:$C$33</c:f>
              <c:numCache>
                <c:formatCode>General</c:formatCode>
                <c:ptCount val="6"/>
                <c:pt idx="0">
                  <c:v>0</c:v>
                </c:pt>
                <c:pt idx="1">
                  <c:v>1.1656519652863275</c:v>
                </c:pt>
                <c:pt idx="2">
                  <c:v>2.3313039305726551</c:v>
                </c:pt>
                <c:pt idx="3" formatCode="0.00">
                  <c:v>6.805861257286729</c:v>
                </c:pt>
                <c:pt idx="4" formatCode="0.00">
                  <c:v>10.102317032481507</c:v>
                </c:pt>
                <c:pt idx="5">
                  <c:v>14.764924893626816</c:v>
                </c:pt>
              </c:numCache>
            </c:numRef>
          </c:xVal>
          <c:yVal>
            <c:numRef>
              <c:f>'Zona 3 (aguas abajo)'!$E$28:$E$33</c:f>
              <c:numCache>
                <c:formatCode>0.000</c:formatCode>
                <c:ptCount val="6"/>
                <c:pt idx="0">
                  <c:v>3.3385871726453775</c:v>
                </c:pt>
                <c:pt idx="1">
                  <c:v>3.2748449263289308</c:v>
                </c:pt>
                <c:pt idx="2">
                  <c:v>3.1473604336960377</c:v>
                </c:pt>
                <c:pt idx="3">
                  <c:v>2.5290853718765853</c:v>
                </c:pt>
                <c:pt idx="4">
                  <c:v>4.3100000000000005</c:v>
                </c:pt>
                <c:pt idx="5">
                  <c:v>4.5815000000000001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8DF-4D17-BD28-9CCDD49B76AF}"/>
            </c:ext>
          </c:extLst>
        </c:ser>
        <c:ser>
          <c:idx val="2"/>
          <c:order val="2"/>
          <c:tx>
            <c:strRef>
              <c:f>'Zona 3 (aguas abajo)'!$H$27</c:f>
              <c:strCache>
                <c:ptCount val="1"/>
                <c:pt idx="0">
                  <c:v>Y2</c:v>
                </c:pt>
              </c:strCache>
            </c:strRef>
          </c:tx>
          <c:spPr>
            <a:ln w="12700" cap="rnd">
              <a:solidFill>
                <a:schemeClr val="bg1">
                  <a:lumMod val="50000"/>
                </a:schemeClr>
              </a:solidFill>
              <a:round/>
              <a:headEnd type="triangle"/>
              <a:tailEnd type="triangle" w="med" len="med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DF-4D17-BD28-9CCDD49B76AF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3-C8DF-4D17-BD28-9CCDD49B76A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DF-4D17-BD28-9CCDD49B76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'Zona 3 (aguas abajo)'!$H$28:$H$30</c:f>
              <c:numCache>
                <c:formatCode>General</c:formatCode>
                <c:ptCount val="3"/>
                <c:pt idx="0">
                  <c:v>1.1656519652863275</c:v>
                </c:pt>
                <c:pt idx="1">
                  <c:v>1.1656519652863275</c:v>
                </c:pt>
                <c:pt idx="2">
                  <c:v>1.1656519652863275</c:v>
                </c:pt>
              </c:numCache>
            </c:numRef>
          </c:xVal>
          <c:yVal>
            <c:numRef>
              <c:f>'Zona 3 (aguas abajo)'!$I$28:$I$30</c:f>
              <c:numCache>
                <c:formatCode>0.00</c:formatCode>
                <c:ptCount val="3"/>
                <c:pt idx="0">
                  <c:v>2.08</c:v>
                </c:pt>
                <c:pt idx="1">
                  <c:v>2.6774224631644654</c:v>
                </c:pt>
                <c:pt idx="2" formatCode="0.000">
                  <c:v>3.2748449263289308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8DF-4D17-BD28-9CCDD49B76AF}"/>
            </c:ext>
          </c:extLst>
        </c:ser>
        <c:ser>
          <c:idx val="5"/>
          <c:order val="3"/>
          <c:tx>
            <c:strRef>
              <c:f>'Zona 3 (aguas abajo)'!$N$27</c:f>
              <c:strCache>
                <c:ptCount val="1"/>
                <c:pt idx="0">
                  <c:v>Y1</c:v>
                </c:pt>
              </c:strCache>
            </c:strRef>
          </c:tx>
          <c:spPr>
            <a:ln w="12700" cap="flat">
              <a:solidFill>
                <a:schemeClr val="bg1">
                  <a:lumMod val="50000"/>
                </a:schemeClr>
              </a:solidFill>
              <a:miter lim="800000"/>
              <a:headEnd type="triangle" w="sm" len="sm"/>
              <a:tailEnd type="triangle" w="sm" len="sm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DF-4D17-BD28-9CCDD49B76AF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>
                  <a:outerShdw dir="5400000" algn="ctr" rotWithShape="0">
                    <a:srgbClr val="000000">
                      <a:alpha val="43137"/>
                    </a:srgbClr>
                  </a:outerShdw>
                </a:effectLst>
              </c:spPr>
              <c:txPr>
                <a:bodyPr rot="0" spcFirstLastPara="1" vertOverflow="ellipsis" vert="horz" wrap="square" lIns="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O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7-C8DF-4D17-BD28-9CCDD49B76A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DF-4D17-BD28-9CCDD49B76AF}"/>
                </c:ext>
              </c:extLst>
            </c:dLbl>
            <c:spPr>
              <a:noFill/>
              <a:ln>
                <a:noFill/>
              </a:ln>
              <a:effectLst>
                <a:outerShdw dir="5400000" algn="ctr" rotWithShape="0">
                  <a:srgbClr val="000000">
                    <a:alpha val="43137"/>
                  </a:srgbClr>
                </a:outerShdw>
              </a:effectLst>
            </c:spPr>
            <c:txPr>
              <a:bodyPr rot="0" spcFirstLastPara="1" vertOverflow="ellipsis" vert="horz" wrap="square" lIns="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'Zona 3 (aguas abajo)'!$N$28:$N$30</c:f>
              <c:numCache>
                <c:formatCode>0.00</c:formatCode>
                <c:ptCount val="3"/>
                <c:pt idx="0">
                  <c:v>6.805861257286729</c:v>
                </c:pt>
                <c:pt idx="1">
                  <c:v>6.805861257286729</c:v>
                </c:pt>
                <c:pt idx="2">
                  <c:v>6.805861257286729</c:v>
                </c:pt>
              </c:numCache>
            </c:numRef>
          </c:xVal>
          <c:yVal>
            <c:numRef>
              <c:f>'Zona 3 (aguas abajo)'!$O$28:$O$30</c:f>
              <c:numCache>
                <c:formatCode>0.00</c:formatCode>
                <c:ptCount val="3"/>
                <c:pt idx="0">
                  <c:v>2.08</c:v>
                </c:pt>
                <c:pt idx="1">
                  <c:v>2.3045426859382925</c:v>
                </c:pt>
                <c:pt idx="2" formatCode="0.000">
                  <c:v>2.5290853718765853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8DF-4D17-BD28-9CCDD49B76AF}"/>
            </c:ext>
          </c:extLst>
        </c:ser>
        <c:ser>
          <c:idx val="6"/>
          <c:order val="4"/>
          <c:tx>
            <c:strRef>
              <c:f>'Zona 3 (aguas abajo)'!$P$27</c:f>
              <c:strCache>
                <c:ptCount val="1"/>
                <c:pt idx="0">
                  <c:v>hc</c:v>
                </c:pt>
              </c:strCache>
            </c:strRef>
          </c:tx>
          <c:spPr>
            <a:ln w="12700" cap="flat">
              <a:solidFill>
                <a:schemeClr val="bg1">
                  <a:lumMod val="50000"/>
                </a:schemeClr>
              </a:solidFill>
              <a:miter lim="800000"/>
              <a:headEnd type="triangle" w="sm" len="sm"/>
              <a:tailEnd type="triangle" w="sm" len="sm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8DF-4D17-BD28-9CCDD49B76AF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O"/>
                </a:p>
              </c:txPr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B-C8DF-4D17-BD28-9CCDD49B76A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8DF-4D17-BD28-9CCDD49B76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'Zona 3 (aguas abajo)'!$P$28:$P$30</c:f>
              <c:numCache>
                <c:formatCode>General</c:formatCode>
                <c:ptCount val="3"/>
                <c:pt idx="0">
                  <c:v>9.5972011808574305</c:v>
                </c:pt>
                <c:pt idx="1">
                  <c:v>9.5972011808574305</c:v>
                </c:pt>
                <c:pt idx="2">
                  <c:v>9.5972011808574305</c:v>
                </c:pt>
              </c:numCache>
            </c:numRef>
          </c:xVal>
          <c:yVal>
            <c:numRef>
              <c:f>'Zona 3 (aguas abajo)'!$Q$28:$Q$30</c:f>
              <c:numCache>
                <c:formatCode>0.00</c:formatCode>
                <c:ptCount val="3"/>
                <c:pt idx="0">
                  <c:v>2.08</c:v>
                </c:pt>
                <c:pt idx="1">
                  <c:v>2.33</c:v>
                </c:pt>
                <c:pt idx="2" formatCode="General">
                  <c:v>2.58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8DF-4D17-BD28-9CCDD49B76AF}"/>
            </c:ext>
          </c:extLst>
        </c:ser>
        <c:ser>
          <c:idx val="7"/>
          <c:order val="5"/>
          <c:tx>
            <c:strRef>
              <c:f>'Zona 3 (aguas abajo)'!$H$31</c:f>
              <c:strCache>
                <c:ptCount val="1"/>
                <c:pt idx="0">
                  <c:v>Yo</c:v>
                </c:pt>
              </c:strCache>
            </c:strRef>
          </c:tx>
          <c:spPr>
            <a:ln w="12700" cap="flat">
              <a:solidFill>
                <a:schemeClr val="bg1">
                  <a:lumMod val="50000"/>
                </a:schemeClr>
              </a:solidFill>
              <a:miter lim="800000"/>
              <a:headEnd type="triangle" w="sm" len="sm"/>
              <a:tailEnd type="triangle" w="sm" len="sm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C8DF-4D17-BD28-9CCDD49B76A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C8DF-4D17-BD28-9CCDD49B76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'Zona 3 (aguas abajo)'!$H$32:$H$34</c:f>
              <c:numCache>
                <c:formatCode>General</c:formatCode>
                <c:ptCount val="3"/>
                <c:pt idx="0">
                  <c:v>10.022317032481507</c:v>
                </c:pt>
                <c:pt idx="1">
                  <c:v>10.022317032481507</c:v>
                </c:pt>
                <c:pt idx="2">
                  <c:v>10.022317032481507</c:v>
                </c:pt>
              </c:numCache>
            </c:numRef>
          </c:xVal>
          <c:yVal>
            <c:numRef>
              <c:f>'Zona 3 (aguas abajo)'!$I$32:$I$34</c:f>
              <c:numCache>
                <c:formatCode>0.00</c:formatCode>
                <c:ptCount val="3"/>
                <c:pt idx="0" formatCode="General">
                  <c:v>2.58</c:v>
                </c:pt>
                <c:pt idx="1">
                  <c:v>3.4450000000000003</c:v>
                </c:pt>
                <c:pt idx="2" formatCode="0.000">
                  <c:v>4.3100000000000005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8DF-4D17-BD28-9CCDD49B76AF}"/>
            </c:ext>
          </c:extLst>
        </c:ser>
        <c:ser>
          <c:idx val="8"/>
          <c:order val="6"/>
          <c:tx>
            <c:strRef>
              <c:f>'Zona 3 (aguas abajo)'!$J$31</c:f>
              <c:strCache>
                <c:ptCount val="1"/>
                <c:pt idx="0">
                  <c:v>Qd</c:v>
                </c:pt>
              </c:strCache>
            </c:strRef>
          </c:tx>
          <c:spPr>
            <a:ln w="50800" cap="flat">
              <a:solidFill>
                <a:schemeClr val="bg2">
                  <a:lumMod val="90000"/>
                </a:schemeClr>
              </a:solidFill>
              <a:miter lim="800000"/>
              <a:headEnd type="stealth" w="lg" len="lg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C8DF-4D17-BD28-9CCDD49B76A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C8DF-4D17-BD28-9CCDD49B76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'Zona 3 (aguas abajo)'!$J$32:$J$34</c:f>
              <c:numCache>
                <c:formatCode>0.00</c:formatCode>
                <c:ptCount val="3"/>
                <c:pt idx="0">
                  <c:v>12.43362096305416</c:v>
                </c:pt>
                <c:pt idx="1">
                  <c:v>13.133012142225958</c:v>
                </c:pt>
                <c:pt idx="2">
                  <c:v>13.832403321397754</c:v>
                </c:pt>
              </c:numCache>
            </c:numRef>
          </c:xVal>
          <c:yVal>
            <c:numRef>
              <c:f>'Zona 3 (aguas abajo)'!$K$32:$K$34</c:f>
              <c:numCache>
                <c:formatCode>0.00</c:formatCode>
                <c:ptCount val="3"/>
                <c:pt idx="0">
                  <c:v>3.5</c:v>
                </c:pt>
                <c:pt idx="1">
                  <c:v>3.5</c:v>
                </c:pt>
                <c:pt idx="2">
                  <c:v>3.5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C8DF-4D17-BD28-9CCDD49B76AF}"/>
            </c:ext>
          </c:extLst>
        </c:ser>
        <c:ser>
          <c:idx val="9"/>
          <c:order val="7"/>
          <c:tx>
            <c:strRef>
              <c:f>'Zona 3 (aguas abajo)'!$N$31</c:f>
              <c:strCache>
                <c:ptCount val="1"/>
                <c:pt idx="0">
                  <c:v>LB</c:v>
                </c:pt>
              </c:strCache>
            </c:strRef>
          </c:tx>
          <c:spPr>
            <a:ln w="12700" cap="rnd">
              <a:solidFill>
                <a:schemeClr val="bg1">
                  <a:lumMod val="50000"/>
                </a:schemeClr>
              </a:solidFill>
              <a:round/>
              <a:headEnd type="triangle" w="sm" len="med"/>
              <a:tailEnd type="triangle" w="med" len="sm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C8DF-4D17-BD28-9CCDD49B76AF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5-C8DF-4D17-BD28-9CCDD49B76A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C8DF-4D17-BD28-9CCDD49B76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xVal>
            <c:numRef>
              <c:f>'Zona 3 (aguas abajo)'!$N$32:$N$34</c:f>
              <c:numCache>
                <c:formatCode>0.00</c:formatCode>
                <c:ptCount val="3"/>
                <c:pt idx="0" formatCode="General">
                  <c:v>1.2456519652863276</c:v>
                </c:pt>
                <c:pt idx="1">
                  <c:v>5.6339844988839172</c:v>
                </c:pt>
                <c:pt idx="2" formatCode="General">
                  <c:v>10.022317032481507</c:v>
                </c:pt>
              </c:numCache>
            </c:numRef>
          </c:xVal>
          <c:yVal>
            <c:numRef>
              <c:f>'Zona 3 (aguas abajo)'!$O$32:$O$34</c:f>
              <c:numCache>
                <c:formatCode>General</c:formatCode>
                <c:ptCount val="3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C8DF-4D17-BD28-9CCDD49B76AF}"/>
            </c:ext>
          </c:extLst>
        </c:ser>
        <c:ser>
          <c:idx val="10"/>
          <c:order val="8"/>
          <c:tx>
            <c:strRef>
              <c:f>'Zona 3 (aguas abajo)'!$L$31</c:f>
              <c:strCache>
                <c:ptCount val="1"/>
                <c:pt idx="0">
                  <c:v>lj</c:v>
                </c:pt>
              </c:strCache>
            </c:strRef>
          </c:tx>
          <c:spPr>
            <a:ln w="12700" cap="flat">
              <a:solidFill>
                <a:schemeClr val="bg1">
                  <a:lumMod val="50000"/>
                </a:schemeClr>
              </a:solidFill>
              <a:miter lim="800000"/>
              <a:headEnd type="triangle" w="med" len="med"/>
              <a:tailEnd type="triangle" w="med" len="med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C8DF-4D17-BD28-9CCDD49B76AF}"/>
                </c:ext>
              </c:extLst>
            </c:dLbl>
            <c:dLbl>
              <c:idx val="1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C8DF-4D17-BD28-9CCDD49B76A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C8DF-4D17-BD28-9CCDD49B76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'Zona 3 (aguas abajo)'!$L$32:$L$34</c:f>
              <c:numCache>
                <c:formatCode>0.00</c:formatCode>
                <c:ptCount val="3"/>
                <c:pt idx="0" formatCode="General">
                  <c:v>1.2456519652863276</c:v>
                </c:pt>
                <c:pt idx="1">
                  <c:v>4.0257566112865284</c:v>
                </c:pt>
                <c:pt idx="2">
                  <c:v>6.805861257286729</c:v>
                </c:pt>
              </c:numCache>
            </c:numRef>
          </c:xVal>
          <c:yVal>
            <c:numRef>
              <c:f>'Zona 3 (aguas abajo)'!$M$32:$M$34</c:f>
              <c:numCache>
                <c:formatCode>0.000</c:formatCode>
                <c:ptCount val="3"/>
                <c:pt idx="0">
                  <c:v>3.5748449263289306</c:v>
                </c:pt>
                <c:pt idx="1">
                  <c:v>3.5748449263289306</c:v>
                </c:pt>
                <c:pt idx="2">
                  <c:v>3.5748449263289306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C8DF-4D17-BD28-9CCDD49B76AF}"/>
            </c:ext>
          </c:extLst>
        </c:ser>
        <c:ser>
          <c:idx val="11"/>
          <c:order val="9"/>
          <c:tx>
            <c:strRef>
              <c:f>'Zona 3 (aguas abajo)'!$H$35</c:f>
              <c:strCache>
                <c:ptCount val="1"/>
                <c:pt idx="0">
                  <c:v>2</c:v>
                </c:pt>
              </c:strCache>
            </c:strRef>
          </c:tx>
          <c:spPr>
            <a:ln w="12700" cap="flat">
              <a:solidFill>
                <a:schemeClr val="bg1">
                  <a:lumMod val="50000"/>
                </a:schemeClr>
              </a:solidFill>
              <a:miter lim="800000"/>
              <a:head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C8DF-4D17-BD28-9CCDD49B76AF}"/>
                </c:ext>
              </c:extLst>
            </c:dLbl>
            <c:dLbl>
              <c:idx val="1"/>
              <c:spPr>
                <a:solidFill>
                  <a:schemeClr val="bg1"/>
                </a:solidFill>
                <a:ln cap="rnd">
                  <a:solidFill>
                    <a:schemeClr val="tx1"/>
                  </a:solidFill>
                </a:ln>
                <a:effectLst/>
              </c:spPr>
              <c:txPr>
                <a:bodyPr rot="0" spcFirstLastPara="1" vertOverflow="ellipsis" vert="horz" wrap="square" lIns="38100" tIns="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D-C8DF-4D17-BD28-9CCDD49B76AF}"/>
                </c:ext>
              </c:extLst>
            </c:dLbl>
            <c:spPr>
              <a:solidFill>
                <a:schemeClr val="bg1"/>
              </a:solidFill>
              <a:ln cap="rnd">
                <a:solidFill>
                  <a:schemeClr val="tx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'Zona 3 (aguas abajo)'!$H$36:$H$37</c:f>
              <c:numCache>
                <c:formatCode>General</c:formatCode>
                <c:ptCount val="2"/>
                <c:pt idx="0">
                  <c:v>1.1656519652863275</c:v>
                </c:pt>
                <c:pt idx="1">
                  <c:v>1.1656519652863275</c:v>
                </c:pt>
              </c:numCache>
            </c:numRef>
          </c:xVal>
          <c:yVal>
            <c:numRef>
              <c:f>'Zona 3 (aguas abajo)'!$I$36:$I$37</c:f>
              <c:numCache>
                <c:formatCode>0.000</c:formatCode>
                <c:ptCount val="2"/>
                <c:pt idx="0">
                  <c:v>1.92</c:v>
                </c:pt>
                <c:pt idx="1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C8DF-4D17-BD28-9CCDD49B76AF}"/>
            </c:ext>
          </c:extLst>
        </c:ser>
        <c:ser>
          <c:idx val="12"/>
          <c:order val="10"/>
          <c:tx>
            <c:strRef>
              <c:f>'Zona 3 (aguas abajo)'!$J$35</c:f>
              <c:strCache>
                <c:ptCount val="1"/>
                <c:pt idx="0">
                  <c:v>1</c:v>
                </c:pt>
              </c:strCache>
            </c:strRef>
          </c:tx>
          <c:spPr>
            <a:ln w="12700" cap="flat">
              <a:solidFill>
                <a:schemeClr val="bg1">
                  <a:lumMod val="50000"/>
                </a:schemeClr>
              </a:solidFill>
              <a:miter lim="800000"/>
              <a:head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C8DF-4D17-BD28-9CCDD49B76AF}"/>
                </c:ext>
              </c:extLst>
            </c:dLbl>
            <c:dLbl>
              <c:idx val="1"/>
              <c:spPr>
                <a:solidFill>
                  <a:schemeClr val="bg1"/>
                </a:solidFill>
                <a:ln cap="rnd">
                  <a:solidFill>
                    <a:schemeClr val="tx1"/>
                  </a:solidFill>
                </a:ln>
                <a:effectLst/>
              </c:spPr>
              <c:txPr>
                <a:bodyPr rot="0" spcFirstLastPara="1" vertOverflow="ellipsis" vert="horz" wrap="square" lIns="38100" tIns="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20-C8DF-4D17-BD28-9CCDD49B76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'Zona 3 (aguas abajo)'!$J$36:$J$37</c:f>
              <c:numCache>
                <c:formatCode>0.00</c:formatCode>
                <c:ptCount val="2"/>
                <c:pt idx="0">
                  <c:v>6.805861257286729</c:v>
                </c:pt>
                <c:pt idx="1">
                  <c:v>6.805861257286729</c:v>
                </c:pt>
              </c:numCache>
            </c:numRef>
          </c:xVal>
          <c:yVal>
            <c:numRef>
              <c:f>'Zona 3 (aguas abajo)'!$K$36:$K$37</c:f>
              <c:numCache>
                <c:formatCode>0.00</c:formatCode>
                <c:ptCount val="2"/>
                <c:pt idx="0">
                  <c:v>1.92</c:v>
                </c:pt>
                <c:pt idx="1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C8DF-4D17-BD28-9CCDD49B76AF}"/>
            </c:ext>
          </c:extLst>
        </c:ser>
        <c:ser>
          <c:idx val="13"/>
          <c:order val="11"/>
          <c:tx>
            <c:strRef>
              <c:f>'Zona 3 (aguas abajo)'!$L$35</c:f>
              <c:strCache>
                <c:ptCount val="1"/>
                <c:pt idx="0">
                  <c:v>0</c:v>
                </c:pt>
              </c:strCache>
            </c:strRef>
          </c:tx>
          <c:spPr>
            <a:ln w="12700" cap="flat">
              <a:solidFill>
                <a:schemeClr val="bg1">
                  <a:lumMod val="50000"/>
                </a:schemeClr>
              </a:solidFill>
              <a:miter lim="800000"/>
              <a:head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C8DF-4D17-BD28-9CCDD49B76AF}"/>
                </c:ext>
              </c:extLst>
            </c:dLbl>
            <c:dLbl>
              <c:idx val="1"/>
              <c:spPr>
                <a:solidFill>
                  <a:schemeClr val="bg1"/>
                </a:solidFill>
                <a:ln cap="rnd">
                  <a:solidFill>
                    <a:schemeClr val="tx1"/>
                  </a:solidFill>
                </a:ln>
                <a:effectLst/>
              </c:spPr>
              <c:txPr>
                <a:bodyPr rot="0" spcFirstLastPara="1" vertOverflow="ellipsis" vert="horz" wrap="square" lIns="38100" tIns="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O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23-C8DF-4D17-BD28-9CCDD49B76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'Zona 3 (aguas abajo)'!$L$36:$L$37</c:f>
              <c:numCache>
                <c:formatCode>0.00</c:formatCode>
                <c:ptCount val="2"/>
                <c:pt idx="0">
                  <c:v>10.022317032481507</c:v>
                </c:pt>
                <c:pt idx="1">
                  <c:v>10.022317032481507</c:v>
                </c:pt>
              </c:numCache>
            </c:numRef>
          </c:xVal>
          <c:yVal>
            <c:numRef>
              <c:f>'Zona 3 (aguas abajo)'!$M$36:$M$37</c:f>
              <c:numCache>
                <c:formatCode>0.000</c:formatCode>
                <c:ptCount val="2"/>
                <c:pt idx="0">
                  <c:v>1.92</c:v>
                </c:pt>
                <c:pt idx="1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C8DF-4D17-BD28-9CCDD49B76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3952816"/>
        <c:axId val="573953376"/>
      </c:scatterChart>
      <c:valAx>
        <c:axId val="573952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73953376"/>
        <c:crosses val="autoZero"/>
        <c:crossBetween val="midCat"/>
      </c:valAx>
      <c:valAx>
        <c:axId val="573953376"/>
        <c:scaling>
          <c:orientation val="minMax"/>
        </c:scaling>
        <c:delete val="0"/>
        <c:axPos val="l"/>
        <c:majorGridlines>
          <c:spPr>
            <a:ln w="9525" cap="flat" cmpd="thickThin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73952816"/>
        <c:crosses val="autoZero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219078</xdr:colOff>
      <xdr:row>4</xdr:row>
      <xdr:rowOff>198693</xdr:rowOff>
    </xdr:from>
    <xdr:to>
      <xdr:col>28</xdr:col>
      <xdr:colOff>740016</xdr:colOff>
      <xdr:row>19</xdr:row>
      <xdr:rowOff>172030</xdr:rowOff>
    </xdr:to>
    <xdr:grpSp>
      <xdr:nvGrpSpPr>
        <xdr:cNvPr id="70" name="69 Grupo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GrpSpPr/>
      </xdr:nvGrpSpPr>
      <xdr:grpSpPr>
        <a:xfrm>
          <a:off x="16316328" y="970218"/>
          <a:ext cx="7078900" cy="3249937"/>
          <a:chOff x="8764712" y="764391"/>
          <a:chExt cx="6594078" cy="3677120"/>
        </a:xfrm>
      </xdr:grpSpPr>
      <xdr:sp macro="" textlink="">
        <xdr:nvSpPr>
          <xdr:cNvPr id="47" name="46 CuadroTexto">
            <a:extLst>
              <a:ext uri="{FF2B5EF4-FFF2-40B4-BE49-F238E27FC236}">
                <a16:creationId xmlns:a16="http://schemas.microsoft.com/office/drawing/2014/main" id="{00000000-0008-0000-0000-00002F000000}"/>
              </a:ext>
            </a:extLst>
          </xdr:cNvPr>
          <xdr:cNvSpPr txBox="1"/>
        </xdr:nvSpPr>
        <xdr:spPr>
          <a:xfrm>
            <a:off x="9978290" y="3060394"/>
            <a:ext cx="338135" cy="316440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es-CO" sz="800"/>
              <a:t>hmin</a:t>
            </a:r>
          </a:p>
          <a:p>
            <a:pPr algn="ctr"/>
            <a:r>
              <a:rPr lang="es-CO" sz="800"/>
              <a:t>hmax</a:t>
            </a:r>
          </a:p>
        </xdr:txBody>
      </xdr:sp>
      <xdr:grpSp>
        <xdr:nvGrpSpPr>
          <xdr:cNvPr id="69" name="68 Grupo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GrpSpPr/>
        </xdr:nvGrpSpPr>
        <xdr:grpSpPr>
          <a:xfrm>
            <a:off x="8764712" y="939874"/>
            <a:ext cx="6526698" cy="3229420"/>
            <a:chOff x="8764712" y="939874"/>
            <a:chExt cx="6526698" cy="3229420"/>
          </a:xfrm>
        </xdr:grpSpPr>
        <xdr:grpSp>
          <xdr:nvGrpSpPr>
            <xdr:cNvPr id="68" name="67 Grupo">
              <a:extLst>
                <a:ext uri="{FF2B5EF4-FFF2-40B4-BE49-F238E27FC236}">
                  <a16:creationId xmlns:a16="http://schemas.microsoft.com/office/drawing/2014/main" id="{00000000-0008-0000-0000-000044000000}"/>
                </a:ext>
              </a:extLst>
            </xdr:cNvPr>
            <xdr:cNvGrpSpPr/>
          </xdr:nvGrpSpPr>
          <xdr:grpSpPr>
            <a:xfrm>
              <a:off x="8764712" y="2384535"/>
              <a:ext cx="6477001" cy="1784759"/>
              <a:chOff x="8764712" y="2384535"/>
              <a:chExt cx="6477001" cy="1784759"/>
            </a:xfrm>
          </xdr:grpSpPr>
          <xdr:grpSp>
            <xdr:nvGrpSpPr>
              <xdr:cNvPr id="66" name="65 Grupo">
                <a:extLst>
                  <a:ext uri="{FF2B5EF4-FFF2-40B4-BE49-F238E27FC236}">
                    <a16:creationId xmlns:a16="http://schemas.microsoft.com/office/drawing/2014/main" id="{00000000-0008-0000-0000-000042000000}"/>
                  </a:ext>
                </a:extLst>
              </xdr:cNvPr>
              <xdr:cNvGrpSpPr/>
            </xdr:nvGrpSpPr>
            <xdr:grpSpPr>
              <a:xfrm>
                <a:off x="8764712" y="2384535"/>
                <a:ext cx="6477001" cy="1784759"/>
                <a:chOff x="8764712" y="2384535"/>
                <a:chExt cx="6477001" cy="1784759"/>
              </a:xfrm>
            </xdr:grpSpPr>
            <xdr:sp macro="" textlink="">
              <xdr:nvSpPr>
                <xdr:cNvPr id="64" name="63 Forma libre">
                  <a:extLst>
                    <a:ext uri="{FF2B5EF4-FFF2-40B4-BE49-F238E27FC236}">
                      <a16:creationId xmlns:a16="http://schemas.microsoft.com/office/drawing/2014/main" id="{00000000-0008-0000-0000-000040000000}"/>
                    </a:ext>
                  </a:extLst>
                </xdr:cNvPr>
                <xdr:cNvSpPr/>
              </xdr:nvSpPr>
              <xdr:spPr>
                <a:xfrm>
                  <a:off x="8764712" y="2485354"/>
                  <a:ext cx="6477001" cy="1683940"/>
                </a:xfrm>
                <a:custGeom>
                  <a:avLst/>
                  <a:gdLst>
                    <a:gd name="connsiteX0" fmla="*/ 0 w 6501848"/>
                    <a:gd name="connsiteY0" fmla="*/ 1076739 h 1697934"/>
                    <a:gd name="connsiteX1" fmla="*/ 0 w 6501848"/>
                    <a:gd name="connsiteY1" fmla="*/ 1697934 h 1697934"/>
                    <a:gd name="connsiteX2" fmla="*/ 6501848 w 6501848"/>
                    <a:gd name="connsiteY2" fmla="*/ 1697934 h 1697934"/>
                    <a:gd name="connsiteX3" fmla="*/ 6501848 w 6501848"/>
                    <a:gd name="connsiteY3" fmla="*/ 0 h 1697934"/>
                    <a:gd name="connsiteX4" fmla="*/ 4182718 w 6501848"/>
                    <a:gd name="connsiteY4" fmla="*/ 0 h 1697934"/>
                    <a:gd name="connsiteX5" fmla="*/ 4182718 w 6501848"/>
                    <a:gd name="connsiteY5" fmla="*/ 1035326 h 1697934"/>
                    <a:gd name="connsiteX6" fmla="*/ 0 w 6501848"/>
                    <a:gd name="connsiteY6" fmla="*/ 1076739 h 1697934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</a:cxnLst>
                  <a:rect l="l" t="t" r="r" b="b"/>
                  <a:pathLst>
                    <a:path w="6501848" h="1697934">
                      <a:moveTo>
                        <a:pt x="0" y="1076739"/>
                      </a:moveTo>
                      <a:lnTo>
                        <a:pt x="0" y="1697934"/>
                      </a:lnTo>
                      <a:lnTo>
                        <a:pt x="6501848" y="1697934"/>
                      </a:lnTo>
                      <a:lnTo>
                        <a:pt x="6501848" y="0"/>
                      </a:lnTo>
                      <a:lnTo>
                        <a:pt x="4182718" y="0"/>
                      </a:lnTo>
                      <a:lnTo>
                        <a:pt x="4182718" y="1035326"/>
                      </a:lnTo>
                      <a:lnTo>
                        <a:pt x="0" y="1076739"/>
                      </a:lnTo>
                      <a:close/>
                    </a:path>
                  </a:pathLst>
                </a:custGeom>
                <a:blipFill>
                  <a:blip xmlns:r="http://schemas.openxmlformats.org/officeDocument/2006/relationships" r:embed="rId1"/>
                  <a:tile tx="0" ty="0" sx="100000" sy="100000" flip="none" algn="tl"/>
                </a:blip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s-CO" sz="1100"/>
                </a:p>
              </xdr:txBody>
            </xdr:sp>
            <xdr:sp macro="" textlink="">
              <xdr:nvSpPr>
                <xdr:cNvPr id="2" name="1 Forma libre">
                  <a:extLst>
                    <a:ext uri="{FF2B5EF4-FFF2-40B4-BE49-F238E27FC236}">
                      <a16:creationId xmlns:a16="http://schemas.microsoft.com/office/drawing/2014/main" id="{00000000-0008-0000-0000-000002000000}"/>
                    </a:ext>
                  </a:extLst>
                </xdr:cNvPr>
                <xdr:cNvSpPr/>
              </xdr:nvSpPr>
              <xdr:spPr>
                <a:xfrm>
                  <a:off x="9772161" y="2384535"/>
                  <a:ext cx="5452986" cy="1259681"/>
                </a:xfrm>
                <a:custGeom>
                  <a:avLst/>
                  <a:gdLst>
                    <a:gd name="connsiteX0" fmla="*/ 0 w 5449956"/>
                    <a:gd name="connsiteY0" fmla="*/ 1068457 h 1258957"/>
                    <a:gd name="connsiteX1" fmla="*/ 3081130 w 5449956"/>
                    <a:gd name="connsiteY1" fmla="*/ 1068457 h 1258957"/>
                    <a:gd name="connsiteX2" fmla="*/ 3081130 w 5449956"/>
                    <a:gd name="connsiteY2" fmla="*/ 0 h 1258957"/>
                    <a:gd name="connsiteX3" fmla="*/ 5449956 w 5449956"/>
                    <a:gd name="connsiteY3" fmla="*/ 0 h 1258957"/>
                    <a:gd name="connsiteX4" fmla="*/ 5449956 w 5449956"/>
                    <a:gd name="connsiteY4" fmla="*/ 190500 h 1258957"/>
                    <a:gd name="connsiteX5" fmla="*/ 3279913 w 5449956"/>
                    <a:gd name="connsiteY5" fmla="*/ 190500 h 1258957"/>
                    <a:gd name="connsiteX6" fmla="*/ 3279913 w 5449956"/>
                    <a:gd name="connsiteY6" fmla="*/ 1258957 h 1258957"/>
                    <a:gd name="connsiteX7" fmla="*/ 24848 w 5449956"/>
                    <a:gd name="connsiteY7" fmla="*/ 1258957 h 1258957"/>
                    <a:gd name="connsiteX8" fmla="*/ 0 w 5449956"/>
                    <a:gd name="connsiteY8" fmla="*/ 1068457 h 1258957"/>
                    <a:gd name="connsiteX0" fmla="*/ 3030 w 5452986"/>
                    <a:gd name="connsiteY0" fmla="*/ 1068457 h 1268353"/>
                    <a:gd name="connsiteX1" fmla="*/ 3084160 w 5452986"/>
                    <a:gd name="connsiteY1" fmla="*/ 1068457 h 1268353"/>
                    <a:gd name="connsiteX2" fmla="*/ 3084160 w 5452986"/>
                    <a:gd name="connsiteY2" fmla="*/ 0 h 1268353"/>
                    <a:gd name="connsiteX3" fmla="*/ 5452986 w 5452986"/>
                    <a:gd name="connsiteY3" fmla="*/ 0 h 1268353"/>
                    <a:gd name="connsiteX4" fmla="*/ 5452986 w 5452986"/>
                    <a:gd name="connsiteY4" fmla="*/ 190500 h 1268353"/>
                    <a:gd name="connsiteX5" fmla="*/ 3282943 w 5452986"/>
                    <a:gd name="connsiteY5" fmla="*/ 190500 h 1268353"/>
                    <a:gd name="connsiteX6" fmla="*/ 3282943 w 5452986"/>
                    <a:gd name="connsiteY6" fmla="*/ 1258957 h 1268353"/>
                    <a:gd name="connsiteX7" fmla="*/ 0 w 5452986"/>
                    <a:gd name="connsiteY7" fmla="*/ 1268353 h 1268353"/>
                    <a:gd name="connsiteX8" fmla="*/ 3030 w 5452986"/>
                    <a:gd name="connsiteY8" fmla="*/ 1068457 h 1268353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</a:cxnLst>
                  <a:rect l="l" t="t" r="r" b="b"/>
                  <a:pathLst>
                    <a:path w="5452986" h="1268353">
                      <a:moveTo>
                        <a:pt x="3030" y="1068457"/>
                      </a:moveTo>
                      <a:lnTo>
                        <a:pt x="3084160" y="1068457"/>
                      </a:lnTo>
                      <a:lnTo>
                        <a:pt x="3084160" y="0"/>
                      </a:lnTo>
                      <a:lnTo>
                        <a:pt x="5452986" y="0"/>
                      </a:lnTo>
                      <a:lnTo>
                        <a:pt x="5452986" y="190500"/>
                      </a:lnTo>
                      <a:lnTo>
                        <a:pt x="3282943" y="190500"/>
                      </a:lnTo>
                      <a:lnTo>
                        <a:pt x="3282943" y="1258957"/>
                      </a:lnTo>
                      <a:lnTo>
                        <a:pt x="0" y="1268353"/>
                      </a:lnTo>
                      <a:lnTo>
                        <a:pt x="3030" y="1068457"/>
                      </a:lnTo>
                      <a:close/>
                    </a:path>
                  </a:pathLst>
                </a:custGeom>
                <a:pattFill prst="wdDnDiag">
                  <a:fgClr>
                    <a:schemeClr val="accent1"/>
                  </a:fgClr>
                  <a:bgClr>
                    <a:schemeClr val="bg1"/>
                  </a:bgClr>
                </a:pattFill>
                <a:ln w="3175">
                  <a:solidFill>
                    <a:schemeClr val="tx1">
                      <a:lumMod val="95000"/>
                      <a:lumOff val="5000"/>
                    </a:schemeClr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s-CO" sz="1100">
                    <a:ln w="3175">
                      <a:noFill/>
                    </a:ln>
                  </a:endParaRPr>
                </a:p>
              </xdr:txBody>
            </xdr:sp>
            <xdr:sp macro="" textlink="">
              <xdr:nvSpPr>
                <xdr:cNvPr id="20" name="19 Retraso">
                  <a:extLst>
                    <a:ext uri="{FF2B5EF4-FFF2-40B4-BE49-F238E27FC236}">
                      <a16:creationId xmlns:a16="http://schemas.microsoft.com/office/drawing/2014/main" id="{00000000-0008-0000-0000-000014000000}"/>
                    </a:ext>
                  </a:extLst>
                </xdr:cNvPr>
                <xdr:cNvSpPr/>
              </xdr:nvSpPr>
              <xdr:spPr>
                <a:xfrm flipH="1">
                  <a:off x="12521312" y="2384535"/>
                  <a:ext cx="335882" cy="301307"/>
                </a:xfrm>
                <a:prstGeom prst="flowChartDelay">
                  <a:avLst/>
                </a:prstGeom>
                <a:solidFill>
                  <a:schemeClr val="bg2">
                    <a:lumMod val="90000"/>
                  </a:schemeClr>
                </a:solidFill>
                <a:ln w="3175"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marL="0" indent="0" algn="l"/>
                  <a:endParaRPr lang="es-CO" sz="1100">
                    <a:ln w="3175">
                      <a:noFill/>
                    </a:ln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endParaRPr>
                </a:p>
              </xdr:txBody>
            </xdr:sp>
          </xdr:grpSp>
          <xdr:sp macro="" textlink="">
            <xdr:nvSpPr>
              <xdr:cNvPr id="4" name="3 Rectángulo">
                <a:extLst>
                  <a:ext uri="{FF2B5EF4-FFF2-40B4-BE49-F238E27FC236}">
                    <a16:creationId xmlns:a16="http://schemas.microsoft.com/office/drawing/2014/main" id="{00000000-0008-0000-0000-000004000000}"/>
                  </a:ext>
                </a:extLst>
              </xdr:cNvPr>
              <xdr:cNvSpPr/>
            </xdr:nvSpPr>
            <xdr:spPr>
              <a:xfrm rot="16200000">
                <a:off x="9091949" y="3117908"/>
                <a:ext cx="185951" cy="835270"/>
              </a:xfrm>
              <a:prstGeom prst="rect">
                <a:avLst/>
              </a:prstGeom>
              <a:pattFill prst="wdDnDiag">
                <a:fgClr>
                  <a:schemeClr val="accent1"/>
                </a:fgClr>
                <a:bgClr>
                  <a:schemeClr val="bg1"/>
                </a:bgClr>
              </a:pattFill>
              <a:ln w="3175">
                <a:solidFill>
                  <a:schemeClr val="tx1">
                    <a:lumMod val="95000"/>
                    <a:lumOff val="5000"/>
                  </a:schemeClr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marL="0" indent="0" algn="l"/>
                <a:endParaRPr lang="es-CO" sz="1100">
                  <a:ln w="3175">
                    <a:noFill/>
                  </a:ln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3" name="2 Rectángulo">
                <a:extLst>
                  <a:ext uri="{FF2B5EF4-FFF2-40B4-BE49-F238E27FC236}">
                    <a16:creationId xmlns:a16="http://schemas.microsoft.com/office/drawing/2014/main" id="{00000000-0008-0000-0000-000003000000}"/>
                  </a:ext>
                </a:extLst>
              </xdr:cNvPr>
              <xdr:cNvSpPr/>
            </xdr:nvSpPr>
            <xdr:spPr>
              <a:xfrm>
                <a:off x="9599027" y="3006709"/>
                <a:ext cx="183173" cy="1028152"/>
              </a:xfrm>
              <a:prstGeom prst="rect">
                <a:avLst/>
              </a:prstGeom>
              <a:solidFill>
                <a:schemeClr val="bg1">
                  <a:lumMod val="65000"/>
                </a:schemeClr>
              </a:solidFill>
              <a:ln w="3175">
                <a:solidFill>
                  <a:schemeClr val="tx1">
                    <a:lumMod val="95000"/>
                    <a:lumOff val="5000"/>
                  </a:schemeClr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marL="0" indent="0" algn="l"/>
                <a:endParaRPr lang="es-CO" sz="1100">
                  <a:ln w="3175">
                    <a:noFill/>
                  </a:ln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</xdr:grpSp>
        <xdr:sp macro="" textlink="">
          <xdr:nvSpPr>
            <xdr:cNvPr id="7" name="6 Forma libre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SpPr/>
          </xdr:nvSpPr>
          <xdr:spPr>
            <a:xfrm>
              <a:off x="8814410" y="939874"/>
              <a:ext cx="6477000" cy="1825633"/>
            </a:xfrm>
            <a:custGeom>
              <a:avLst/>
              <a:gdLst>
                <a:gd name="connsiteX0" fmla="*/ 6435587 w 6435587"/>
                <a:gd name="connsiteY0" fmla="*/ 21244 h 1794266"/>
                <a:gd name="connsiteX1" fmla="*/ 4596848 w 6435587"/>
                <a:gd name="connsiteY1" fmla="*/ 37809 h 1794266"/>
                <a:gd name="connsiteX2" fmla="*/ 3602935 w 6435587"/>
                <a:gd name="connsiteY2" fmla="*/ 369114 h 1794266"/>
                <a:gd name="connsiteX3" fmla="*/ 3246782 w 6435587"/>
                <a:gd name="connsiteY3" fmla="*/ 634157 h 1794266"/>
                <a:gd name="connsiteX4" fmla="*/ 2948609 w 6435587"/>
                <a:gd name="connsiteY4" fmla="*/ 1064853 h 1794266"/>
                <a:gd name="connsiteX5" fmla="*/ 2749826 w 6435587"/>
                <a:gd name="connsiteY5" fmla="*/ 1536961 h 1794266"/>
                <a:gd name="connsiteX6" fmla="*/ 2575891 w 6435587"/>
                <a:gd name="connsiteY6" fmla="*/ 1719179 h 1794266"/>
                <a:gd name="connsiteX7" fmla="*/ 2178326 w 6435587"/>
                <a:gd name="connsiteY7" fmla="*/ 1793722 h 1794266"/>
                <a:gd name="connsiteX8" fmla="*/ 1755913 w 6435587"/>
                <a:gd name="connsiteY8" fmla="*/ 1686048 h 1794266"/>
                <a:gd name="connsiteX9" fmla="*/ 1209261 w 6435587"/>
                <a:gd name="connsiteY9" fmla="*/ 1421005 h 1794266"/>
                <a:gd name="connsiteX10" fmla="*/ 728869 w 6435587"/>
                <a:gd name="connsiteY10" fmla="*/ 1346461 h 1794266"/>
                <a:gd name="connsiteX11" fmla="*/ 0 w 6435587"/>
                <a:gd name="connsiteY11" fmla="*/ 1346461 h 1794266"/>
                <a:gd name="connsiteX0" fmla="*/ 6477000 w 6477000"/>
                <a:gd name="connsiteY0" fmla="*/ 8913 h 1823348"/>
                <a:gd name="connsiteX1" fmla="*/ 4596848 w 6477000"/>
                <a:gd name="connsiteY1" fmla="*/ 66891 h 1823348"/>
                <a:gd name="connsiteX2" fmla="*/ 3602935 w 6477000"/>
                <a:gd name="connsiteY2" fmla="*/ 398196 h 1823348"/>
                <a:gd name="connsiteX3" fmla="*/ 3246782 w 6477000"/>
                <a:gd name="connsiteY3" fmla="*/ 663239 h 1823348"/>
                <a:gd name="connsiteX4" fmla="*/ 2948609 w 6477000"/>
                <a:gd name="connsiteY4" fmla="*/ 1093935 h 1823348"/>
                <a:gd name="connsiteX5" fmla="*/ 2749826 w 6477000"/>
                <a:gd name="connsiteY5" fmla="*/ 1566043 h 1823348"/>
                <a:gd name="connsiteX6" fmla="*/ 2575891 w 6477000"/>
                <a:gd name="connsiteY6" fmla="*/ 1748261 h 1823348"/>
                <a:gd name="connsiteX7" fmla="*/ 2178326 w 6477000"/>
                <a:gd name="connsiteY7" fmla="*/ 1822804 h 1823348"/>
                <a:gd name="connsiteX8" fmla="*/ 1755913 w 6477000"/>
                <a:gd name="connsiteY8" fmla="*/ 1715130 h 1823348"/>
                <a:gd name="connsiteX9" fmla="*/ 1209261 w 6477000"/>
                <a:gd name="connsiteY9" fmla="*/ 1450087 h 1823348"/>
                <a:gd name="connsiteX10" fmla="*/ 728869 w 6477000"/>
                <a:gd name="connsiteY10" fmla="*/ 1375543 h 1823348"/>
                <a:gd name="connsiteX11" fmla="*/ 0 w 6477000"/>
                <a:gd name="connsiteY11" fmla="*/ 1375543 h 1823348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</a:cxnLst>
              <a:rect l="l" t="t" r="r" b="b"/>
              <a:pathLst>
                <a:path w="6477000" h="1823348">
                  <a:moveTo>
                    <a:pt x="6477000" y="8913"/>
                  </a:moveTo>
                  <a:cubicBezTo>
                    <a:pt x="5793685" y="-11794"/>
                    <a:pt x="5075859" y="2011"/>
                    <a:pt x="4596848" y="66891"/>
                  </a:cubicBezTo>
                  <a:cubicBezTo>
                    <a:pt x="4117837" y="131771"/>
                    <a:pt x="3827946" y="298805"/>
                    <a:pt x="3602935" y="398196"/>
                  </a:cubicBezTo>
                  <a:cubicBezTo>
                    <a:pt x="3377924" y="497587"/>
                    <a:pt x="3355836" y="547283"/>
                    <a:pt x="3246782" y="663239"/>
                  </a:cubicBezTo>
                  <a:cubicBezTo>
                    <a:pt x="3137728" y="779195"/>
                    <a:pt x="3031435" y="943468"/>
                    <a:pt x="2948609" y="1093935"/>
                  </a:cubicBezTo>
                  <a:cubicBezTo>
                    <a:pt x="2865783" y="1244402"/>
                    <a:pt x="2811946" y="1456989"/>
                    <a:pt x="2749826" y="1566043"/>
                  </a:cubicBezTo>
                  <a:cubicBezTo>
                    <a:pt x="2687706" y="1675097"/>
                    <a:pt x="2671141" y="1705468"/>
                    <a:pt x="2575891" y="1748261"/>
                  </a:cubicBezTo>
                  <a:cubicBezTo>
                    <a:pt x="2480641" y="1791054"/>
                    <a:pt x="2314989" y="1828326"/>
                    <a:pt x="2178326" y="1822804"/>
                  </a:cubicBezTo>
                  <a:cubicBezTo>
                    <a:pt x="2041663" y="1817282"/>
                    <a:pt x="1917424" y="1777250"/>
                    <a:pt x="1755913" y="1715130"/>
                  </a:cubicBezTo>
                  <a:cubicBezTo>
                    <a:pt x="1594402" y="1653011"/>
                    <a:pt x="1380435" y="1506685"/>
                    <a:pt x="1209261" y="1450087"/>
                  </a:cubicBezTo>
                  <a:cubicBezTo>
                    <a:pt x="1038087" y="1393489"/>
                    <a:pt x="930412" y="1387967"/>
                    <a:pt x="728869" y="1375543"/>
                  </a:cubicBezTo>
                  <a:cubicBezTo>
                    <a:pt x="527326" y="1363119"/>
                    <a:pt x="263663" y="1369331"/>
                    <a:pt x="0" y="1375543"/>
                  </a:cubicBezTo>
                </a:path>
              </a:pathLst>
            </a:custGeom>
            <a:noFill/>
            <a:ln w="3175"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CO" sz="1100"/>
            </a:p>
          </xdr:txBody>
        </xdr:sp>
      </xdr:grpSp>
      <xdr:sp macro="" textlink="">
        <xdr:nvSpPr>
          <xdr:cNvPr id="8" name="7 CuadroTexto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 txBox="1"/>
        </xdr:nvSpPr>
        <xdr:spPr>
          <a:xfrm>
            <a:off x="14486879" y="764391"/>
            <a:ext cx="871911" cy="17001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es-CO" sz="900"/>
              <a:t>Lámina de </a:t>
            </a:r>
            <a:r>
              <a:rPr lang="es-CO" sz="900" baseline="0"/>
              <a:t>agua</a:t>
            </a:r>
            <a:endParaRPr lang="es-CO" sz="900"/>
          </a:p>
        </xdr:txBody>
      </xdr:sp>
      <xdr:grpSp>
        <xdr:nvGrpSpPr>
          <xdr:cNvPr id="13" name="12 Grupo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GrpSpPr/>
        </xdr:nvGrpSpPr>
        <xdr:grpSpPr>
          <a:xfrm>
            <a:off x="14376181" y="792624"/>
            <a:ext cx="111578" cy="141088"/>
            <a:chOff x="14382750" y="793533"/>
            <a:chExt cx="111578" cy="141088"/>
          </a:xfrm>
        </xdr:grpSpPr>
        <xdr:sp macro="" textlink="">
          <xdr:nvSpPr>
            <xdr:cNvPr id="9" name="8 Triángulo isósceles">
              <a:extLst>
                <a:ext uri="{FF2B5EF4-FFF2-40B4-BE49-F238E27FC236}">
                  <a16:creationId xmlns:a16="http://schemas.microsoft.com/office/drawing/2014/main" id="{00000000-0008-0000-0000-000009000000}"/>
                </a:ext>
              </a:extLst>
            </xdr:cNvPr>
            <xdr:cNvSpPr/>
          </xdr:nvSpPr>
          <xdr:spPr>
            <a:xfrm flipV="1">
              <a:off x="14382750" y="836105"/>
              <a:ext cx="111578" cy="98516"/>
            </a:xfrm>
            <a:prstGeom prst="triangle">
              <a:avLst/>
            </a:prstGeom>
            <a:noFill/>
            <a:ln w="3175">
              <a:solidFill>
                <a:schemeClr val="tx1">
                  <a:lumMod val="75000"/>
                  <a:lumOff val="2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CO" sz="1100"/>
            </a:p>
          </xdr:txBody>
        </xdr:sp>
        <xdr:cxnSp macro="">
          <xdr:nvCxnSpPr>
            <xdr:cNvPr id="11" name="10 Conector recto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CxnSpPr/>
          </xdr:nvCxnSpPr>
          <xdr:spPr>
            <a:xfrm flipH="1">
              <a:off x="14384007" y="813221"/>
              <a:ext cx="108238" cy="0"/>
            </a:xfrm>
            <a:prstGeom prst="line">
              <a:avLst/>
            </a:prstGeom>
            <a:noFill/>
            <a:ln w="3175">
              <a:solidFill>
                <a:schemeClr val="tx1">
                  <a:lumMod val="75000"/>
                  <a:lumOff val="2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</xdr:cxnSp>
        <xdr:cxnSp macro="">
          <xdr:nvCxnSpPr>
            <xdr:cNvPr id="12" name="11 Conector recto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CxnSpPr/>
          </xdr:nvCxnSpPr>
          <xdr:spPr>
            <a:xfrm flipH="1">
              <a:off x="14382757" y="793533"/>
              <a:ext cx="108238" cy="0"/>
            </a:xfrm>
            <a:prstGeom prst="line">
              <a:avLst/>
            </a:prstGeom>
            <a:noFill/>
            <a:ln w="3175">
              <a:solidFill>
                <a:schemeClr val="tx1">
                  <a:lumMod val="75000"/>
                  <a:lumOff val="2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</xdr:cxnSp>
      </xdr:grpSp>
      <xdr:cxnSp macro="">
        <xdr:nvCxnSpPr>
          <xdr:cNvPr id="16" name="15 Conector recto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CxnSpPr>
            <a:stCxn id="2" idx="2"/>
          </xdr:cNvCxnSpPr>
        </xdr:nvCxnSpPr>
        <xdr:spPr>
          <a:xfrm flipV="1">
            <a:off x="12856321" y="1155852"/>
            <a:ext cx="1" cy="1228683"/>
          </a:xfrm>
          <a:prstGeom prst="line">
            <a:avLst/>
          </a:prstGeom>
          <a:ln w="3175">
            <a:solidFill>
              <a:schemeClr val="bg1">
                <a:lumMod val="75000"/>
              </a:schemeClr>
            </a:solidFill>
            <a:headEnd type="stealth"/>
            <a:tailEnd type="stealt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" name="13 CuadroTexto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 txBox="1"/>
        </xdr:nvSpPr>
        <xdr:spPr>
          <a:xfrm>
            <a:off x="12746793" y="1722725"/>
            <a:ext cx="236099" cy="164621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es-CO" sz="900"/>
              <a:t>Yo</a:t>
            </a:r>
          </a:p>
        </xdr:txBody>
      </xdr:sp>
      <xdr:cxnSp macro="">
        <xdr:nvCxnSpPr>
          <xdr:cNvPr id="17" name="16 Conector recto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CxnSpPr/>
        </xdr:nvCxnSpPr>
        <xdr:spPr>
          <a:xfrm flipV="1">
            <a:off x="12711804" y="2693276"/>
            <a:ext cx="0" cy="752577"/>
          </a:xfrm>
          <a:prstGeom prst="line">
            <a:avLst/>
          </a:prstGeom>
          <a:ln w="3175">
            <a:solidFill>
              <a:schemeClr val="bg1">
                <a:lumMod val="75000"/>
              </a:schemeClr>
            </a:solidFill>
            <a:headEnd type="stealth"/>
            <a:tailEnd type="stealt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8" name="17 CuadroTexto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 txBox="1"/>
        </xdr:nvSpPr>
        <xdr:spPr>
          <a:xfrm>
            <a:off x="12602276" y="3000819"/>
            <a:ext cx="236099" cy="164621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es-CO" sz="900"/>
              <a:t>Yp</a:t>
            </a:r>
          </a:p>
        </xdr:txBody>
      </xdr:sp>
      <xdr:cxnSp macro="">
        <xdr:nvCxnSpPr>
          <xdr:cNvPr id="21" name="20 Conector recto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12384213" y="2227165"/>
            <a:ext cx="337628" cy="319003"/>
          </a:xfrm>
          <a:prstGeom prst="line">
            <a:avLst/>
          </a:prstGeom>
          <a:ln w="3175">
            <a:solidFill>
              <a:schemeClr val="tx1">
                <a:lumMod val="50000"/>
                <a:lumOff val="50000"/>
              </a:schemeClr>
            </a:solidFill>
            <a:headEnd type="none"/>
            <a:tailEnd type="stealt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4" name="23 CuadroTexto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 txBox="1"/>
        </xdr:nvSpPr>
        <xdr:spPr>
          <a:xfrm>
            <a:off x="12156391" y="1928034"/>
            <a:ext cx="376276" cy="33528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es-CO" sz="900"/>
              <a:t>bolsa de aire</a:t>
            </a:r>
          </a:p>
        </xdr:txBody>
      </xdr:sp>
      <xdr:cxnSp macro="">
        <xdr:nvCxnSpPr>
          <xdr:cNvPr id="25" name="24 Conector recto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 flipV="1">
            <a:off x="12324237" y="2399574"/>
            <a:ext cx="0" cy="1045069"/>
          </a:xfrm>
          <a:prstGeom prst="line">
            <a:avLst/>
          </a:prstGeom>
          <a:ln w="3175">
            <a:solidFill>
              <a:schemeClr val="bg1">
                <a:lumMod val="75000"/>
              </a:schemeClr>
            </a:solidFill>
            <a:headEnd type="stealth"/>
            <a:tailEnd type="stealt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6" name="25 CuadroTexto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 txBox="1"/>
        </xdr:nvSpPr>
        <xdr:spPr>
          <a:xfrm>
            <a:off x="12204683" y="2854918"/>
            <a:ext cx="236099" cy="164621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es-CO" sz="900"/>
              <a:t>hc</a:t>
            </a:r>
          </a:p>
        </xdr:txBody>
      </xdr:sp>
      <xdr:cxnSp macro="">
        <xdr:nvCxnSpPr>
          <xdr:cNvPr id="28" name="27 Conector recto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CxnSpPr/>
        </xdr:nvCxnSpPr>
        <xdr:spPr>
          <a:xfrm flipV="1">
            <a:off x="11010788" y="2771485"/>
            <a:ext cx="0" cy="683972"/>
          </a:xfrm>
          <a:prstGeom prst="line">
            <a:avLst/>
          </a:prstGeom>
          <a:ln w="3175">
            <a:solidFill>
              <a:schemeClr val="bg1">
                <a:lumMod val="75000"/>
              </a:schemeClr>
            </a:solidFill>
            <a:headEnd type="stealth"/>
            <a:tailEnd type="stealt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9" name="28 CuadroTexto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SpPr txBox="1"/>
        </xdr:nvSpPr>
        <xdr:spPr>
          <a:xfrm>
            <a:off x="10901260" y="3024673"/>
            <a:ext cx="236099" cy="164621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es-CO" sz="900"/>
              <a:t>y1</a:t>
            </a:r>
          </a:p>
        </xdr:txBody>
      </xdr:sp>
      <xdr:cxnSp macro="">
        <xdr:nvCxnSpPr>
          <xdr:cNvPr id="30" name="29 Conector recto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CxnSpPr/>
        </xdr:nvCxnSpPr>
        <xdr:spPr>
          <a:xfrm flipV="1">
            <a:off x="9905888" y="2990380"/>
            <a:ext cx="0" cy="455051"/>
          </a:xfrm>
          <a:prstGeom prst="line">
            <a:avLst/>
          </a:prstGeom>
          <a:ln w="3175">
            <a:solidFill>
              <a:schemeClr val="bg1">
                <a:lumMod val="75000"/>
              </a:schemeClr>
            </a:solidFill>
            <a:headEnd type="stealth"/>
            <a:tailEnd type="stealt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1" name="30 CuadroTexto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SpPr txBox="1"/>
        </xdr:nvSpPr>
        <xdr:spPr>
          <a:xfrm>
            <a:off x="9841110" y="3135707"/>
            <a:ext cx="146599" cy="163307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es-CO" sz="900"/>
              <a:t>h</a:t>
            </a:r>
          </a:p>
        </xdr:txBody>
      </xdr:sp>
      <xdr:cxnSp macro="">
        <xdr:nvCxnSpPr>
          <xdr:cNvPr id="33" name="32 Conector recto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CxnSpPr/>
        </xdr:nvCxnSpPr>
        <xdr:spPr>
          <a:xfrm flipV="1">
            <a:off x="9160217" y="2308334"/>
            <a:ext cx="0" cy="1131653"/>
          </a:xfrm>
          <a:prstGeom prst="line">
            <a:avLst/>
          </a:prstGeom>
          <a:ln w="3175">
            <a:solidFill>
              <a:schemeClr val="bg1">
                <a:lumMod val="75000"/>
              </a:schemeClr>
            </a:solidFill>
            <a:headEnd type="stealth"/>
            <a:tailEnd type="stealt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4" name="33 CuadroTexto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 txBox="1"/>
        </xdr:nvSpPr>
        <xdr:spPr>
          <a:xfrm>
            <a:off x="9050689" y="2811941"/>
            <a:ext cx="236099" cy="164621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es-CO" sz="900"/>
              <a:t>y2</a:t>
            </a:r>
          </a:p>
        </xdr:txBody>
      </xdr:sp>
      <xdr:cxnSp macro="">
        <xdr:nvCxnSpPr>
          <xdr:cNvPr id="36" name="35 Conector recto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CxnSpPr>
            <a:stCxn id="39" idx="0"/>
          </xdr:cNvCxnSpPr>
        </xdr:nvCxnSpPr>
        <xdr:spPr>
          <a:xfrm flipH="1" flipV="1">
            <a:off x="12847028" y="3618393"/>
            <a:ext cx="9516" cy="630918"/>
          </a:xfrm>
          <a:prstGeom prst="line">
            <a:avLst/>
          </a:prstGeom>
          <a:ln w="3175">
            <a:solidFill>
              <a:schemeClr val="tx1">
                <a:lumMod val="50000"/>
                <a:lumOff val="50000"/>
              </a:schemeClr>
            </a:solidFill>
            <a:headEnd type="none"/>
            <a:tailEnd type="stealt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9" name="38 Elipse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/>
        </xdr:nvSpPr>
        <xdr:spPr>
          <a:xfrm>
            <a:off x="12766544" y="4249311"/>
            <a:ext cx="180000" cy="180000"/>
          </a:xfrm>
          <a:prstGeom prst="ellipse">
            <a:avLst/>
          </a:prstGeom>
          <a:solidFill>
            <a:schemeClr val="bg1">
              <a:lumMod val="85000"/>
            </a:schemeClr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s-CO" sz="900">
                <a:solidFill>
                  <a:sysClr val="windowText" lastClr="000000"/>
                </a:solidFill>
              </a:rPr>
              <a:t>0</a:t>
            </a:r>
          </a:p>
        </xdr:txBody>
      </xdr:sp>
      <xdr:cxnSp macro="">
        <xdr:nvCxnSpPr>
          <xdr:cNvPr id="41" name="40 Conector recto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CxnSpPr>
            <a:stCxn id="42" idx="0"/>
          </xdr:cNvCxnSpPr>
        </xdr:nvCxnSpPr>
        <xdr:spPr>
          <a:xfrm flipH="1" flipV="1">
            <a:off x="11012785" y="3629279"/>
            <a:ext cx="9516" cy="630918"/>
          </a:xfrm>
          <a:prstGeom prst="line">
            <a:avLst/>
          </a:prstGeom>
          <a:ln w="3175">
            <a:solidFill>
              <a:schemeClr val="tx1">
                <a:lumMod val="50000"/>
                <a:lumOff val="50000"/>
              </a:schemeClr>
            </a:solidFill>
            <a:headEnd type="none"/>
            <a:tailEnd type="stealt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2" name="41 Elipse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SpPr/>
        </xdr:nvSpPr>
        <xdr:spPr>
          <a:xfrm>
            <a:off x="10932301" y="4260197"/>
            <a:ext cx="180000" cy="181314"/>
          </a:xfrm>
          <a:prstGeom prst="ellipse">
            <a:avLst/>
          </a:prstGeom>
          <a:solidFill>
            <a:schemeClr val="bg1">
              <a:lumMod val="85000"/>
            </a:schemeClr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s-CO" sz="900">
                <a:solidFill>
                  <a:sysClr val="windowText" lastClr="000000"/>
                </a:solidFill>
              </a:rPr>
              <a:t>1</a:t>
            </a:r>
          </a:p>
        </xdr:txBody>
      </xdr:sp>
      <xdr:cxnSp macro="">
        <xdr:nvCxnSpPr>
          <xdr:cNvPr id="43" name="42 Conector recto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CxnSpPr>
            <a:stCxn id="44" idx="0"/>
          </xdr:cNvCxnSpPr>
        </xdr:nvCxnSpPr>
        <xdr:spPr>
          <a:xfrm flipH="1" flipV="1">
            <a:off x="9156771" y="3623836"/>
            <a:ext cx="9516" cy="630918"/>
          </a:xfrm>
          <a:prstGeom prst="line">
            <a:avLst/>
          </a:prstGeom>
          <a:ln w="3175">
            <a:solidFill>
              <a:schemeClr val="tx1">
                <a:lumMod val="50000"/>
                <a:lumOff val="50000"/>
              </a:schemeClr>
            </a:solidFill>
            <a:headEnd type="none"/>
            <a:tailEnd type="stealt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4" name="43 Elipse">
            <a:extLst>
              <a:ext uri="{FF2B5EF4-FFF2-40B4-BE49-F238E27FC236}">
                <a16:creationId xmlns:a16="http://schemas.microsoft.com/office/drawing/2014/main" id="{00000000-0008-0000-0000-00002C000000}"/>
              </a:ext>
            </a:extLst>
          </xdr:cNvPr>
          <xdr:cNvSpPr/>
        </xdr:nvSpPr>
        <xdr:spPr>
          <a:xfrm>
            <a:off x="9076287" y="4254754"/>
            <a:ext cx="180000" cy="180000"/>
          </a:xfrm>
          <a:prstGeom prst="ellipse">
            <a:avLst/>
          </a:prstGeom>
          <a:solidFill>
            <a:schemeClr val="bg1">
              <a:lumMod val="85000"/>
            </a:schemeClr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s-CO" sz="900">
                <a:solidFill>
                  <a:sysClr val="windowText" lastClr="000000"/>
                </a:solidFill>
              </a:rPr>
              <a:t>2</a:t>
            </a:r>
          </a:p>
        </xdr:txBody>
      </xdr:sp>
      <xdr:cxnSp macro="">
        <xdr:nvCxnSpPr>
          <xdr:cNvPr id="48" name="47 Conector recto">
            <a:extLst>
              <a:ext uri="{FF2B5EF4-FFF2-40B4-BE49-F238E27FC236}">
                <a16:creationId xmlns:a16="http://schemas.microsoft.com/office/drawing/2014/main" id="{00000000-0008-0000-0000-000030000000}"/>
              </a:ext>
            </a:extLst>
          </xdr:cNvPr>
          <xdr:cNvCxnSpPr/>
        </xdr:nvCxnSpPr>
        <xdr:spPr>
          <a:xfrm>
            <a:off x="9664969" y="2182413"/>
            <a:ext cx="1370135" cy="7327"/>
          </a:xfrm>
          <a:prstGeom prst="line">
            <a:avLst/>
          </a:prstGeom>
          <a:ln w="3175">
            <a:solidFill>
              <a:schemeClr val="bg1">
                <a:lumMod val="75000"/>
              </a:schemeClr>
            </a:solidFill>
            <a:headEnd type="stealth"/>
            <a:tailEnd type="stealt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1" name="50 CuadroTexto">
            <a:extLst>
              <a:ext uri="{FF2B5EF4-FFF2-40B4-BE49-F238E27FC236}">
                <a16:creationId xmlns:a16="http://schemas.microsoft.com/office/drawing/2014/main" id="{00000000-0008-0000-0000-000033000000}"/>
              </a:ext>
            </a:extLst>
          </xdr:cNvPr>
          <xdr:cNvSpPr txBox="1"/>
        </xdr:nvSpPr>
        <xdr:spPr>
          <a:xfrm>
            <a:off x="10241837" y="2102757"/>
            <a:ext cx="236099" cy="158808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es-CO" sz="900"/>
              <a:t>lj</a:t>
            </a:r>
          </a:p>
        </xdr:txBody>
      </xdr:sp>
      <xdr:cxnSp macro="">
        <xdr:nvCxnSpPr>
          <xdr:cNvPr id="53" name="52 Conector recto">
            <a:extLst>
              <a:ext uri="{FF2B5EF4-FFF2-40B4-BE49-F238E27FC236}">
                <a16:creationId xmlns:a16="http://schemas.microsoft.com/office/drawing/2014/main" id="{00000000-0008-0000-0000-000035000000}"/>
              </a:ext>
            </a:extLst>
          </xdr:cNvPr>
          <xdr:cNvCxnSpPr/>
        </xdr:nvCxnSpPr>
        <xdr:spPr>
          <a:xfrm>
            <a:off x="9788062" y="3942694"/>
            <a:ext cx="3071446" cy="0"/>
          </a:xfrm>
          <a:prstGeom prst="line">
            <a:avLst/>
          </a:prstGeom>
          <a:ln w="3175">
            <a:solidFill>
              <a:schemeClr val="bg1">
                <a:lumMod val="75000"/>
              </a:schemeClr>
            </a:solidFill>
            <a:headEnd type="stealth"/>
            <a:tailEnd type="stealt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4" name="53 CuadroTexto">
            <a:extLst>
              <a:ext uri="{FF2B5EF4-FFF2-40B4-BE49-F238E27FC236}">
                <a16:creationId xmlns:a16="http://schemas.microsoft.com/office/drawing/2014/main" id="{00000000-0008-0000-0000-000036000000}"/>
              </a:ext>
            </a:extLst>
          </xdr:cNvPr>
          <xdr:cNvSpPr txBox="1"/>
        </xdr:nvSpPr>
        <xdr:spPr>
          <a:xfrm>
            <a:off x="11346737" y="3804101"/>
            <a:ext cx="236099" cy="1666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es-CO" sz="900"/>
              <a:t>LB</a:t>
            </a:r>
          </a:p>
        </xdr:txBody>
      </xdr:sp>
      <xdr:grpSp>
        <xdr:nvGrpSpPr>
          <xdr:cNvPr id="63" name="62 Grupo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pSpPr/>
        </xdr:nvGrpSpPr>
        <xdr:grpSpPr>
          <a:xfrm>
            <a:off x="14555197" y="1482606"/>
            <a:ext cx="627517" cy="140987"/>
            <a:chOff x="14917918" y="1478036"/>
            <a:chExt cx="627517" cy="139558"/>
          </a:xfrm>
        </xdr:grpSpPr>
        <xdr:sp macro="" textlink="">
          <xdr:nvSpPr>
            <xdr:cNvPr id="59" name="58 CuadroTexto">
              <a:extLst>
                <a:ext uri="{FF2B5EF4-FFF2-40B4-BE49-F238E27FC236}">
                  <a16:creationId xmlns:a16="http://schemas.microsoft.com/office/drawing/2014/main" id="{00000000-0008-0000-0000-00003B000000}"/>
                </a:ext>
              </a:extLst>
            </xdr:cNvPr>
            <xdr:cNvSpPr txBox="1"/>
          </xdr:nvSpPr>
          <xdr:spPr>
            <a:xfrm>
              <a:off x="15307237" y="1478036"/>
              <a:ext cx="238198" cy="139558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es-CO" sz="900"/>
                <a:t>Qd</a:t>
              </a:r>
            </a:p>
          </xdr:txBody>
        </xdr:sp>
        <xdr:cxnSp macro="">
          <xdr:nvCxnSpPr>
            <xdr:cNvPr id="56" name="55 Conector recto">
              <a:extLst>
                <a:ext uri="{FF2B5EF4-FFF2-40B4-BE49-F238E27FC236}">
                  <a16:creationId xmlns:a16="http://schemas.microsoft.com/office/drawing/2014/main" id="{00000000-0008-0000-0000-000038000000}"/>
                </a:ext>
              </a:extLst>
            </xdr:cNvPr>
            <xdr:cNvCxnSpPr/>
          </xdr:nvCxnSpPr>
          <xdr:spPr>
            <a:xfrm flipH="1">
              <a:off x="14917918" y="1554147"/>
              <a:ext cx="387515" cy="1"/>
            </a:xfrm>
            <a:prstGeom prst="line">
              <a:avLst/>
            </a:prstGeom>
            <a:ln w="76200">
              <a:solidFill>
                <a:schemeClr val="bg1">
                  <a:lumMod val="75000"/>
                </a:schemeClr>
              </a:solidFill>
              <a:headEnd type="none"/>
              <a:tailEnd type="stealth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523875</xdr:colOff>
          <xdr:row>2</xdr:row>
          <xdr:rowOff>0</xdr:rowOff>
        </xdr:from>
        <xdr:to>
          <xdr:col>15</xdr:col>
          <xdr:colOff>342900</xdr:colOff>
          <xdr:row>3</xdr:row>
          <xdr:rowOff>23813</xdr:rowOff>
        </xdr:to>
        <xdr:sp macro="" textlink="">
          <xdr:nvSpPr>
            <xdr:cNvPr id="1025" name="TextBox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757032</xdr:colOff>
      <xdr:row>7</xdr:row>
      <xdr:rowOff>135171</xdr:rowOff>
    </xdr:from>
    <xdr:to>
      <xdr:col>19</xdr:col>
      <xdr:colOff>432021</xdr:colOff>
      <xdr:row>19</xdr:row>
      <xdr:rowOff>57647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219078</xdr:colOff>
      <xdr:row>4</xdr:row>
      <xdr:rowOff>198693</xdr:rowOff>
    </xdr:from>
    <xdr:to>
      <xdr:col>28</xdr:col>
      <xdr:colOff>740016</xdr:colOff>
      <xdr:row>19</xdr:row>
      <xdr:rowOff>172030</xdr:rowOff>
    </xdr:to>
    <xdr:grpSp>
      <xdr:nvGrpSpPr>
        <xdr:cNvPr id="2" name="69 Grup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16087728" y="970218"/>
          <a:ext cx="7078900" cy="3249937"/>
          <a:chOff x="8764712" y="764391"/>
          <a:chExt cx="6594078" cy="3677120"/>
        </a:xfrm>
      </xdr:grpSpPr>
      <xdr:sp macro="" textlink="">
        <xdr:nvSpPr>
          <xdr:cNvPr id="3" name="46 CuadroTexto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 txBox="1"/>
        </xdr:nvSpPr>
        <xdr:spPr>
          <a:xfrm>
            <a:off x="9978290" y="3060394"/>
            <a:ext cx="338135" cy="316440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es-CO" sz="800"/>
              <a:t>hmin</a:t>
            </a:r>
          </a:p>
          <a:p>
            <a:pPr algn="ctr"/>
            <a:r>
              <a:rPr lang="es-CO" sz="800"/>
              <a:t>hmax</a:t>
            </a:r>
          </a:p>
        </xdr:txBody>
      </xdr:sp>
      <xdr:grpSp>
        <xdr:nvGrpSpPr>
          <xdr:cNvPr id="4" name="68 Grupo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GrpSpPr/>
        </xdr:nvGrpSpPr>
        <xdr:grpSpPr>
          <a:xfrm>
            <a:off x="8764712" y="939874"/>
            <a:ext cx="6526698" cy="3229420"/>
            <a:chOff x="8764712" y="939874"/>
            <a:chExt cx="6526698" cy="3229420"/>
          </a:xfrm>
        </xdr:grpSpPr>
        <xdr:grpSp>
          <xdr:nvGrpSpPr>
            <xdr:cNvPr id="37" name="67 Grupo">
              <a:extLst>
                <a:ext uri="{FF2B5EF4-FFF2-40B4-BE49-F238E27FC236}">
                  <a16:creationId xmlns:a16="http://schemas.microsoft.com/office/drawing/2014/main" id="{00000000-0008-0000-0100-000025000000}"/>
                </a:ext>
              </a:extLst>
            </xdr:cNvPr>
            <xdr:cNvGrpSpPr/>
          </xdr:nvGrpSpPr>
          <xdr:grpSpPr>
            <a:xfrm>
              <a:off x="8764712" y="2384535"/>
              <a:ext cx="6477001" cy="1784759"/>
              <a:chOff x="8764712" y="2384535"/>
              <a:chExt cx="6477001" cy="1784759"/>
            </a:xfrm>
          </xdr:grpSpPr>
          <xdr:grpSp>
            <xdr:nvGrpSpPr>
              <xdr:cNvPr id="39" name="65 Grupo">
                <a:extLst>
                  <a:ext uri="{FF2B5EF4-FFF2-40B4-BE49-F238E27FC236}">
                    <a16:creationId xmlns:a16="http://schemas.microsoft.com/office/drawing/2014/main" id="{00000000-0008-0000-0100-000027000000}"/>
                  </a:ext>
                </a:extLst>
              </xdr:cNvPr>
              <xdr:cNvGrpSpPr/>
            </xdr:nvGrpSpPr>
            <xdr:grpSpPr>
              <a:xfrm>
                <a:off x="8764712" y="2384535"/>
                <a:ext cx="6477001" cy="1784759"/>
                <a:chOff x="8764712" y="2384535"/>
                <a:chExt cx="6477001" cy="1784759"/>
              </a:xfrm>
            </xdr:grpSpPr>
            <xdr:sp macro="" textlink="">
              <xdr:nvSpPr>
                <xdr:cNvPr id="42" name="63 Forma libre">
                  <a:extLst>
                    <a:ext uri="{FF2B5EF4-FFF2-40B4-BE49-F238E27FC236}">
                      <a16:creationId xmlns:a16="http://schemas.microsoft.com/office/drawing/2014/main" id="{00000000-0008-0000-0100-00002A000000}"/>
                    </a:ext>
                  </a:extLst>
                </xdr:cNvPr>
                <xdr:cNvSpPr/>
              </xdr:nvSpPr>
              <xdr:spPr>
                <a:xfrm>
                  <a:off x="8764712" y="2485354"/>
                  <a:ext cx="6477001" cy="1683940"/>
                </a:xfrm>
                <a:custGeom>
                  <a:avLst/>
                  <a:gdLst>
                    <a:gd name="connsiteX0" fmla="*/ 0 w 6501848"/>
                    <a:gd name="connsiteY0" fmla="*/ 1076739 h 1697934"/>
                    <a:gd name="connsiteX1" fmla="*/ 0 w 6501848"/>
                    <a:gd name="connsiteY1" fmla="*/ 1697934 h 1697934"/>
                    <a:gd name="connsiteX2" fmla="*/ 6501848 w 6501848"/>
                    <a:gd name="connsiteY2" fmla="*/ 1697934 h 1697934"/>
                    <a:gd name="connsiteX3" fmla="*/ 6501848 w 6501848"/>
                    <a:gd name="connsiteY3" fmla="*/ 0 h 1697934"/>
                    <a:gd name="connsiteX4" fmla="*/ 4182718 w 6501848"/>
                    <a:gd name="connsiteY4" fmla="*/ 0 h 1697934"/>
                    <a:gd name="connsiteX5" fmla="*/ 4182718 w 6501848"/>
                    <a:gd name="connsiteY5" fmla="*/ 1035326 h 1697934"/>
                    <a:gd name="connsiteX6" fmla="*/ 0 w 6501848"/>
                    <a:gd name="connsiteY6" fmla="*/ 1076739 h 1697934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</a:cxnLst>
                  <a:rect l="l" t="t" r="r" b="b"/>
                  <a:pathLst>
                    <a:path w="6501848" h="1697934">
                      <a:moveTo>
                        <a:pt x="0" y="1076739"/>
                      </a:moveTo>
                      <a:lnTo>
                        <a:pt x="0" y="1697934"/>
                      </a:lnTo>
                      <a:lnTo>
                        <a:pt x="6501848" y="1697934"/>
                      </a:lnTo>
                      <a:lnTo>
                        <a:pt x="6501848" y="0"/>
                      </a:lnTo>
                      <a:lnTo>
                        <a:pt x="4182718" y="0"/>
                      </a:lnTo>
                      <a:lnTo>
                        <a:pt x="4182718" y="1035326"/>
                      </a:lnTo>
                      <a:lnTo>
                        <a:pt x="0" y="1076739"/>
                      </a:lnTo>
                      <a:close/>
                    </a:path>
                  </a:pathLst>
                </a:custGeom>
                <a:blipFill>
                  <a:blip xmlns:r="http://schemas.openxmlformats.org/officeDocument/2006/relationships" r:embed="rId1"/>
                  <a:tile tx="0" ty="0" sx="100000" sy="100000" flip="none" algn="tl"/>
                </a:blip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s-CO" sz="1100"/>
                </a:p>
              </xdr:txBody>
            </xdr:sp>
            <xdr:sp macro="" textlink="">
              <xdr:nvSpPr>
                <xdr:cNvPr id="43" name="1 Forma libre">
                  <a:extLst>
                    <a:ext uri="{FF2B5EF4-FFF2-40B4-BE49-F238E27FC236}">
                      <a16:creationId xmlns:a16="http://schemas.microsoft.com/office/drawing/2014/main" id="{00000000-0008-0000-0100-00002B000000}"/>
                    </a:ext>
                  </a:extLst>
                </xdr:cNvPr>
                <xdr:cNvSpPr/>
              </xdr:nvSpPr>
              <xdr:spPr>
                <a:xfrm>
                  <a:off x="9772161" y="2384535"/>
                  <a:ext cx="5452986" cy="1259681"/>
                </a:xfrm>
                <a:custGeom>
                  <a:avLst/>
                  <a:gdLst>
                    <a:gd name="connsiteX0" fmla="*/ 0 w 5449956"/>
                    <a:gd name="connsiteY0" fmla="*/ 1068457 h 1258957"/>
                    <a:gd name="connsiteX1" fmla="*/ 3081130 w 5449956"/>
                    <a:gd name="connsiteY1" fmla="*/ 1068457 h 1258957"/>
                    <a:gd name="connsiteX2" fmla="*/ 3081130 w 5449956"/>
                    <a:gd name="connsiteY2" fmla="*/ 0 h 1258957"/>
                    <a:gd name="connsiteX3" fmla="*/ 5449956 w 5449956"/>
                    <a:gd name="connsiteY3" fmla="*/ 0 h 1258957"/>
                    <a:gd name="connsiteX4" fmla="*/ 5449956 w 5449956"/>
                    <a:gd name="connsiteY4" fmla="*/ 190500 h 1258957"/>
                    <a:gd name="connsiteX5" fmla="*/ 3279913 w 5449956"/>
                    <a:gd name="connsiteY5" fmla="*/ 190500 h 1258957"/>
                    <a:gd name="connsiteX6" fmla="*/ 3279913 w 5449956"/>
                    <a:gd name="connsiteY6" fmla="*/ 1258957 h 1258957"/>
                    <a:gd name="connsiteX7" fmla="*/ 24848 w 5449956"/>
                    <a:gd name="connsiteY7" fmla="*/ 1258957 h 1258957"/>
                    <a:gd name="connsiteX8" fmla="*/ 0 w 5449956"/>
                    <a:gd name="connsiteY8" fmla="*/ 1068457 h 1258957"/>
                    <a:gd name="connsiteX0" fmla="*/ 3030 w 5452986"/>
                    <a:gd name="connsiteY0" fmla="*/ 1068457 h 1268353"/>
                    <a:gd name="connsiteX1" fmla="*/ 3084160 w 5452986"/>
                    <a:gd name="connsiteY1" fmla="*/ 1068457 h 1268353"/>
                    <a:gd name="connsiteX2" fmla="*/ 3084160 w 5452986"/>
                    <a:gd name="connsiteY2" fmla="*/ 0 h 1268353"/>
                    <a:gd name="connsiteX3" fmla="*/ 5452986 w 5452986"/>
                    <a:gd name="connsiteY3" fmla="*/ 0 h 1268353"/>
                    <a:gd name="connsiteX4" fmla="*/ 5452986 w 5452986"/>
                    <a:gd name="connsiteY4" fmla="*/ 190500 h 1268353"/>
                    <a:gd name="connsiteX5" fmla="*/ 3282943 w 5452986"/>
                    <a:gd name="connsiteY5" fmla="*/ 190500 h 1268353"/>
                    <a:gd name="connsiteX6" fmla="*/ 3282943 w 5452986"/>
                    <a:gd name="connsiteY6" fmla="*/ 1258957 h 1268353"/>
                    <a:gd name="connsiteX7" fmla="*/ 0 w 5452986"/>
                    <a:gd name="connsiteY7" fmla="*/ 1268353 h 1268353"/>
                    <a:gd name="connsiteX8" fmla="*/ 3030 w 5452986"/>
                    <a:gd name="connsiteY8" fmla="*/ 1068457 h 1268353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</a:cxnLst>
                  <a:rect l="l" t="t" r="r" b="b"/>
                  <a:pathLst>
                    <a:path w="5452986" h="1268353">
                      <a:moveTo>
                        <a:pt x="3030" y="1068457"/>
                      </a:moveTo>
                      <a:lnTo>
                        <a:pt x="3084160" y="1068457"/>
                      </a:lnTo>
                      <a:lnTo>
                        <a:pt x="3084160" y="0"/>
                      </a:lnTo>
                      <a:lnTo>
                        <a:pt x="5452986" y="0"/>
                      </a:lnTo>
                      <a:lnTo>
                        <a:pt x="5452986" y="190500"/>
                      </a:lnTo>
                      <a:lnTo>
                        <a:pt x="3282943" y="190500"/>
                      </a:lnTo>
                      <a:lnTo>
                        <a:pt x="3282943" y="1258957"/>
                      </a:lnTo>
                      <a:lnTo>
                        <a:pt x="0" y="1268353"/>
                      </a:lnTo>
                      <a:lnTo>
                        <a:pt x="3030" y="1068457"/>
                      </a:lnTo>
                      <a:close/>
                    </a:path>
                  </a:pathLst>
                </a:custGeom>
                <a:pattFill prst="wdDnDiag">
                  <a:fgClr>
                    <a:schemeClr val="accent1"/>
                  </a:fgClr>
                  <a:bgClr>
                    <a:schemeClr val="bg1"/>
                  </a:bgClr>
                </a:pattFill>
                <a:ln w="3175">
                  <a:solidFill>
                    <a:schemeClr val="tx1">
                      <a:lumMod val="95000"/>
                      <a:lumOff val="5000"/>
                    </a:schemeClr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s-CO" sz="1100">
                    <a:ln w="3175">
                      <a:noFill/>
                    </a:ln>
                  </a:endParaRPr>
                </a:p>
              </xdr:txBody>
            </xdr:sp>
            <xdr:sp macro="" textlink="">
              <xdr:nvSpPr>
                <xdr:cNvPr id="44" name="19 Retraso">
                  <a:extLst>
                    <a:ext uri="{FF2B5EF4-FFF2-40B4-BE49-F238E27FC236}">
                      <a16:creationId xmlns:a16="http://schemas.microsoft.com/office/drawing/2014/main" id="{00000000-0008-0000-0100-00002C000000}"/>
                    </a:ext>
                  </a:extLst>
                </xdr:cNvPr>
                <xdr:cNvSpPr/>
              </xdr:nvSpPr>
              <xdr:spPr>
                <a:xfrm flipH="1">
                  <a:off x="12521312" y="2384535"/>
                  <a:ext cx="335882" cy="301307"/>
                </a:xfrm>
                <a:prstGeom prst="flowChartDelay">
                  <a:avLst/>
                </a:prstGeom>
                <a:solidFill>
                  <a:schemeClr val="bg2">
                    <a:lumMod val="90000"/>
                  </a:schemeClr>
                </a:solidFill>
                <a:ln w="3175"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marL="0" indent="0" algn="l"/>
                  <a:endParaRPr lang="es-CO" sz="1100">
                    <a:ln w="3175">
                      <a:noFill/>
                    </a:ln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endParaRPr>
                </a:p>
              </xdr:txBody>
            </xdr:sp>
          </xdr:grpSp>
          <xdr:sp macro="" textlink="">
            <xdr:nvSpPr>
              <xdr:cNvPr id="40" name="3 Rectángulo">
                <a:extLst>
                  <a:ext uri="{FF2B5EF4-FFF2-40B4-BE49-F238E27FC236}">
                    <a16:creationId xmlns:a16="http://schemas.microsoft.com/office/drawing/2014/main" id="{00000000-0008-0000-0100-000028000000}"/>
                  </a:ext>
                </a:extLst>
              </xdr:cNvPr>
              <xdr:cNvSpPr/>
            </xdr:nvSpPr>
            <xdr:spPr>
              <a:xfrm rot="16200000">
                <a:off x="9091949" y="3117908"/>
                <a:ext cx="185951" cy="835270"/>
              </a:xfrm>
              <a:prstGeom prst="rect">
                <a:avLst/>
              </a:prstGeom>
              <a:pattFill prst="wdDnDiag">
                <a:fgClr>
                  <a:schemeClr val="accent1"/>
                </a:fgClr>
                <a:bgClr>
                  <a:schemeClr val="bg1"/>
                </a:bgClr>
              </a:pattFill>
              <a:ln w="3175">
                <a:solidFill>
                  <a:schemeClr val="tx1">
                    <a:lumMod val="95000"/>
                    <a:lumOff val="5000"/>
                  </a:schemeClr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marL="0" indent="0" algn="l"/>
                <a:endParaRPr lang="es-CO" sz="1100">
                  <a:ln w="3175">
                    <a:noFill/>
                  </a:ln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41" name="2 Rectángulo">
                <a:extLst>
                  <a:ext uri="{FF2B5EF4-FFF2-40B4-BE49-F238E27FC236}">
                    <a16:creationId xmlns:a16="http://schemas.microsoft.com/office/drawing/2014/main" id="{00000000-0008-0000-0100-000029000000}"/>
                  </a:ext>
                </a:extLst>
              </xdr:cNvPr>
              <xdr:cNvSpPr/>
            </xdr:nvSpPr>
            <xdr:spPr>
              <a:xfrm>
                <a:off x="9599027" y="3006709"/>
                <a:ext cx="183173" cy="1028152"/>
              </a:xfrm>
              <a:prstGeom prst="rect">
                <a:avLst/>
              </a:prstGeom>
              <a:solidFill>
                <a:schemeClr val="bg1">
                  <a:lumMod val="65000"/>
                </a:schemeClr>
              </a:solidFill>
              <a:ln w="3175">
                <a:solidFill>
                  <a:schemeClr val="tx1">
                    <a:lumMod val="95000"/>
                    <a:lumOff val="5000"/>
                  </a:schemeClr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marL="0" indent="0" algn="l"/>
                <a:endParaRPr lang="es-CO" sz="1100">
                  <a:ln w="3175">
                    <a:noFill/>
                  </a:ln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</xdr:grpSp>
        <xdr:sp macro="" textlink="">
          <xdr:nvSpPr>
            <xdr:cNvPr id="38" name="6 Forma libre">
              <a:extLst>
                <a:ext uri="{FF2B5EF4-FFF2-40B4-BE49-F238E27FC236}">
                  <a16:creationId xmlns:a16="http://schemas.microsoft.com/office/drawing/2014/main" id="{00000000-0008-0000-0100-000026000000}"/>
                </a:ext>
              </a:extLst>
            </xdr:cNvPr>
            <xdr:cNvSpPr/>
          </xdr:nvSpPr>
          <xdr:spPr>
            <a:xfrm>
              <a:off x="8814410" y="939874"/>
              <a:ext cx="6477000" cy="1825633"/>
            </a:xfrm>
            <a:custGeom>
              <a:avLst/>
              <a:gdLst>
                <a:gd name="connsiteX0" fmla="*/ 6435587 w 6435587"/>
                <a:gd name="connsiteY0" fmla="*/ 21244 h 1794266"/>
                <a:gd name="connsiteX1" fmla="*/ 4596848 w 6435587"/>
                <a:gd name="connsiteY1" fmla="*/ 37809 h 1794266"/>
                <a:gd name="connsiteX2" fmla="*/ 3602935 w 6435587"/>
                <a:gd name="connsiteY2" fmla="*/ 369114 h 1794266"/>
                <a:gd name="connsiteX3" fmla="*/ 3246782 w 6435587"/>
                <a:gd name="connsiteY3" fmla="*/ 634157 h 1794266"/>
                <a:gd name="connsiteX4" fmla="*/ 2948609 w 6435587"/>
                <a:gd name="connsiteY4" fmla="*/ 1064853 h 1794266"/>
                <a:gd name="connsiteX5" fmla="*/ 2749826 w 6435587"/>
                <a:gd name="connsiteY5" fmla="*/ 1536961 h 1794266"/>
                <a:gd name="connsiteX6" fmla="*/ 2575891 w 6435587"/>
                <a:gd name="connsiteY6" fmla="*/ 1719179 h 1794266"/>
                <a:gd name="connsiteX7" fmla="*/ 2178326 w 6435587"/>
                <a:gd name="connsiteY7" fmla="*/ 1793722 h 1794266"/>
                <a:gd name="connsiteX8" fmla="*/ 1755913 w 6435587"/>
                <a:gd name="connsiteY8" fmla="*/ 1686048 h 1794266"/>
                <a:gd name="connsiteX9" fmla="*/ 1209261 w 6435587"/>
                <a:gd name="connsiteY9" fmla="*/ 1421005 h 1794266"/>
                <a:gd name="connsiteX10" fmla="*/ 728869 w 6435587"/>
                <a:gd name="connsiteY10" fmla="*/ 1346461 h 1794266"/>
                <a:gd name="connsiteX11" fmla="*/ 0 w 6435587"/>
                <a:gd name="connsiteY11" fmla="*/ 1346461 h 1794266"/>
                <a:gd name="connsiteX0" fmla="*/ 6477000 w 6477000"/>
                <a:gd name="connsiteY0" fmla="*/ 8913 h 1823348"/>
                <a:gd name="connsiteX1" fmla="*/ 4596848 w 6477000"/>
                <a:gd name="connsiteY1" fmla="*/ 66891 h 1823348"/>
                <a:gd name="connsiteX2" fmla="*/ 3602935 w 6477000"/>
                <a:gd name="connsiteY2" fmla="*/ 398196 h 1823348"/>
                <a:gd name="connsiteX3" fmla="*/ 3246782 w 6477000"/>
                <a:gd name="connsiteY3" fmla="*/ 663239 h 1823348"/>
                <a:gd name="connsiteX4" fmla="*/ 2948609 w 6477000"/>
                <a:gd name="connsiteY4" fmla="*/ 1093935 h 1823348"/>
                <a:gd name="connsiteX5" fmla="*/ 2749826 w 6477000"/>
                <a:gd name="connsiteY5" fmla="*/ 1566043 h 1823348"/>
                <a:gd name="connsiteX6" fmla="*/ 2575891 w 6477000"/>
                <a:gd name="connsiteY6" fmla="*/ 1748261 h 1823348"/>
                <a:gd name="connsiteX7" fmla="*/ 2178326 w 6477000"/>
                <a:gd name="connsiteY7" fmla="*/ 1822804 h 1823348"/>
                <a:gd name="connsiteX8" fmla="*/ 1755913 w 6477000"/>
                <a:gd name="connsiteY8" fmla="*/ 1715130 h 1823348"/>
                <a:gd name="connsiteX9" fmla="*/ 1209261 w 6477000"/>
                <a:gd name="connsiteY9" fmla="*/ 1450087 h 1823348"/>
                <a:gd name="connsiteX10" fmla="*/ 728869 w 6477000"/>
                <a:gd name="connsiteY10" fmla="*/ 1375543 h 1823348"/>
                <a:gd name="connsiteX11" fmla="*/ 0 w 6477000"/>
                <a:gd name="connsiteY11" fmla="*/ 1375543 h 1823348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</a:cxnLst>
              <a:rect l="l" t="t" r="r" b="b"/>
              <a:pathLst>
                <a:path w="6477000" h="1823348">
                  <a:moveTo>
                    <a:pt x="6477000" y="8913"/>
                  </a:moveTo>
                  <a:cubicBezTo>
                    <a:pt x="5793685" y="-11794"/>
                    <a:pt x="5075859" y="2011"/>
                    <a:pt x="4596848" y="66891"/>
                  </a:cubicBezTo>
                  <a:cubicBezTo>
                    <a:pt x="4117837" y="131771"/>
                    <a:pt x="3827946" y="298805"/>
                    <a:pt x="3602935" y="398196"/>
                  </a:cubicBezTo>
                  <a:cubicBezTo>
                    <a:pt x="3377924" y="497587"/>
                    <a:pt x="3355836" y="547283"/>
                    <a:pt x="3246782" y="663239"/>
                  </a:cubicBezTo>
                  <a:cubicBezTo>
                    <a:pt x="3137728" y="779195"/>
                    <a:pt x="3031435" y="943468"/>
                    <a:pt x="2948609" y="1093935"/>
                  </a:cubicBezTo>
                  <a:cubicBezTo>
                    <a:pt x="2865783" y="1244402"/>
                    <a:pt x="2811946" y="1456989"/>
                    <a:pt x="2749826" y="1566043"/>
                  </a:cubicBezTo>
                  <a:cubicBezTo>
                    <a:pt x="2687706" y="1675097"/>
                    <a:pt x="2671141" y="1705468"/>
                    <a:pt x="2575891" y="1748261"/>
                  </a:cubicBezTo>
                  <a:cubicBezTo>
                    <a:pt x="2480641" y="1791054"/>
                    <a:pt x="2314989" y="1828326"/>
                    <a:pt x="2178326" y="1822804"/>
                  </a:cubicBezTo>
                  <a:cubicBezTo>
                    <a:pt x="2041663" y="1817282"/>
                    <a:pt x="1917424" y="1777250"/>
                    <a:pt x="1755913" y="1715130"/>
                  </a:cubicBezTo>
                  <a:cubicBezTo>
                    <a:pt x="1594402" y="1653011"/>
                    <a:pt x="1380435" y="1506685"/>
                    <a:pt x="1209261" y="1450087"/>
                  </a:cubicBezTo>
                  <a:cubicBezTo>
                    <a:pt x="1038087" y="1393489"/>
                    <a:pt x="930412" y="1387967"/>
                    <a:pt x="728869" y="1375543"/>
                  </a:cubicBezTo>
                  <a:cubicBezTo>
                    <a:pt x="527326" y="1363119"/>
                    <a:pt x="263663" y="1369331"/>
                    <a:pt x="0" y="1375543"/>
                  </a:cubicBezTo>
                </a:path>
              </a:pathLst>
            </a:custGeom>
            <a:noFill/>
            <a:ln w="3175"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CO" sz="1100"/>
            </a:p>
          </xdr:txBody>
        </xdr:sp>
      </xdr:grpSp>
      <xdr:sp macro="" textlink="">
        <xdr:nvSpPr>
          <xdr:cNvPr id="5" name="7 CuadroTexto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 txBox="1"/>
        </xdr:nvSpPr>
        <xdr:spPr>
          <a:xfrm>
            <a:off x="14486879" y="764391"/>
            <a:ext cx="871911" cy="17001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es-CO" sz="900"/>
              <a:t>Lámina de </a:t>
            </a:r>
            <a:r>
              <a:rPr lang="es-CO" sz="900" baseline="0"/>
              <a:t>agua</a:t>
            </a:r>
            <a:endParaRPr lang="es-CO" sz="900"/>
          </a:p>
        </xdr:txBody>
      </xdr:sp>
      <xdr:grpSp>
        <xdr:nvGrpSpPr>
          <xdr:cNvPr id="6" name="12 Grupo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GrpSpPr/>
        </xdr:nvGrpSpPr>
        <xdr:grpSpPr>
          <a:xfrm>
            <a:off x="14376181" y="792624"/>
            <a:ext cx="111578" cy="141088"/>
            <a:chOff x="14382750" y="793533"/>
            <a:chExt cx="111578" cy="141088"/>
          </a:xfrm>
        </xdr:grpSpPr>
        <xdr:sp macro="" textlink="">
          <xdr:nvSpPr>
            <xdr:cNvPr id="34" name="8 Triángulo isósceles">
              <a:extLst>
                <a:ext uri="{FF2B5EF4-FFF2-40B4-BE49-F238E27FC236}">
                  <a16:creationId xmlns:a16="http://schemas.microsoft.com/office/drawing/2014/main" id="{00000000-0008-0000-0100-000022000000}"/>
                </a:ext>
              </a:extLst>
            </xdr:cNvPr>
            <xdr:cNvSpPr/>
          </xdr:nvSpPr>
          <xdr:spPr>
            <a:xfrm flipV="1">
              <a:off x="14382750" y="836105"/>
              <a:ext cx="111578" cy="98516"/>
            </a:xfrm>
            <a:prstGeom prst="triangle">
              <a:avLst/>
            </a:prstGeom>
            <a:noFill/>
            <a:ln w="3175">
              <a:solidFill>
                <a:schemeClr val="tx1">
                  <a:lumMod val="75000"/>
                  <a:lumOff val="2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CO" sz="1100"/>
            </a:p>
          </xdr:txBody>
        </xdr:sp>
        <xdr:cxnSp macro="">
          <xdr:nvCxnSpPr>
            <xdr:cNvPr id="35" name="10 Conector recto">
              <a:extLst>
                <a:ext uri="{FF2B5EF4-FFF2-40B4-BE49-F238E27FC236}">
                  <a16:creationId xmlns:a16="http://schemas.microsoft.com/office/drawing/2014/main" id="{00000000-0008-0000-0100-000023000000}"/>
                </a:ext>
              </a:extLst>
            </xdr:cNvPr>
            <xdr:cNvCxnSpPr/>
          </xdr:nvCxnSpPr>
          <xdr:spPr>
            <a:xfrm flipH="1">
              <a:off x="14384007" y="813221"/>
              <a:ext cx="108238" cy="0"/>
            </a:xfrm>
            <a:prstGeom prst="line">
              <a:avLst/>
            </a:prstGeom>
            <a:noFill/>
            <a:ln w="3175">
              <a:solidFill>
                <a:schemeClr val="tx1">
                  <a:lumMod val="75000"/>
                  <a:lumOff val="2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</xdr:cxnSp>
        <xdr:cxnSp macro="">
          <xdr:nvCxnSpPr>
            <xdr:cNvPr id="36" name="11 Conector recto">
              <a:extLst>
                <a:ext uri="{FF2B5EF4-FFF2-40B4-BE49-F238E27FC236}">
                  <a16:creationId xmlns:a16="http://schemas.microsoft.com/office/drawing/2014/main" id="{00000000-0008-0000-0100-000024000000}"/>
                </a:ext>
              </a:extLst>
            </xdr:cNvPr>
            <xdr:cNvCxnSpPr/>
          </xdr:nvCxnSpPr>
          <xdr:spPr>
            <a:xfrm flipH="1">
              <a:off x="14382757" y="793533"/>
              <a:ext cx="108238" cy="0"/>
            </a:xfrm>
            <a:prstGeom prst="line">
              <a:avLst/>
            </a:prstGeom>
            <a:noFill/>
            <a:ln w="3175">
              <a:solidFill>
                <a:schemeClr val="tx1">
                  <a:lumMod val="75000"/>
                  <a:lumOff val="2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</xdr:cxnSp>
      </xdr:grpSp>
      <xdr:cxnSp macro="">
        <xdr:nvCxnSpPr>
          <xdr:cNvPr id="7" name="15 Conector recto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>
            <a:stCxn id="43" idx="2"/>
          </xdr:cNvCxnSpPr>
        </xdr:nvCxnSpPr>
        <xdr:spPr>
          <a:xfrm flipV="1">
            <a:off x="12856321" y="1155852"/>
            <a:ext cx="1" cy="1228683"/>
          </a:xfrm>
          <a:prstGeom prst="line">
            <a:avLst/>
          </a:prstGeom>
          <a:ln w="3175">
            <a:solidFill>
              <a:schemeClr val="bg1">
                <a:lumMod val="75000"/>
              </a:schemeClr>
            </a:solidFill>
            <a:headEnd type="stealth"/>
            <a:tailEnd type="stealt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" name="13 CuadroTexto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SpPr txBox="1"/>
        </xdr:nvSpPr>
        <xdr:spPr>
          <a:xfrm>
            <a:off x="12746793" y="1722725"/>
            <a:ext cx="236099" cy="164621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es-CO" sz="900"/>
              <a:t>Yo</a:t>
            </a:r>
          </a:p>
        </xdr:txBody>
      </xdr:sp>
      <xdr:cxnSp macro="">
        <xdr:nvCxnSpPr>
          <xdr:cNvPr id="9" name="16 Conector recto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 flipV="1">
            <a:off x="12711804" y="2693276"/>
            <a:ext cx="0" cy="752577"/>
          </a:xfrm>
          <a:prstGeom prst="line">
            <a:avLst/>
          </a:prstGeom>
          <a:ln w="3175">
            <a:solidFill>
              <a:schemeClr val="bg1">
                <a:lumMod val="75000"/>
              </a:schemeClr>
            </a:solidFill>
            <a:headEnd type="stealth"/>
            <a:tailEnd type="stealt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0" name="17 CuadroTexto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SpPr txBox="1"/>
        </xdr:nvSpPr>
        <xdr:spPr>
          <a:xfrm>
            <a:off x="12602276" y="3000819"/>
            <a:ext cx="236099" cy="164621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es-CO" sz="900"/>
              <a:t>Yp</a:t>
            </a:r>
          </a:p>
        </xdr:txBody>
      </xdr:sp>
      <xdr:cxnSp macro="">
        <xdr:nvCxnSpPr>
          <xdr:cNvPr id="11" name="20 Conector recto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CxnSpPr/>
        </xdr:nvCxnSpPr>
        <xdr:spPr>
          <a:xfrm>
            <a:off x="12384213" y="2227165"/>
            <a:ext cx="337628" cy="319003"/>
          </a:xfrm>
          <a:prstGeom prst="line">
            <a:avLst/>
          </a:prstGeom>
          <a:ln w="3175">
            <a:solidFill>
              <a:schemeClr val="tx1">
                <a:lumMod val="50000"/>
                <a:lumOff val="50000"/>
              </a:schemeClr>
            </a:solidFill>
            <a:headEnd type="none"/>
            <a:tailEnd type="stealt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2" name="23 CuadroTexto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SpPr txBox="1"/>
        </xdr:nvSpPr>
        <xdr:spPr>
          <a:xfrm>
            <a:off x="12156391" y="1928034"/>
            <a:ext cx="376276" cy="33528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es-CO" sz="900"/>
              <a:t>bolsa de aire</a:t>
            </a:r>
          </a:p>
        </xdr:txBody>
      </xdr:sp>
      <xdr:cxnSp macro="">
        <xdr:nvCxnSpPr>
          <xdr:cNvPr id="13" name="24 Conector recto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CxnSpPr/>
        </xdr:nvCxnSpPr>
        <xdr:spPr>
          <a:xfrm flipV="1">
            <a:off x="12324237" y="2399574"/>
            <a:ext cx="0" cy="1045069"/>
          </a:xfrm>
          <a:prstGeom prst="line">
            <a:avLst/>
          </a:prstGeom>
          <a:ln w="3175">
            <a:solidFill>
              <a:schemeClr val="bg1">
                <a:lumMod val="75000"/>
              </a:schemeClr>
            </a:solidFill>
            <a:headEnd type="stealth"/>
            <a:tailEnd type="stealt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" name="25 CuadroTexto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 txBox="1"/>
        </xdr:nvSpPr>
        <xdr:spPr>
          <a:xfrm>
            <a:off x="12204683" y="2854918"/>
            <a:ext cx="236099" cy="164621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es-CO" sz="900"/>
              <a:t>hc</a:t>
            </a:r>
          </a:p>
        </xdr:txBody>
      </xdr:sp>
      <xdr:cxnSp macro="">
        <xdr:nvCxnSpPr>
          <xdr:cNvPr id="15" name="27 Conector recto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CxnSpPr/>
        </xdr:nvCxnSpPr>
        <xdr:spPr>
          <a:xfrm flipV="1">
            <a:off x="11010788" y="2771485"/>
            <a:ext cx="0" cy="683972"/>
          </a:xfrm>
          <a:prstGeom prst="line">
            <a:avLst/>
          </a:prstGeom>
          <a:ln w="3175">
            <a:solidFill>
              <a:schemeClr val="bg1">
                <a:lumMod val="75000"/>
              </a:schemeClr>
            </a:solidFill>
            <a:headEnd type="stealth"/>
            <a:tailEnd type="stealt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6" name="28 CuadroTexto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SpPr txBox="1"/>
        </xdr:nvSpPr>
        <xdr:spPr>
          <a:xfrm>
            <a:off x="10901260" y="3024673"/>
            <a:ext cx="236099" cy="164621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es-CO" sz="900"/>
              <a:t>y1</a:t>
            </a:r>
          </a:p>
        </xdr:txBody>
      </xdr:sp>
      <xdr:cxnSp macro="">
        <xdr:nvCxnSpPr>
          <xdr:cNvPr id="17" name="29 Conector recto">
            <a:extLst>
              <a:ext uri="{FF2B5EF4-FFF2-40B4-BE49-F238E27FC236}">
                <a16:creationId xmlns:a16="http://schemas.microsoft.com/office/drawing/2014/main" id="{00000000-0008-0000-0100-000011000000}"/>
              </a:ext>
            </a:extLst>
          </xdr:cNvPr>
          <xdr:cNvCxnSpPr/>
        </xdr:nvCxnSpPr>
        <xdr:spPr>
          <a:xfrm flipV="1">
            <a:off x="9905888" y="2990380"/>
            <a:ext cx="0" cy="455051"/>
          </a:xfrm>
          <a:prstGeom prst="line">
            <a:avLst/>
          </a:prstGeom>
          <a:ln w="3175">
            <a:solidFill>
              <a:schemeClr val="bg1">
                <a:lumMod val="75000"/>
              </a:schemeClr>
            </a:solidFill>
            <a:headEnd type="stealth"/>
            <a:tailEnd type="stealt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8" name="30 CuadroTexto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SpPr txBox="1"/>
        </xdr:nvSpPr>
        <xdr:spPr>
          <a:xfrm>
            <a:off x="9841110" y="3135707"/>
            <a:ext cx="146599" cy="163307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es-CO" sz="900"/>
              <a:t>h</a:t>
            </a:r>
          </a:p>
        </xdr:txBody>
      </xdr:sp>
      <xdr:cxnSp macro="">
        <xdr:nvCxnSpPr>
          <xdr:cNvPr id="19" name="32 Conector recto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CxnSpPr/>
        </xdr:nvCxnSpPr>
        <xdr:spPr>
          <a:xfrm flipV="1">
            <a:off x="9160217" y="2308334"/>
            <a:ext cx="0" cy="1131653"/>
          </a:xfrm>
          <a:prstGeom prst="line">
            <a:avLst/>
          </a:prstGeom>
          <a:ln w="3175">
            <a:solidFill>
              <a:schemeClr val="bg1">
                <a:lumMod val="75000"/>
              </a:schemeClr>
            </a:solidFill>
            <a:headEnd type="stealth"/>
            <a:tailEnd type="stealt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0" name="33 CuadroTexto">
            <a:extLst>
              <a:ext uri="{FF2B5EF4-FFF2-40B4-BE49-F238E27FC236}">
                <a16:creationId xmlns:a16="http://schemas.microsoft.com/office/drawing/2014/main" id="{00000000-0008-0000-0100-000014000000}"/>
              </a:ext>
            </a:extLst>
          </xdr:cNvPr>
          <xdr:cNvSpPr txBox="1"/>
        </xdr:nvSpPr>
        <xdr:spPr>
          <a:xfrm>
            <a:off x="9050689" y="2811941"/>
            <a:ext cx="236099" cy="164621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es-CO" sz="900"/>
              <a:t>y2</a:t>
            </a:r>
          </a:p>
        </xdr:txBody>
      </xdr:sp>
      <xdr:cxnSp macro="">
        <xdr:nvCxnSpPr>
          <xdr:cNvPr id="21" name="35 Conector recto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CxnSpPr>
            <a:stCxn id="22" idx="0"/>
          </xdr:cNvCxnSpPr>
        </xdr:nvCxnSpPr>
        <xdr:spPr>
          <a:xfrm flipH="1" flipV="1">
            <a:off x="12847028" y="3618393"/>
            <a:ext cx="9516" cy="630918"/>
          </a:xfrm>
          <a:prstGeom prst="line">
            <a:avLst/>
          </a:prstGeom>
          <a:ln w="3175">
            <a:solidFill>
              <a:schemeClr val="tx1">
                <a:lumMod val="50000"/>
                <a:lumOff val="50000"/>
              </a:schemeClr>
            </a:solidFill>
            <a:headEnd type="none"/>
            <a:tailEnd type="stealt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2" name="38 Elipse">
            <a:extLst>
              <a:ext uri="{FF2B5EF4-FFF2-40B4-BE49-F238E27FC236}">
                <a16:creationId xmlns:a16="http://schemas.microsoft.com/office/drawing/2014/main" id="{00000000-0008-0000-0100-000016000000}"/>
              </a:ext>
            </a:extLst>
          </xdr:cNvPr>
          <xdr:cNvSpPr/>
        </xdr:nvSpPr>
        <xdr:spPr>
          <a:xfrm>
            <a:off x="12766544" y="4249311"/>
            <a:ext cx="180000" cy="180000"/>
          </a:xfrm>
          <a:prstGeom prst="ellipse">
            <a:avLst/>
          </a:prstGeom>
          <a:solidFill>
            <a:schemeClr val="bg1">
              <a:lumMod val="85000"/>
            </a:schemeClr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s-CO" sz="900">
                <a:solidFill>
                  <a:sysClr val="windowText" lastClr="000000"/>
                </a:solidFill>
              </a:rPr>
              <a:t>0</a:t>
            </a:r>
          </a:p>
        </xdr:txBody>
      </xdr:sp>
      <xdr:cxnSp macro="">
        <xdr:nvCxnSpPr>
          <xdr:cNvPr id="23" name="40 Conector recto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CxnSpPr>
            <a:stCxn id="24" idx="0"/>
          </xdr:cNvCxnSpPr>
        </xdr:nvCxnSpPr>
        <xdr:spPr>
          <a:xfrm flipH="1" flipV="1">
            <a:off x="11012785" y="3629279"/>
            <a:ext cx="9516" cy="630918"/>
          </a:xfrm>
          <a:prstGeom prst="line">
            <a:avLst/>
          </a:prstGeom>
          <a:ln w="3175">
            <a:solidFill>
              <a:schemeClr val="tx1">
                <a:lumMod val="50000"/>
                <a:lumOff val="50000"/>
              </a:schemeClr>
            </a:solidFill>
            <a:headEnd type="none"/>
            <a:tailEnd type="stealt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4" name="41 Elipse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SpPr/>
        </xdr:nvSpPr>
        <xdr:spPr>
          <a:xfrm>
            <a:off x="10932301" y="4260197"/>
            <a:ext cx="180000" cy="181314"/>
          </a:xfrm>
          <a:prstGeom prst="ellipse">
            <a:avLst/>
          </a:prstGeom>
          <a:solidFill>
            <a:schemeClr val="bg1">
              <a:lumMod val="85000"/>
            </a:schemeClr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s-CO" sz="900">
                <a:solidFill>
                  <a:sysClr val="windowText" lastClr="000000"/>
                </a:solidFill>
              </a:rPr>
              <a:t>1</a:t>
            </a:r>
          </a:p>
        </xdr:txBody>
      </xdr:sp>
      <xdr:cxnSp macro="">
        <xdr:nvCxnSpPr>
          <xdr:cNvPr id="25" name="42 Conector recto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CxnSpPr>
            <a:stCxn id="26" idx="0"/>
          </xdr:cNvCxnSpPr>
        </xdr:nvCxnSpPr>
        <xdr:spPr>
          <a:xfrm flipH="1" flipV="1">
            <a:off x="9156771" y="3623836"/>
            <a:ext cx="9516" cy="630918"/>
          </a:xfrm>
          <a:prstGeom prst="line">
            <a:avLst/>
          </a:prstGeom>
          <a:ln w="3175">
            <a:solidFill>
              <a:schemeClr val="tx1">
                <a:lumMod val="50000"/>
                <a:lumOff val="50000"/>
              </a:schemeClr>
            </a:solidFill>
            <a:headEnd type="none"/>
            <a:tailEnd type="stealt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6" name="43 Elipse">
            <a:extLst>
              <a:ext uri="{FF2B5EF4-FFF2-40B4-BE49-F238E27FC236}">
                <a16:creationId xmlns:a16="http://schemas.microsoft.com/office/drawing/2014/main" id="{00000000-0008-0000-0100-00001A000000}"/>
              </a:ext>
            </a:extLst>
          </xdr:cNvPr>
          <xdr:cNvSpPr/>
        </xdr:nvSpPr>
        <xdr:spPr>
          <a:xfrm>
            <a:off x="9076287" y="4254754"/>
            <a:ext cx="180000" cy="180000"/>
          </a:xfrm>
          <a:prstGeom prst="ellipse">
            <a:avLst/>
          </a:prstGeom>
          <a:solidFill>
            <a:schemeClr val="bg1">
              <a:lumMod val="85000"/>
            </a:schemeClr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s-CO" sz="900">
                <a:solidFill>
                  <a:sysClr val="windowText" lastClr="000000"/>
                </a:solidFill>
              </a:rPr>
              <a:t>2</a:t>
            </a:r>
          </a:p>
        </xdr:txBody>
      </xdr:sp>
      <xdr:cxnSp macro="">
        <xdr:nvCxnSpPr>
          <xdr:cNvPr id="27" name="47 Conector recto">
            <a:extLst>
              <a:ext uri="{FF2B5EF4-FFF2-40B4-BE49-F238E27FC236}">
                <a16:creationId xmlns:a16="http://schemas.microsoft.com/office/drawing/2014/main" id="{00000000-0008-0000-0100-00001B000000}"/>
              </a:ext>
            </a:extLst>
          </xdr:cNvPr>
          <xdr:cNvCxnSpPr/>
        </xdr:nvCxnSpPr>
        <xdr:spPr>
          <a:xfrm>
            <a:off x="9664969" y="2182413"/>
            <a:ext cx="1370135" cy="7327"/>
          </a:xfrm>
          <a:prstGeom prst="line">
            <a:avLst/>
          </a:prstGeom>
          <a:ln w="3175">
            <a:solidFill>
              <a:schemeClr val="bg1">
                <a:lumMod val="75000"/>
              </a:schemeClr>
            </a:solidFill>
            <a:headEnd type="stealth"/>
            <a:tailEnd type="stealt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8" name="50 CuadroTexto">
            <a:extLst>
              <a:ext uri="{FF2B5EF4-FFF2-40B4-BE49-F238E27FC236}">
                <a16:creationId xmlns:a16="http://schemas.microsoft.com/office/drawing/2014/main" id="{00000000-0008-0000-0100-00001C000000}"/>
              </a:ext>
            </a:extLst>
          </xdr:cNvPr>
          <xdr:cNvSpPr txBox="1"/>
        </xdr:nvSpPr>
        <xdr:spPr>
          <a:xfrm>
            <a:off x="10241837" y="2102757"/>
            <a:ext cx="236099" cy="158808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es-CO" sz="900"/>
              <a:t>lj</a:t>
            </a:r>
          </a:p>
        </xdr:txBody>
      </xdr:sp>
      <xdr:cxnSp macro="">
        <xdr:nvCxnSpPr>
          <xdr:cNvPr id="29" name="52 Conector recto">
            <a:extLst>
              <a:ext uri="{FF2B5EF4-FFF2-40B4-BE49-F238E27FC236}">
                <a16:creationId xmlns:a16="http://schemas.microsoft.com/office/drawing/2014/main" id="{00000000-0008-0000-0100-00001D000000}"/>
              </a:ext>
            </a:extLst>
          </xdr:cNvPr>
          <xdr:cNvCxnSpPr/>
        </xdr:nvCxnSpPr>
        <xdr:spPr>
          <a:xfrm>
            <a:off x="9788062" y="3942694"/>
            <a:ext cx="3071446" cy="0"/>
          </a:xfrm>
          <a:prstGeom prst="line">
            <a:avLst/>
          </a:prstGeom>
          <a:ln w="3175">
            <a:solidFill>
              <a:schemeClr val="bg1">
                <a:lumMod val="75000"/>
              </a:schemeClr>
            </a:solidFill>
            <a:headEnd type="stealth"/>
            <a:tailEnd type="stealt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0" name="53 CuadroTexto">
            <a:extLst>
              <a:ext uri="{FF2B5EF4-FFF2-40B4-BE49-F238E27FC236}">
                <a16:creationId xmlns:a16="http://schemas.microsoft.com/office/drawing/2014/main" id="{00000000-0008-0000-0100-00001E000000}"/>
              </a:ext>
            </a:extLst>
          </xdr:cNvPr>
          <xdr:cNvSpPr txBox="1"/>
        </xdr:nvSpPr>
        <xdr:spPr>
          <a:xfrm>
            <a:off x="11346737" y="3804101"/>
            <a:ext cx="236099" cy="1666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es-CO" sz="900"/>
              <a:t>LB</a:t>
            </a:r>
          </a:p>
        </xdr:txBody>
      </xdr:sp>
      <xdr:grpSp>
        <xdr:nvGrpSpPr>
          <xdr:cNvPr id="31" name="62 Grupo">
            <a:extLst>
              <a:ext uri="{FF2B5EF4-FFF2-40B4-BE49-F238E27FC236}">
                <a16:creationId xmlns:a16="http://schemas.microsoft.com/office/drawing/2014/main" id="{00000000-0008-0000-0100-00001F000000}"/>
              </a:ext>
            </a:extLst>
          </xdr:cNvPr>
          <xdr:cNvGrpSpPr/>
        </xdr:nvGrpSpPr>
        <xdr:grpSpPr>
          <a:xfrm>
            <a:off x="14555197" y="1482606"/>
            <a:ext cx="627517" cy="140987"/>
            <a:chOff x="14917918" y="1478036"/>
            <a:chExt cx="627517" cy="139558"/>
          </a:xfrm>
        </xdr:grpSpPr>
        <xdr:sp macro="" textlink="">
          <xdr:nvSpPr>
            <xdr:cNvPr id="32" name="58 CuadroTexto">
              <a:extLst>
                <a:ext uri="{FF2B5EF4-FFF2-40B4-BE49-F238E27FC236}">
                  <a16:creationId xmlns:a16="http://schemas.microsoft.com/office/drawing/2014/main" id="{00000000-0008-0000-0100-000020000000}"/>
                </a:ext>
              </a:extLst>
            </xdr:cNvPr>
            <xdr:cNvSpPr txBox="1"/>
          </xdr:nvSpPr>
          <xdr:spPr>
            <a:xfrm>
              <a:off x="15307237" y="1478036"/>
              <a:ext cx="238198" cy="139558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es-CO" sz="900"/>
                <a:t>Qd</a:t>
              </a:r>
            </a:p>
          </xdr:txBody>
        </xdr:sp>
        <xdr:cxnSp macro="">
          <xdr:nvCxnSpPr>
            <xdr:cNvPr id="33" name="55 Conector recto">
              <a:extLst>
                <a:ext uri="{FF2B5EF4-FFF2-40B4-BE49-F238E27FC236}">
                  <a16:creationId xmlns:a16="http://schemas.microsoft.com/office/drawing/2014/main" id="{00000000-0008-0000-0100-000021000000}"/>
                </a:ext>
              </a:extLst>
            </xdr:cNvPr>
            <xdr:cNvCxnSpPr/>
          </xdr:nvCxnSpPr>
          <xdr:spPr>
            <a:xfrm flipH="1">
              <a:off x="14917918" y="1554147"/>
              <a:ext cx="387515" cy="1"/>
            </a:xfrm>
            <a:prstGeom prst="line">
              <a:avLst/>
            </a:prstGeom>
            <a:ln w="76200">
              <a:solidFill>
                <a:schemeClr val="bg1">
                  <a:lumMod val="75000"/>
                </a:schemeClr>
              </a:solidFill>
              <a:headEnd type="none"/>
              <a:tailEnd type="stealth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523875</xdr:colOff>
          <xdr:row>2</xdr:row>
          <xdr:rowOff>0</xdr:rowOff>
        </xdr:from>
        <xdr:to>
          <xdr:col>15</xdr:col>
          <xdr:colOff>295275</xdr:colOff>
          <xdr:row>3</xdr:row>
          <xdr:rowOff>23813</xdr:rowOff>
        </xdr:to>
        <xdr:sp macro="" textlink="">
          <xdr:nvSpPr>
            <xdr:cNvPr id="2049" name="TextBox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757032</xdr:colOff>
      <xdr:row>7</xdr:row>
      <xdr:rowOff>135171</xdr:rowOff>
    </xdr:from>
    <xdr:to>
      <xdr:col>19</xdr:col>
      <xdr:colOff>432021</xdr:colOff>
      <xdr:row>19</xdr:row>
      <xdr:rowOff>57647</xdr:rowOff>
    </xdr:to>
    <xdr:graphicFrame macro="">
      <xdr:nvGraphicFramePr>
        <xdr:cNvPr id="46" name="Gráfico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508638</xdr:colOff>
      <xdr:row>4</xdr:row>
      <xdr:rowOff>145353</xdr:rowOff>
    </xdr:from>
    <xdr:to>
      <xdr:col>28</xdr:col>
      <xdr:colOff>244716</xdr:colOff>
      <xdr:row>19</xdr:row>
      <xdr:rowOff>118690</xdr:rowOff>
    </xdr:to>
    <xdr:grpSp>
      <xdr:nvGrpSpPr>
        <xdr:cNvPr id="2" name="69 Grup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15724825" y="921640"/>
          <a:ext cx="7108428" cy="3249937"/>
          <a:chOff x="8764712" y="764391"/>
          <a:chExt cx="6594078" cy="3677120"/>
        </a:xfrm>
      </xdr:grpSpPr>
      <xdr:sp macro="" textlink="">
        <xdr:nvSpPr>
          <xdr:cNvPr id="3" name="46 CuadroTexto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 txBox="1"/>
        </xdr:nvSpPr>
        <xdr:spPr>
          <a:xfrm>
            <a:off x="9978290" y="3060394"/>
            <a:ext cx="338135" cy="316440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es-CO" sz="800"/>
              <a:t>hmin</a:t>
            </a:r>
          </a:p>
          <a:p>
            <a:pPr algn="ctr"/>
            <a:r>
              <a:rPr lang="es-CO" sz="800"/>
              <a:t>hmax</a:t>
            </a:r>
          </a:p>
        </xdr:txBody>
      </xdr:sp>
      <xdr:grpSp>
        <xdr:nvGrpSpPr>
          <xdr:cNvPr id="4" name="68 Grupo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GrpSpPr/>
        </xdr:nvGrpSpPr>
        <xdr:grpSpPr>
          <a:xfrm>
            <a:off x="8764712" y="939874"/>
            <a:ext cx="6526698" cy="3229420"/>
            <a:chOff x="8764712" y="939874"/>
            <a:chExt cx="6526698" cy="3229420"/>
          </a:xfrm>
        </xdr:grpSpPr>
        <xdr:grpSp>
          <xdr:nvGrpSpPr>
            <xdr:cNvPr id="37" name="67 Grupo">
              <a:extLst>
                <a:ext uri="{FF2B5EF4-FFF2-40B4-BE49-F238E27FC236}">
                  <a16:creationId xmlns:a16="http://schemas.microsoft.com/office/drawing/2014/main" id="{00000000-0008-0000-0200-000025000000}"/>
                </a:ext>
              </a:extLst>
            </xdr:cNvPr>
            <xdr:cNvGrpSpPr/>
          </xdr:nvGrpSpPr>
          <xdr:grpSpPr>
            <a:xfrm>
              <a:off x="8764712" y="2384535"/>
              <a:ext cx="6477001" cy="1784759"/>
              <a:chOff x="8764712" y="2384535"/>
              <a:chExt cx="6477001" cy="1784759"/>
            </a:xfrm>
          </xdr:grpSpPr>
          <xdr:grpSp>
            <xdr:nvGrpSpPr>
              <xdr:cNvPr id="39" name="65 Grupo">
                <a:extLst>
                  <a:ext uri="{FF2B5EF4-FFF2-40B4-BE49-F238E27FC236}">
                    <a16:creationId xmlns:a16="http://schemas.microsoft.com/office/drawing/2014/main" id="{00000000-0008-0000-0200-000027000000}"/>
                  </a:ext>
                </a:extLst>
              </xdr:cNvPr>
              <xdr:cNvGrpSpPr/>
            </xdr:nvGrpSpPr>
            <xdr:grpSpPr>
              <a:xfrm>
                <a:off x="8764712" y="2384535"/>
                <a:ext cx="6477001" cy="1784759"/>
                <a:chOff x="8764712" y="2384535"/>
                <a:chExt cx="6477001" cy="1784759"/>
              </a:xfrm>
            </xdr:grpSpPr>
            <xdr:sp macro="" textlink="">
              <xdr:nvSpPr>
                <xdr:cNvPr id="42" name="63 Forma libre">
                  <a:extLst>
                    <a:ext uri="{FF2B5EF4-FFF2-40B4-BE49-F238E27FC236}">
                      <a16:creationId xmlns:a16="http://schemas.microsoft.com/office/drawing/2014/main" id="{00000000-0008-0000-0200-00002A000000}"/>
                    </a:ext>
                  </a:extLst>
                </xdr:cNvPr>
                <xdr:cNvSpPr/>
              </xdr:nvSpPr>
              <xdr:spPr>
                <a:xfrm>
                  <a:off x="8764712" y="2485354"/>
                  <a:ext cx="6477001" cy="1683940"/>
                </a:xfrm>
                <a:custGeom>
                  <a:avLst/>
                  <a:gdLst>
                    <a:gd name="connsiteX0" fmla="*/ 0 w 6501848"/>
                    <a:gd name="connsiteY0" fmla="*/ 1076739 h 1697934"/>
                    <a:gd name="connsiteX1" fmla="*/ 0 w 6501848"/>
                    <a:gd name="connsiteY1" fmla="*/ 1697934 h 1697934"/>
                    <a:gd name="connsiteX2" fmla="*/ 6501848 w 6501848"/>
                    <a:gd name="connsiteY2" fmla="*/ 1697934 h 1697934"/>
                    <a:gd name="connsiteX3" fmla="*/ 6501848 w 6501848"/>
                    <a:gd name="connsiteY3" fmla="*/ 0 h 1697934"/>
                    <a:gd name="connsiteX4" fmla="*/ 4182718 w 6501848"/>
                    <a:gd name="connsiteY4" fmla="*/ 0 h 1697934"/>
                    <a:gd name="connsiteX5" fmla="*/ 4182718 w 6501848"/>
                    <a:gd name="connsiteY5" fmla="*/ 1035326 h 1697934"/>
                    <a:gd name="connsiteX6" fmla="*/ 0 w 6501848"/>
                    <a:gd name="connsiteY6" fmla="*/ 1076739 h 1697934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</a:cxnLst>
                  <a:rect l="l" t="t" r="r" b="b"/>
                  <a:pathLst>
                    <a:path w="6501848" h="1697934">
                      <a:moveTo>
                        <a:pt x="0" y="1076739"/>
                      </a:moveTo>
                      <a:lnTo>
                        <a:pt x="0" y="1697934"/>
                      </a:lnTo>
                      <a:lnTo>
                        <a:pt x="6501848" y="1697934"/>
                      </a:lnTo>
                      <a:lnTo>
                        <a:pt x="6501848" y="0"/>
                      </a:lnTo>
                      <a:lnTo>
                        <a:pt x="4182718" y="0"/>
                      </a:lnTo>
                      <a:lnTo>
                        <a:pt x="4182718" y="1035326"/>
                      </a:lnTo>
                      <a:lnTo>
                        <a:pt x="0" y="1076739"/>
                      </a:lnTo>
                      <a:close/>
                    </a:path>
                  </a:pathLst>
                </a:custGeom>
                <a:blipFill>
                  <a:blip xmlns:r="http://schemas.openxmlformats.org/officeDocument/2006/relationships" r:embed="rId1"/>
                  <a:tile tx="0" ty="0" sx="100000" sy="100000" flip="none" algn="tl"/>
                </a:blip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s-CO" sz="1100"/>
                </a:p>
              </xdr:txBody>
            </xdr:sp>
            <xdr:sp macro="" textlink="">
              <xdr:nvSpPr>
                <xdr:cNvPr id="43" name="1 Forma libre">
                  <a:extLst>
                    <a:ext uri="{FF2B5EF4-FFF2-40B4-BE49-F238E27FC236}">
                      <a16:creationId xmlns:a16="http://schemas.microsoft.com/office/drawing/2014/main" id="{00000000-0008-0000-0200-00002B000000}"/>
                    </a:ext>
                  </a:extLst>
                </xdr:cNvPr>
                <xdr:cNvSpPr/>
              </xdr:nvSpPr>
              <xdr:spPr>
                <a:xfrm>
                  <a:off x="9772161" y="2384535"/>
                  <a:ext cx="5452986" cy="1259681"/>
                </a:xfrm>
                <a:custGeom>
                  <a:avLst/>
                  <a:gdLst>
                    <a:gd name="connsiteX0" fmla="*/ 0 w 5449956"/>
                    <a:gd name="connsiteY0" fmla="*/ 1068457 h 1258957"/>
                    <a:gd name="connsiteX1" fmla="*/ 3081130 w 5449956"/>
                    <a:gd name="connsiteY1" fmla="*/ 1068457 h 1258957"/>
                    <a:gd name="connsiteX2" fmla="*/ 3081130 w 5449956"/>
                    <a:gd name="connsiteY2" fmla="*/ 0 h 1258957"/>
                    <a:gd name="connsiteX3" fmla="*/ 5449956 w 5449956"/>
                    <a:gd name="connsiteY3" fmla="*/ 0 h 1258957"/>
                    <a:gd name="connsiteX4" fmla="*/ 5449956 w 5449956"/>
                    <a:gd name="connsiteY4" fmla="*/ 190500 h 1258957"/>
                    <a:gd name="connsiteX5" fmla="*/ 3279913 w 5449956"/>
                    <a:gd name="connsiteY5" fmla="*/ 190500 h 1258957"/>
                    <a:gd name="connsiteX6" fmla="*/ 3279913 w 5449956"/>
                    <a:gd name="connsiteY6" fmla="*/ 1258957 h 1258957"/>
                    <a:gd name="connsiteX7" fmla="*/ 24848 w 5449956"/>
                    <a:gd name="connsiteY7" fmla="*/ 1258957 h 1258957"/>
                    <a:gd name="connsiteX8" fmla="*/ 0 w 5449956"/>
                    <a:gd name="connsiteY8" fmla="*/ 1068457 h 1258957"/>
                    <a:gd name="connsiteX0" fmla="*/ 3030 w 5452986"/>
                    <a:gd name="connsiteY0" fmla="*/ 1068457 h 1268353"/>
                    <a:gd name="connsiteX1" fmla="*/ 3084160 w 5452986"/>
                    <a:gd name="connsiteY1" fmla="*/ 1068457 h 1268353"/>
                    <a:gd name="connsiteX2" fmla="*/ 3084160 w 5452986"/>
                    <a:gd name="connsiteY2" fmla="*/ 0 h 1268353"/>
                    <a:gd name="connsiteX3" fmla="*/ 5452986 w 5452986"/>
                    <a:gd name="connsiteY3" fmla="*/ 0 h 1268353"/>
                    <a:gd name="connsiteX4" fmla="*/ 5452986 w 5452986"/>
                    <a:gd name="connsiteY4" fmla="*/ 190500 h 1268353"/>
                    <a:gd name="connsiteX5" fmla="*/ 3282943 w 5452986"/>
                    <a:gd name="connsiteY5" fmla="*/ 190500 h 1268353"/>
                    <a:gd name="connsiteX6" fmla="*/ 3282943 w 5452986"/>
                    <a:gd name="connsiteY6" fmla="*/ 1258957 h 1268353"/>
                    <a:gd name="connsiteX7" fmla="*/ 0 w 5452986"/>
                    <a:gd name="connsiteY7" fmla="*/ 1268353 h 1268353"/>
                    <a:gd name="connsiteX8" fmla="*/ 3030 w 5452986"/>
                    <a:gd name="connsiteY8" fmla="*/ 1068457 h 1268353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</a:cxnLst>
                  <a:rect l="l" t="t" r="r" b="b"/>
                  <a:pathLst>
                    <a:path w="5452986" h="1268353">
                      <a:moveTo>
                        <a:pt x="3030" y="1068457"/>
                      </a:moveTo>
                      <a:lnTo>
                        <a:pt x="3084160" y="1068457"/>
                      </a:lnTo>
                      <a:lnTo>
                        <a:pt x="3084160" y="0"/>
                      </a:lnTo>
                      <a:lnTo>
                        <a:pt x="5452986" y="0"/>
                      </a:lnTo>
                      <a:lnTo>
                        <a:pt x="5452986" y="190500"/>
                      </a:lnTo>
                      <a:lnTo>
                        <a:pt x="3282943" y="190500"/>
                      </a:lnTo>
                      <a:lnTo>
                        <a:pt x="3282943" y="1258957"/>
                      </a:lnTo>
                      <a:lnTo>
                        <a:pt x="0" y="1268353"/>
                      </a:lnTo>
                      <a:lnTo>
                        <a:pt x="3030" y="1068457"/>
                      </a:lnTo>
                      <a:close/>
                    </a:path>
                  </a:pathLst>
                </a:custGeom>
                <a:pattFill prst="wdDnDiag">
                  <a:fgClr>
                    <a:schemeClr val="accent1"/>
                  </a:fgClr>
                  <a:bgClr>
                    <a:schemeClr val="bg1"/>
                  </a:bgClr>
                </a:pattFill>
                <a:ln w="3175">
                  <a:solidFill>
                    <a:schemeClr val="tx1">
                      <a:lumMod val="95000"/>
                      <a:lumOff val="5000"/>
                    </a:schemeClr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s-CO" sz="1100">
                    <a:ln w="3175">
                      <a:noFill/>
                    </a:ln>
                  </a:endParaRPr>
                </a:p>
              </xdr:txBody>
            </xdr:sp>
            <xdr:sp macro="" textlink="">
              <xdr:nvSpPr>
                <xdr:cNvPr id="44" name="19 Retraso">
                  <a:extLst>
                    <a:ext uri="{FF2B5EF4-FFF2-40B4-BE49-F238E27FC236}">
                      <a16:creationId xmlns:a16="http://schemas.microsoft.com/office/drawing/2014/main" id="{00000000-0008-0000-0200-00002C000000}"/>
                    </a:ext>
                  </a:extLst>
                </xdr:cNvPr>
                <xdr:cNvSpPr/>
              </xdr:nvSpPr>
              <xdr:spPr>
                <a:xfrm flipH="1">
                  <a:off x="12521312" y="2384535"/>
                  <a:ext cx="335882" cy="301307"/>
                </a:xfrm>
                <a:prstGeom prst="flowChartDelay">
                  <a:avLst/>
                </a:prstGeom>
                <a:solidFill>
                  <a:schemeClr val="bg2">
                    <a:lumMod val="90000"/>
                  </a:schemeClr>
                </a:solidFill>
                <a:ln w="3175"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marL="0" indent="0" algn="l"/>
                  <a:endParaRPr lang="es-CO" sz="1100">
                    <a:ln w="3175">
                      <a:noFill/>
                    </a:ln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endParaRPr>
                </a:p>
              </xdr:txBody>
            </xdr:sp>
          </xdr:grpSp>
          <xdr:sp macro="" textlink="">
            <xdr:nvSpPr>
              <xdr:cNvPr id="40" name="3 Rectángulo">
                <a:extLst>
                  <a:ext uri="{FF2B5EF4-FFF2-40B4-BE49-F238E27FC236}">
                    <a16:creationId xmlns:a16="http://schemas.microsoft.com/office/drawing/2014/main" id="{00000000-0008-0000-0200-000028000000}"/>
                  </a:ext>
                </a:extLst>
              </xdr:cNvPr>
              <xdr:cNvSpPr/>
            </xdr:nvSpPr>
            <xdr:spPr>
              <a:xfrm rot="16200000">
                <a:off x="9091949" y="3117908"/>
                <a:ext cx="185951" cy="835270"/>
              </a:xfrm>
              <a:prstGeom prst="rect">
                <a:avLst/>
              </a:prstGeom>
              <a:pattFill prst="wdDnDiag">
                <a:fgClr>
                  <a:schemeClr val="accent1"/>
                </a:fgClr>
                <a:bgClr>
                  <a:schemeClr val="bg1"/>
                </a:bgClr>
              </a:pattFill>
              <a:ln w="3175">
                <a:solidFill>
                  <a:schemeClr val="tx1">
                    <a:lumMod val="95000"/>
                    <a:lumOff val="5000"/>
                  </a:schemeClr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marL="0" indent="0" algn="l"/>
                <a:endParaRPr lang="es-CO" sz="1100">
                  <a:ln w="3175">
                    <a:noFill/>
                  </a:ln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  <xdr:sp macro="" textlink="">
            <xdr:nvSpPr>
              <xdr:cNvPr id="41" name="2 Rectángulo">
                <a:extLst>
                  <a:ext uri="{FF2B5EF4-FFF2-40B4-BE49-F238E27FC236}">
                    <a16:creationId xmlns:a16="http://schemas.microsoft.com/office/drawing/2014/main" id="{00000000-0008-0000-0200-000029000000}"/>
                  </a:ext>
                </a:extLst>
              </xdr:cNvPr>
              <xdr:cNvSpPr/>
            </xdr:nvSpPr>
            <xdr:spPr>
              <a:xfrm>
                <a:off x="9599027" y="3006709"/>
                <a:ext cx="183173" cy="1028152"/>
              </a:xfrm>
              <a:prstGeom prst="rect">
                <a:avLst/>
              </a:prstGeom>
              <a:solidFill>
                <a:schemeClr val="bg1">
                  <a:lumMod val="65000"/>
                </a:schemeClr>
              </a:solidFill>
              <a:ln w="3175">
                <a:solidFill>
                  <a:schemeClr val="tx1">
                    <a:lumMod val="95000"/>
                    <a:lumOff val="5000"/>
                  </a:schemeClr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marL="0" indent="0" algn="l"/>
                <a:endParaRPr lang="es-CO" sz="1100">
                  <a:ln w="3175">
                    <a:noFill/>
                  </a:ln>
                  <a:solidFill>
                    <a:schemeClr val="lt1"/>
                  </a:solidFill>
                  <a:latin typeface="+mn-lt"/>
                  <a:ea typeface="+mn-ea"/>
                  <a:cs typeface="+mn-cs"/>
                </a:endParaRPr>
              </a:p>
            </xdr:txBody>
          </xdr:sp>
        </xdr:grpSp>
        <xdr:sp macro="" textlink="">
          <xdr:nvSpPr>
            <xdr:cNvPr id="38" name="6 Forma libre">
              <a:extLst>
                <a:ext uri="{FF2B5EF4-FFF2-40B4-BE49-F238E27FC236}">
                  <a16:creationId xmlns:a16="http://schemas.microsoft.com/office/drawing/2014/main" id="{00000000-0008-0000-0200-000026000000}"/>
                </a:ext>
              </a:extLst>
            </xdr:cNvPr>
            <xdr:cNvSpPr/>
          </xdr:nvSpPr>
          <xdr:spPr>
            <a:xfrm>
              <a:off x="8814410" y="939874"/>
              <a:ext cx="6477000" cy="1825633"/>
            </a:xfrm>
            <a:custGeom>
              <a:avLst/>
              <a:gdLst>
                <a:gd name="connsiteX0" fmla="*/ 6435587 w 6435587"/>
                <a:gd name="connsiteY0" fmla="*/ 21244 h 1794266"/>
                <a:gd name="connsiteX1" fmla="*/ 4596848 w 6435587"/>
                <a:gd name="connsiteY1" fmla="*/ 37809 h 1794266"/>
                <a:gd name="connsiteX2" fmla="*/ 3602935 w 6435587"/>
                <a:gd name="connsiteY2" fmla="*/ 369114 h 1794266"/>
                <a:gd name="connsiteX3" fmla="*/ 3246782 w 6435587"/>
                <a:gd name="connsiteY3" fmla="*/ 634157 h 1794266"/>
                <a:gd name="connsiteX4" fmla="*/ 2948609 w 6435587"/>
                <a:gd name="connsiteY4" fmla="*/ 1064853 h 1794266"/>
                <a:gd name="connsiteX5" fmla="*/ 2749826 w 6435587"/>
                <a:gd name="connsiteY5" fmla="*/ 1536961 h 1794266"/>
                <a:gd name="connsiteX6" fmla="*/ 2575891 w 6435587"/>
                <a:gd name="connsiteY6" fmla="*/ 1719179 h 1794266"/>
                <a:gd name="connsiteX7" fmla="*/ 2178326 w 6435587"/>
                <a:gd name="connsiteY7" fmla="*/ 1793722 h 1794266"/>
                <a:gd name="connsiteX8" fmla="*/ 1755913 w 6435587"/>
                <a:gd name="connsiteY8" fmla="*/ 1686048 h 1794266"/>
                <a:gd name="connsiteX9" fmla="*/ 1209261 w 6435587"/>
                <a:gd name="connsiteY9" fmla="*/ 1421005 h 1794266"/>
                <a:gd name="connsiteX10" fmla="*/ 728869 w 6435587"/>
                <a:gd name="connsiteY10" fmla="*/ 1346461 h 1794266"/>
                <a:gd name="connsiteX11" fmla="*/ 0 w 6435587"/>
                <a:gd name="connsiteY11" fmla="*/ 1346461 h 1794266"/>
                <a:gd name="connsiteX0" fmla="*/ 6477000 w 6477000"/>
                <a:gd name="connsiteY0" fmla="*/ 8913 h 1823348"/>
                <a:gd name="connsiteX1" fmla="*/ 4596848 w 6477000"/>
                <a:gd name="connsiteY1" fmla="*/ 66891 h 1823348"/>
                <a:gd name="connsiteX2" fmla="*/ 3602935 w 6477000"/>
                <a:gd name="connsiteY2" fmla="*/ 398196 h 1823348"/>
                <a:gd name="connsiteX3" fmla="*/ 3246782 w 6477000"/>
                <a:gd name="connsiteY3" fmla="*/ 663239 h 1823348"/>
                <a:gd name="connsiteX4" fmla="*/ 2948609 w 6477000"/>
                <a:gd name="connsiteY4" fmla="*/ 1093935 h 1823348"/>
                <a:gd name="connsiteX5" fmla="*/ 2749826 w 6477000"/>
                <a:gd name="connsiteY5" fmla="*/ 1566043 h 1823348"/>
                <a:gd name="connsiteX6" fmla="*/ 2575891 w 6477000"/>
                <a:gd name="connsiteY6" fmla="*/ 1748261 h 1823348"/>
                <a:gd name="connsiteX7" fmla="*/ 2178326 w 6477000"/>
                <a:gd name="connsiteY7" fmla="*/ 1822804 h 1823348"/>
                <a:gd name="connsiteX8" fmla="*/ 1755913 w 6477000"/>
                <a:gd name="connsiteY8" fmla="*/ 1715130 h 1823348"/>
                <a:gd name="connsiteX9" fmla="*/ 1209261 w 6477000"/>
                <a:gd name="connsiteY9" fmla="*/ 1450087 h 1823348"/>
                <a:gd name="connsiteX10" fmla="*/ 728869 w 6477000"/>
                <a:gd name="connsiteY10" fmla="*/ 1375543 h 1823348"/>
                <a:gd name="connsiteX11" fmla="*/ 0 w 6477000"/>
                <a:gd name="connsiteY11" fmla="*/ 1375543 h 1823348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</a:cxnLst>
              <a:rect l="l" t="t" r="r" b="b"/>
              <a:pathLst>
                <a:path w="6477000" h="1823348">
                  <a:moveTo>
                    <a:pt x="6477000" y="8913"/>
                  </a:moveTo>
                  <a:cubicBezTo>
                    <a:pt x="5793685" y="-11794"/>
                    <a:pt x="5075859" y="2011"/>
                    <a:pt x="4596848" y="66891"/>
                  </a:cubicBezTo>
                  <a:cubicBezTo>
                    <a:pt x="4117837" y="131771"/>
                    <a:pt x="3827946" y="298805"/>
                    <a:pt x="3602935" y="398196"/>
                  </a:cubicBezTo>
                  <a:cubicBezTo>
                    <a:pt x="3377924" y="497587"/>
                    <a:pt x="3355836" y="547283"/>
                    <a:pt x="3246782" y="663239"/>
                  </a:cubicBezTo>
                  <a:cubicBezTo>
                    <a:pt x="3137728" y="779195"/>
                    <a:pt x="3031435" y="943468"/>
                    <a:pt x="2948609" y="1093935"/>
                  </a:cubicBezTo>
                  <a:cubicBezTo>
                    <a:pt x="2865783" y="1244402"/>
                    <a:pt x="2811946" y="1456989"/>
                    <a:pt x="2749826" y="1566043"/>
                  </a:cubicBezTo>
                  <a:cubicBezTo>
                    <a:pt x="2687706" y="1675097"/>
                    <a:pt x="2671141" y="1705468"/>
                    <a:pt x="2575891" y="1748261"/>
                  </a:cubicBezTo>
                  <a:cubicBezTo>
                    <a:pt x="2480641" y="1791054"/>
                    <a:pt x="2314989" y="1828326"/>
                    <a:pt x="2178326" y="1822804"/>
                  </a:cubicBezTo>
                  <a:cubicBezTo>
                    <a:pt x="2041663" y="1817282"/>
                    <a:pt x="1917424" y="1777250"/>
                    <a:pt x="1755913" y="1715130"/>
                  </a:cubicBezTo>
                  <a:cubicBezTo>
                    <a:pt x="1594402" y="1653011"/>
                    <a:pt x="1380435" y="1506685"/>
                    <a:pt x="1209261" y="1450087"/>
                  </a:cubicBezTo>
                  <a:cubicBezTo>
                    <a:pt x="1038087" y="1393489"/>
                    <a:pt x="930412" y="1387967"/>
                    <a:pt x="728869" y="1375543"/>
                  </a:cubicBezTo>
                  <a:cubicBezTo>
                    <a:pt x="527326" y="1363119"/>
                    <a:pt x="263663" y="1369331"/>
                    <a:pt x="0" y="1375543"/>
                  </a:cubicBezTo>
                </a:path>
              </a:pathLst>
            </a:custGeom>
            <a:noFill/>
            <a:ln w="3175"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CO" sz="1100"/>
            </a:p>
          </xdr:txBody>
        </xdr:sp>
      </xdr:grpSp>
      <xdr:sp macro="" textlink="">
        <xdr:nvSpPr>
          <xdr:cNvPr id="5" name="7 CuadroTexto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14486879" y="764391"/>
            <a:ext cx="871911" cy="170012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es-CO" sz="900"/>
              <a:t>Lámina de </a:t>
            </a:r>
            <a:r>
              <a:rPr lang="es-CO" sz="900" baseline="0"/>
              <a:t>agua</a:t>
            </a:r>
            <a:endParaRPr lang="es-CO" sz="900"/>
          </a:p>
        </xdr:txBody>
      </xdr:sp>
      <xdr:grpSp>
        <xdr:nvGrpSpPr>
          <xdr:cNvPr id="6" name="12 Grupo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GrpSpPr/>
        </xdr:nvGrpSpPr>
        <xdr:grpSpPr>
          <a:xfrm>
            <a:off x="14376181" y="792624"/>
            <a:ext cx="111578" cy="141088"/>
            <a:chOff x="14382750" y="793533"/>
            <a:chExt cx="111578" cy="141088"/>
          </a:xfrm>
        </xdr:grpSpPr>
        <xdr:sp macro="" textlink="">
          <xdr:nvSpPr>
            <xdr:cNvPr id="34" name="8 Triángulo isósceles">
              <a:extLst>
                <a:ext uri="{FF2B5EF4-FFF2-40B4-BE49-F238E27FC236}">
                  <a16:creationId xmlns:a16="http://schemas.microsoft.com/office/drawing/2014/main" id="{00000000-0008-0000-0200-000022000000}"/>
                </a:ext>
              </a:extLst>
            </xdr:cNvPr>
            <xdr:cNvSpPr/>
          </xdr:nvSpPr>
          <xdr:spPr>
            <a:xfrm flipV="1">
              <a:off x="14382750" y="836105"/>
              <a:ext cx="111578" cy="98516"/>
            </a:xfrm>
            <a:prstGeom prst="triangle">
              <a:avLst/>
            </a:prstGeom>
            <a:noFill/>
            <a:ln w="3175">
              <a:solidFill>
                <a:schemeClr val="tx1">
                  <a:lumMod val="75000"/>
                  <a:lumOff val="2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s-CO" sz="1100"/>
            </a:p>
          </xdr:txBody>
        </xdr:sp>
        <xdr:cxnSp macro="">
          <xdr:nvCxnSpPr>
            <xdr:cNvPr id="35" name="10 Conector recto">
              <a:extLst>
                <a:ext uri="{FF2B5EF4-FFF2-40B4-BE49-F238E27FC236}">
                  <a16:creationId xmlns:a16="http://schemas.microsoft.com/office/drawing/2014/main" id="{00000000-0008-0000-0200-000023000000}"/>
                </a:ext>
              </a:extLst>
            </xdr:cNvPr>
            <xdr:cNvCxnSpPr/>
          </xdr:nvCxnSpPr>
          <xdr:spPr>
            <a:xfrm flipH="1">
              <a:off x="14384007" y="813221"/>
              <a:ext cx="108238" cy="0"/>
            </a:xfrm>
            <a:prstGeom prst="line">
              <a:avLst/>
            </a:prstGeom>
            <a:noFill/>
            <a:ln w="3175">
              <a:solidFill>
                <a:schemeClr val="tx1">
                  <a:lumMod val="75000"/>
                  <a:lumOff val="2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</xdr:cxnSp>
        <xdr:cxnSp macro="">
          <xdr:nvCxnSpPr>
            <xdr:cNvPr id="36" name="11 Conector recto">
              <a:extLst>
                <a:ext uri="{FF2B5EF4-FFF2-40B4-BE49-F238E27FC236}">
                  <a16:creationId xmlns:a16="http://schemas.microsoft.com/office/drawing/2014/main" id="{00000000-0008-0000-0200-000024000000}"/>
                </a:ext>
              </a:extLst>
            </xdr:cNvPr>
            <xdr:cNvCxnSpPr/>
          </xdr:nvCxnSpPr>
          <xdr:spPr>
            <a:xfrm flipH="1">
              <a:off x="14382757" y="793533"/>
              <a:ext cx="108238" cy="0"/>
            </a:xfrm>
            <a:prstGeom prst="line">
              <a:avLst/>
            </a:prstGeom>
            <a:noFill/>
            <a:ln w="3175">
              <a:solidFill>
                <a:schemeClr val="tx1">
                  <a:lumMod val="75000"/>
                  <a:lumOff val="2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</xdr:cxnSp>
      </xdr:grpSp>
      <xdr:cxnSp macro="">
        <xdr:nvCxnSpPr>
          <xdr:cNvPr id="7" name="15 Conector recto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>
            <a:stCxn id="43" idx="2"/>
          </xdr:cNvCxnSpPr>
        </xdr:nvCxnSpPr>
        <xdr:spPr>
          <a:xfrm flipV="1">
            <a:off x="12856321" y="1155852"/>
            <a:ext cx="1" cy="1228683"/>
          </a:xfrm>
          <a:prstGeom prst="line">
            <a:avLst/>
          </a:prstGeom>
          <a:ln w="3175">
            <a:solidFill>
              <a:schemeClr val="bg1">
                <a:lumMod val="75000"/>
              </a:schemeClr>
            </a:solidFill>
            <a:headEnd type="stealth"/>
            <a:tailEnd type="stealt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" name="13 CuadroTexto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 txBox="1"/>
        </xdr:nvSpPr>
        <xdr:spPr>
          <a:xfrm>
            <a:off x="12746793" y="1722725"/>
            <a:ext cx="236099" cy="164621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es-CO" sz="900"/>
              <a:t>Yo</a:t>
            </a:r>
          </a:p>
        </xdr:txBody>
      </xdr:sp>
      <xdr:cxnSp macro="">
        <xdr:nvCxnSpPr>
          <xdr:cNvPr id="9" name="16 Conector recto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CxnSpPr/>
        </xdr:nvCxnSpPr>
        <xdr:spPr>
          <a:xfrm flipV="1">
            <a:off x="12711804" y="2693276"/>
            <a:ext cx="0" cy="752577"/>
          </a:xfrm>
          <a:prstGeom prst="line">
            <a:avLst/>
          </a:prstGeom>
          <a:ln w="3175">
            <a:solidFill>
              <a:schemeClr val="bg1">
                <a:lumMod val="75000"/>
              </a:schemeClr>
            </a:solidFill>
            <a:headEnd type="stealth"/>
            <a:tailEnd type="stealt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0" name="17 CuadroTexto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 txBox="1"/>
        </xdr:nvSpPr>
        <xdr:spPr>
          <a:xfrm>
            <a:off x="12602276" y="3000819"/>
            <a:ext cx="236099" cy="164621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es-CO" sz="900"/>
              <a:t>Yp</a:t>
            </a:r>
          </a:p>
        </xdr:txBody>
      </xdr:sp>
      <xdr:cxnSp macro="">
        <xdr:nvCxnSpPr>
          <xdr:cNvPr id="11" name="20 Conector recto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CxnSpPr/>
        </xdr:nvCxnSpPr>
        <xdr:spPr>
          <a:xfrm>
            <a:off x="12384213" y="2227165"/>
            <a:ext cx="337628" cy="319003"/>
          </a:xfrm>
          <a:prstGeom prst="line">
            <a:avLst/>
          </a:prstGeom>
          <a:ln w="3175">
            <a:solidFill>
              <a:schemeClr val="tx1">
                <a:lumMod val="50000"/>
                <a:lumOff val="50000"/>
              </a:schemeClr>
            </a:solidFill>
            <a:headEnd type="none"/>
            <a:tailEnd type="stealt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2" name="23 CuadroTexto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SpPr txBox="1"/>
        </xdr:nvSpPr>
        <xdr:spPr>
          <a:xfrm>
            <a:off x="12156391" y="1928034"/>
            <a:ext cx="376276" cy="33528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es-CO" sz="900"/>
              <a:t>bolsa de aire</a:t>
            </a:r>
          </a:p>
        </xdr:txBody>
      </xdr:sp>
      <xdr:cxnSp macro="">
        <xdr:nvCxnSpPr>
          <xdr:cNvPr id="13" name="24 Conector recto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CxnSpPr/>
        </xdr:nvCxnSpPr>
        <xdr:spPr>
          <a:xfrm flipV="1">
            <a:off x="12324237" y="2399574"/>
            <a:ext cx="0" cy="1045069"/>
          </a:xfrm>
          <a:prstGeom prst="line">
            <a:avLst/>
          </a:prstGeom>
          <a:ln w="3175">
            <a:solidFill>
              <a:schemeClr val="bg1">
                <a:lumMod val="75000"/>
              </a:schemeClr>
            </a:solidFill>
            <a:headEnd type="stealth"/>
            <a:tailEnd type="stealt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" name="25 CuadroTexto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 txBox="1"/>
        </xdr:nvSpPr>
        <xdr:spPr>
          <a:xfrm>
            <a:off x="12204683" y="2854918"/>
            <a:ext cx="236099" cy="164621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es-CO" sz="900"/>
              <a:t>hc</a:t>
            </a:r>
          </a:p>
        </xdr:txBody>
      </xdr:sp>
      <xdr:cxnSp macro="">
        <xdr:nvCxnSpPr>
          <xdr:cNvPr id="15" name="27 Conector recto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CxnSpPr/>
        </xdr:nvCxnSpPr>
        <xdr:spPr>
          <a:xfrm flipV="1">
            <a:off x="11010788" y="2771485"/>
            <a:ext cx="0" cy="683972"/>
          </a:xfrm>
          <a:prstGeom prst="line">
            <a:avLst/>
          </a:prstGeom>
          <a:ln w="3175">
            <a:solidFill>
              <a:schemeClr val="bg1">
                <a:lumMod val="75000"/>
              </a:schemeClr>
            </a:solidFill>
            <a:headEnd type="stealth"/>
            <a:tailEnd type="stealt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6" name="28 CuadroTexto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SpPr txBox="1"/>
        </xdr:nvSpPr>
        <xdr:spPr>
          <a:xfrm>
            <a:off x="10901260" y="3024673"/>
            <a:ext cx="236099" cy="164621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es-CO" sz="900"/>
              <a:t>y1</a:t>
            </a:r>
          </a:p>
        </xdr:txBody>
      </xdr:sp>
      <xdr:cxnSp macro="">
        <xdr:nvCxnSpPr>
          <xdr:cNvPr id="17" name="29 Conector recto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CxnSpPr/>
        </xdr:nvCxnSpPr>
        <xdr:spPr>
          <a:xfrm flipV="1">
            <a:off x="9905888" y="2990380"/>
            <a:ext cx="0" cy="455051"/>
          </a:xfrm>
          <a:prstGeom prst="line">
            <a:avLst/>
          </a:prstGeom>
          <a:ln w="3175">
            <a:solidFill>
              <a:schemeClr val="bg1">
                <a:lumMod val="75000"/>
              </a:schemeClr>
            </a:solidFill>
            <a:headEnd type="stealth"/>
            <a:tailEnd type="stealt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8" name="30 CuadroTexto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 txBox="1"/>
        </xdr:nvSpPr>
        <xdr:spPr>
          <a:xfrm>
            <a:off x="9841110" y="3135707"/>
            <a:ext cx="146599" cy="163307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es-CO" sz="900"/>
              <a:t>h</a:t>
            </a:r>
          </a:p>
        </xdr:txBody>
      </xdr:sp>
      <xdr:cxnSp macro="">
        <xdr:nvCxnSpPr>
          <xdr:cNvPr id="19" name="32 Conector recto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CxnSpPr/>
        </xdr:nvCxnSpPr>
        <xdr:spPr>
          <a:xfrm flipV="1">
            <a:off x="9160217" y="2308334"/>
            <a:ext cx="0" cy="1131653"/>
          </a:xfrm>
          <a:prstGeom prst="line">
            <a:avLst/>
          </a:prstGeom>
          <a:ln w="3175">
            <a:solidFill>
              <a:schemeClr val="bg1">
                <a:lumMod val="75000"/>
              </a:schemeClr>
            </a:solidFill>
            <a:headEnd type="stealth"/>
            <a:tailEnd type="stealt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0" name="33 CuadroTexto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 txBox="1"/>
        </xdr:nvSpPr>
        <xdr:spPr>
          <a:xfrm>
            <a:off x="9050689" y="2811941"/>
            <a:ext cx="236099" cy="164621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es-CO" sz="900"/>
              <a:t>y2</a:t>
            </a:r>
          </a:p>
        </xdr:txBody>
      </xdr:sp>
      <xdr:cxnSp macro="">
        <xdr:nvCxnSpPr>
          <xdr:cNvPr id="21" name="35 Conector recto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CxnSpPr>
            <a:stCxn id="22" idx="0"/>
          </xdr:cNvCxnSpPr>
        </xdr:nvCxnSpPr>
        <xdr:spPr>
          <a:xfrm flipH="1" flipV="1">
            <a:off x="12847028" y="3618393"/>
            <a:ext cx="9516" cy="630918"/>
          </a:xfrm>
          <a:prstGeom prst="line">
            <a:avLst/>
          </a:prstGeom>
          <a:ln w="3175">
            <a:solidFill>
              <a:schemeClr val="tx1">
                <a:lumMod val="50000"/>
                <a:lumOff val="50000"/>
              </a:schemeClr>
            </a:solidFill>
            <a:headEnd type="none"/>
            <a:tailEnd type="stealt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2" name="38 Elipse">
            <a:extLst>
              <a:ext uri="{FF2B5EF4-FFF2-40B4-BE49-F238E27FC236}">
                <a16:creationId xmlns:a16="http://schemas.microsoft.com/office/drawing/2014/main" id="{00000000-0008-0000-0200-000016000000}"/>
              </a:ext>
            </a:extLst>
          </xdr:cNvPr>
          <xdr:cNvSpPr/>
        </xdr:nvSpPr>
        <xdr:spPr>
          <a:xfrm>
            <a:off x="12766544" y="4249311"/>
            <a:ext cx="180000" cy="180000"/>
          </a:xfrm>
          <a:prstGeom prst="ellipse">
            <a:avLst/>
          </a:prstGeom>
          <a:solidFill>
            <a:schemeClr val="bg1">
              <a:lumMod val="85000"/>
            </a:schemeClr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s-CO" sz="900">
                <a:solidFill>
                  <a:sysClr val="windowText" lastClr="000000"/>
                </a:solidFill>
              </a:rPr>
              <a:t>0</a:t>
            </a:r>
          </a:p>
        </xdr:txBody>
      </xdr:sp>
      <xdr:cxnSp macro="">
        <xdr:nvCxnSpPr>
          <xdr:cNvPr id="23" name="40 Conector recto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CxnSpPr>
            <a:stCxn id="24" idx="0"/>
          </xdr:cNvCxnSpPr>
        </xdr:nvCxnSpPr>
        <xdr:spPr>
          <a:xfrm flipH="1" flipV="1">
            <a:off x="11012785" y="3629279"/>
            <a:ext cx="9516" cy="630918"/>
          </a:xfrm>
          <a:prstGeom prst="line">
            <a:avLst/>
          </a:prstGeom>
          <a:ln w="3175">
            <a:solidFill>
              <a:schemeClr val="tx1">
                <a:lumMod val="50000"/>
                <a:lumOff val="50000"/>
              </a:schemeClr>
            </a:solidFill>
            <a:headEnd type="none"/>
            <a:tailEnd type="stealt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4" name="41 Elipse">
            <a:extLst>
              <a:ext uri="{FF2B5EF4-FFF2-40B4-BE49-F238E27FC236}">
                <a16:creationId xmlns:a16="http://schemas.microsoft.com/office/drawing/2014/main" id="{00000000-0008-0000-0200-000018000000}"/>
              </a:ext>
            </a:extLst>
          </xdr:cNvPr>
          <xdr:cNvSpPr/>
        </xdr:nvSpPr>
        <xdr:spPr>
          <a:xfrm>
            <a:off x="10932301" y="4260197"/>
            <a:ext cx="180000" cy="181314"/>
          </a:xfrm>
          <a:prstGeom prst="ellipse">
            <a:avLst/>
          </a:prstGeom>
          <a:solidFill>
            <a:schemeClr val="bg1">
              <a:lumMod val="85000"/>
            </a:schemeClr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s-CO" sz="900">
                <a:solidFill>
                  <a:sysClr val="windowText" lastClr="000000"/>
                </a:solidFill>
              </a:rPr>
              <a:t>1</a:t>
            </a:r>
          </a:p>
        </xdr:txBody>
      </xdr:sp>
      <xdr:cxnSp macro="">
        <xdr:nvCxnSpPr>
          <xdr:cNvPr id="25" name="42 Conector recto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CxnSpPr>
            <a:stCxn id="26" idx="0"/>
          </xdr:cNvCxnSpPr>
        </xdr:nvCxnSpPr>
        <xdr:spPr>
          <a:xfrm flipH="1" flipV="1">
            <a:off x="9156771" y="3623836"/>
            <a:ext cx="9516" cy="630918"/>
          </a:xfrm>
          <a:prstGeom prst="line">
            <a:avLst/>
          </a:prstGeom>
          <a:ln w="3175">
            <a:solidFill>
              <a:schemeClr val="tx1">
                <a:lumMod val="50000"/>
                <a:lumOff val="50000"/>
              </a:schemeClr>
            </a:solidFill>
            <a:headEnd type="none"/>
            <a:tailEnd type="stealt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6" name="43 Elipse">
            <a:extLst>
              <a:ext uri="{FF2B5EF4-FFF2-40B4-BE49-F238E27FC236}">
                <a16:creationId xmlns:a16="http://schemas.microsoft.com/office/drawing/2014/main" id="{00000000-0008-0000-0200-00001A000000}"/>
              </a:ext>
            </a:extLst>
          </xdr:cNvPr>
          <xdr:cNvSpPr/>
        </xdr:nvSpPr>
        <xdr:spPr>
          <a:xfrm>
            <a:off x="9076287" y="4254754"/>
            <a:ext cx="180000" cy="180000"/>
          </a:xfrm>
          <a:prstGeom prst="ellipse">
            <a:avLst/>
          </a:prstGeom>
          <a:solidFill>
            <a:schemeClr val="bg1">
              <a:lumMod val="85000"/>
            </a:schemeClr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s-CO" sz="900">
                <a:solidFill>
                  <a:sysClr val="windowText" lastClr="000000"/>
                </a:solidFill>
              </a:rPr>
              <a:t>2</a:t>
            </a:r>
          </a:p>
        </xdr:txBody>
      </xdr:sp>
      <xdr:cxnSp macro="">
        <xdr:nvCxnSpPr>
          <xdr:cNvPr id="27" name="47 Conector recto">
            <a:extLst>
              <a:ext uri="{FF2B5EF4-FFF2-40B4-BE49-F238E27FC236}">
                <a16:creationId xmlns:a16="http://schemas.microsoft.com/office/drawing/2014/main" id="{00000000-0008-0000-0200-00001B000000}"/>
              </a:ext>
            </a:extLst>
          </xdr:cNvPr>
          <xdr:cNvCxnSpPr/>
        </xdr:nvCxnSpPr>
        <xdr:spPr>
          <a:xfrm>
            <a:off x="9664969" y="2182413"/>
            <a:ext cx="1370135" cy="7327"/>
          </a:xfrm>
          <a:prstGeom prst="line">
            <a:avLst/>
          </a:prstGeom>
          <a:ln w="3175">
            <a:solidFill>
              <a:schemeClr val="bg1">
                <a:lumMod val="75000"/>
              </a:schemeClr>
            </a:solidFill>
            <a:headEnd type="stealth"/>
            <a:tailEnd type="stealt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8" name="50 CuadroTexto">
            <a:extLst>
              <a:ext uri="{FF2B5EF4-FFF2-40B4-BE49-F238E27FC236}">
                <a16:creationId xmlns:a16="http://schemas.microsoft.com/office/drawing/2014/main" id="{00000000-0008-0000-0200-00001C000000}"/>
              </a:ext>
            </a:extLst>
          </xdr:cNvPr>
          <xdr:cNvSpPr txBox="1"/>
        </xdr:nvSpPr>
        <xdr:spPr>
          <a:xfrm>
            <a:off x="10241837" y="2102757"/>
            <a:ext cx="236099" cy="158808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es-CO" sz="900"/>
              <a:t>lj</a:t>
            </a:r>
          </a:p>
        </xdr:txBody>
      </xdr:sp>
      <xdr:cxnSp macro="">
        <xdr:nvCxnSpPr>
          <xdr:cNvPr id="29" name="52 Conector recto">
            <a:extLst>
              <a:ext uri="{FF2B5EF4-FFF2-40B4-BE49-F238E27FC236}">
                <a16:creationId xmlns:a16="http://schemas.microsoft.com/office/drawing/2014/main" id="{00000000-0008-0000-0200-00001D000000}"/>
              </a:ext>
            </a:extLst>
          </xdr:cNvPr>
          <xdr:cNvCxnSpPr/>
        </xdr:nvCxnSpPr>
        <xdr:spPr>
          <a:xfrm>
            <a:off x="9788062" y="3942694"/>
            <a:ext cx="3071446" cy="0"/>
          </a:xfrm>
          <a:prstGeom prst="line">
            <a:avLst/>
          </a:prstGeom>
          <a:ln w="3175">
            <a:solidFill>
              <a:schemeClr val="bg1">
                <a:lumMod val="75000"/>
              </a:schemeClr>
            </a:solidFill>
            <a:headEnd type="stealth"/>
            <a:tailEnd type="stealt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0" name="53 CuadroTexto">
            <a:extLst>
              <a:ext uri="{FF2B5EF4-FFF2-40B4-BE49-F238E27FC236}">
                <a16:creationId xmlns:a16="http://schemas.microsoft.com/office/drawing/2014/main" id="{00000000-0008-0000-0200-00001E000000}"/>
              </a:ext>
            </a:extLst>
          </xdr:cNvPr>
          <xdr:cNvSpPr txBox="1"/>
        </xdr:nvSpPr>
        <xdr:spPr>
          <a:xfrm>
            <a:off x="11346737" y="3804101"/>
            <a:ext cx="236099" cy="1666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es-CO" sz="900"/>
              <a:t>LB</a:t>
            </a:r>
          </a:p>
        </xdr:txBody>
      </xdr:sp>
      <xdr:grpSp>
        <xdr:nvGrpSpPr>
          <xdr:cNvPr id="31" name="62 Grupo">
            <a:extLst>
              <a:ext uri="{FF2B5EF4-FFF2-40B4-BE49-F238E27FC236}">
                <a16:creationId xmlns:a16="http://schemas.microsoft.com/office/drawing/2014/main" id="{00000000-0008-0000-0200-00001F000000}"/>
              </a:ext>
            </a:extLst>
          </xdr:cNvPr>
          <xdr:cNvGrpSpPr/>
        </xdr:nvGrpSpPr>
        <xdr:grpSpPr>
          <a:xfrm>
            <a:off x="14555197" y="1482606"/>
            <a:ext cx="627517" cy="140987"/>
            <a:chOff x="14917918" y="1478036"/>
            <a:chExt cx="627517" cy="139558"/>
          </a:xfrm>
        </xdr:grpSpPr>
        <xdr:sp macro="" textlink="">
          <xdr:nvSpPr>
            <xdr:cNvPr id="32" name="58 CuadroTexto">
              <a:extLst>
                <a:ext uri="{FF2B5EF4-FFF2-40B4-BE49-F238E27FC236}">
                  <a16:creationId xmlns:a16="http://schemas.microsoft.com/office/drawing/2014/main" id="{00000000-0008-0000-0200-000020000000}"/>
                </a:ext>
              </a:extLst>
            </xdr:cNvPr>
            <xdr:cNvSpPr txBox="1"/>
          </xdr:nvSpPr>
          <xdr:spPr>
            <a:xfrm>
              <a:off x="15307237" y="1478036"/>
              <a:ext cx="238198" cy="139558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es-CO" sz="900"/>
                <a:t>Qd</a:t>
              </a:r>
            </a:p>
          </xdr:txBody>
        </xdr:sp>
        <xdr:cxnSp macro="">
          <xdr:nvCxnSpPr>
            <xdr:cNvPr id="33" name="55 Conector recto">
              <a:extLst>
                <a:ext uri="{FF2B5EF4-FFF2-40B4-BE49-F238E27FC236}">
                  <a16:creationId xmlns:a16="http://schemas.microsoft.com/office/drawing/2014/main" id="{00000000-0008-0000-0200-000021000000}"/>
                </a:ext>
              </a:extLst>
            </xdr:cNvPr>
            <xdr:cNvCxnSpPr/>
          </xdr:nvCxnSpPr>
          <xdr:spPr>
            <a:xfrm flipH="1">
              <a:off x="14917918" y="1554147"/>
              <a:ext cx="387515" cy="1"/>
            </a:xfrm>
            <a:prstGeom prst="line">
              <a:avLst/>
            </a:prstGeom>
            <a:ln w="76200">
              <a:solidFill>
                <a:schemeClr val="bg1">
                  <a:lumMod val="75000"/>
                </a:schemeClr>
              </a:solidFill>
              <a:headEnd type="none"/>
              <a:tailEnd type="stealth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523875</xdr:colOff>
          <xdr:row>2</xdr:row>
          <xdr:rowOff>0</xdr:rowOff>
        </xdr:from>
        <xdr:to>
          <xdr:col>15</xdr:col>
          <xdr:colOff>295275</xdr:colOff>
          <xdr:row>3</xdr:row>
          <xdr:rowOff>23813</xdr:rowOff>
        </xdr:to>
        <xdr:sp macro="" textlink="">
          <xdr:nvSpPr>
            <xdr:cNvPr id="3073" name="TextBox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757032</xdr:colOff>
      <xdr:row>7</xdr:row>
      <xdr:rowOff>135171</xdr:rowOff>
    </xdr:from>
    <xdr:to>
      <xdr:col>19</xdr:col>
      <xdr:colOff>432021</xdr:colOff>
      <xdr:row>19</xdr:row>
      <xdr:rowOff>57647</xdr:rowOff>
    </xdr:to>
    <xdr:graphicFrame macro="">
      <xdr:nvGraphicFramePr>
        <xdr:cNvPr id="46" name="Gráfico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2:Q54"/>
  <sheetViews>
    <sheetView showGridLines="0" tabSelected="1" zoomScaleNormal="100" workbookViewId="0">
      <selection activeCell="G17" sqref="G17:G18"/>
    </sheetView>
  </sheetViews>
  <sheetFormatPr defaultColWidth="11.46484375" defaultRowHeight="14.25" x14ac:dyDescent="0.45"/>
  <cols>
    <col min="1" max="1" width="3" style="2" customWidth="1"/>
    <col min="2" max="2" width="33.33203125" style="1" bestFit="1" customWidth="1"/>
    <col min="3" max="3" width="8.46484375" style="4" customWidth="1"/>
    <col min="4" max="4" width="7.86328125" style="4" customWidth="1"/>
    <col min="5" max="5" width="8" style="2" customWidth="1"/>
    <col min="6" max="6" width="12.19921875" style="2" bestFit="1" customWidth="1"/>
    <col min="7" max="7" width="10.33203125" style="2" customWidth="1"/>
    <col min="8" max="8" width="8" style="2" customWidth="1"/>
    <col min="9" max="9" width="7.46484375" style="2" customWidth="1"/>
    <col min="10" max="10" width="8.33203125" style="2" customWidth="1"/>
    <col min="11" max="14" width="12.19921875" style="2" bestFit="1" customWidth="1"/>
    <col min="15" max="15" width="11.53125" style="2" bestFit="1" customWidth="1"/>
    <col min="16" max="16384" width="11.46484375" style="2"/>
  </cols>
  <sheetData>
    <row r="2" spans="2:11" ht="18" x14ac:dyDescent="0.45">
      <c r="C2" s="63" t="s">
        <v>9</v>
      </c>
      <c r="D2" s="63"/>
      <c r="E2" s="63"/>
      <c r="F2" s="63"/>
      <c r="G2" s="63"/>
      <c r="H2" s="63"/>
      <c r="I2" s="63"/>
      <c r="J2" s="63"/>
    </row>
    <row r="3" spans="2:11" x14ac:dyDescent="0.45">
      <c r="B3" s="11" t="s">
        <v>42</v>
      </c>
      <c r="C3" s="64" t="s">
        <v>44</v>
      </c>
      <c r="D3" s="64"/>
      <c r="E3" s="64"/>
      <c r="F3" s="64"/>
      <c r="G3" s="64"/>
      <c r="H3" s="64"/>
      <c r="I3" s="64"/>
      <c r="J3" s="65"/>
    </row>
    <row r="4" spans="2:11" x14ac:dyDescent="0.45">
      <c r="C4" s="3"/>
      <c r="D4" s="3"/>
    </row>
    <row r="5" spans="2:11" ht="45" customHeight="1" x14ac:dyDescent="0.45">
      <c r="B5" s="36" t="s">
        <v>41</v>
      </c>
      <c r="C5" s="37"/>
      <c r="D5" s="37"/>
      <c r="E5" s="37" t="s">
        <v>39</v>
      </c>
      <c r="F5" s="38"/>
      <c r="G5" s="37" t="s">
        <v>40</v>
      </c>
      <c r="H5" s="37"/>
      <c r="I5" s="37" t="s">
        <v>7</v>
      </c>
      <c r="J5" s="39"/>
    </row>
    <row r="6" spans="2:11" ht="15.75" x14ac:dyDescent="0.45">
      <c r="B6" s="40" t="s">
        <v>0</v>
      </c>
      <c r="C6" s="41" t="s">
        <v>25</v>
      </c>
      <c r="D6" s="41" t="s">
        <v>23</v>
      </c>
      <c r="E6" s="41">
        <v>431.14</v>
      </c>
      <c r="F6" s="53" t="s">
        <v>66</v>
      </c>
      <c r="G6" s="41">
        <v>121.6</v>
      </c>
      <c r="H6" s="53" t="s">
        <v>66</v>
      </c>
      <c r="I6" s="53">
        <v>3.96</v>
      </c>
      <c r="J6" s="54" t="s">
        <v>66</v>
      </c>
      <c r="K6" s="2" t="s">
        <v>65</v>
      </c>
    </row>
    <row r="7" spans="2:11" x14ac:dyDescent="0.45">
      <c r="B7" s="42" t="s">
        <v>1</v>
      </c>
      <c r="C7" s="43" t="s">
        <v>26</v>
      </c>
      <c r="D7" s="43" t="s">
        <v>23</v>
      </c>
      <c r="E7" s="43">
        <v>0.5</v>
      </c>
      <c r="F7" s="44" t="s">
        <v>2</v>
      </c>
      <c r="G7" s="43">
        <v>0.5</v>
      </c>
      <c r="H7" s="43" t="s">
        <v>2</v>
      </c>
      <c r="I7" s="43">
        <v>0.5</v>
      </c>
      <c r="J7" s="45" t="s">
        <v>2</v>
      </c>
      <c r="K7" s="2" t="s">
        <v>65</v>
      </c>
    </row>
    <row r="8" spans="2:11" x14ac:dyDescent="0.45">
      <c r="B8" s="42" t="s">
        <v>3</v>
      </c>
      <c r="C8" s="43" t="s">
        <v>27</v>
      </c>
      <c r="D8" s="43" t="s">
        <v>23</v>
      </c>
      <c r="E8" s="43">
        <v>141</v>
      </c>
      <c r="F8" s="44" t="s">
        <v>4</v>
      </c>
      <c r="G8" s="43">
        <v>44</v>
      </c>
      <c r="H8" s="43" t="s">
        <v>4</v>
      </c>
      <c r="I8" s="43">
        <v>25.5</v>
      </c>
      <c r="J8" s="45" t="s">
        <v>4</v>
      </c>
      <c r="K8" s="2" t="s">
        <v>65</v>
      </c>
    </row>
    <row r="9" spans="2:11" ht="15.75" x14ac:dyDescent="0.45">
      <c r="B9" s="46" t="s">
        <v>10</v>
      </c>
      <c r="C9" s="47" t="s">
        <v>24</v>
      </c>
      <c r="D9" s="47" t="s">
        <v>23</v>
      </c>
      <c r="E9" s="47">
        <f>+E6/E8</f>
        <v>3.0577304964539005</v>
      </c>
      <c r="F9" s="48" t="s">
        <v>5</v>
      </c>
      <c r="G9" s="47">
        <f>+G6/G8</f>
        <v>2.7636363636363637</v>
      </c>
      <c r="H9" s="47" t="s">
        <v>5</v>
      </c>
      <c r="I9" s="47">
        <f>+I6/I8</f>
        <v>0.15529411764705883</v>
      </c>
      <c r="J9" s="49" t="s">
        <v>5</v>
      </c>
    </row>
    <row r="10" spans="2:11" ht="15.75" x14ac:dyDescent="0.45">
      <c r="B10" s="46" t="s">
        <v>11</v>
      </c>
      <c r="C10" s="47" t="s">
        <v>28</v>
      </c>
      <c r="D10" s="47" t="s">
        <v>23</v>
      </c>
      <c r="E10" s="47">
        <f>+E9^2/9.806/E7^3</f>
        <v>7.6277510005663611</v>
      </c>
      <c r="F10" s="48" t="s">
        <v>6</v>
      </c>
      <c r="G10" s="47">
        <f>+G9^2/9.806/G7^3</f>
        <v>6.2310307570167032</v>
      </c>
      <c r="H10" s="47" t="s">
        <v>6</v>
      </c>
      <c r="I10" s="47">
        <f>+I9^2/9.806/I7^3</f>
        <v>1.967469955193029E-2</v>
      </c>
      <c r="J10" s="49" t="s">
        <v>6</v>
      </c>
    </row>
    <row r="11" spans="2:11" ht="15.75" x14ac:dyDescent="0.45">
      <c r="B11" s="46" t="s">
        <v>12</v>
      </c>
      <c r="C11" s="47" t="s">
        <v>29</v>
      </c>
      <c r="D11" s="47" t="s">
        <v>23</v>
      </c>
      <c r="E11" s="47">
        <f>0.54*E10^0.425*E7</f>
        <v>0.64029819841428037</v>
      </c>
      <c r="F11" s="48" t="s">
        <v>4</v>
      </c>
      <c r="G11" s="47">
        <f>0.54*G10^0.425*G7</f>
        <v>0.58755931998693611</v>
      </c>
      <c r="H11" s="47" t="s">
        <v>4</v>
      </c>
      <c r="I11" s="47">
        <f>0.54*I10^0.425*I7</f>
        <v>5.0848097761595976E-2</v>
      </c>
      <c r="J11" s="49" t="s">
        <v>4</v>
      </c>
    </row>
    <row r="12" spans="2:11" x14ac:dyDescent="0.45">
      <c r="B12" s="46" t="s">
        <v>60</v>
      </c>
      <c r="C12" s="47" t="s">
        <v>61</v>
      </c>
      <c r="D12" s="47" t="s">
        <v>23</v>
      </c>
      <c r="E12" s="47">
        <f>q/(Y.1*SQRT(9.81*Y.1))</f>
        <v>1.9054224649282392</v>
      </c>
      <c r="F12" s="48" t="s">
        <v>62</v>
      </c>
      <c r="G12" s="47">
        <f>G9/(G11*SQRT(9.81*G11))</f>
        <v>1.9591550838467138</v>
      </c>
      <c r="H12" s="47" t="s">
        <v>62</v>
      </c>
      <c r="I12" s="47">
        <f>I9/(I11*SQRT(9.81*I11))</f>
        <v>4.3242265210280619</v>
      </c>
      <c r="J12" s="49" t="s">
        <v>62</v>
      </c>
    </row>
    <row r="13" spans="2:11" ht="15.75" x14ac:dyDescent="0.45">
      <c r="B13" s="46" t="s">
        <v>14</v>
      </c>
      <c r="C13" s="47" t="s">
        <v>30</v>
      </c>
      <c r="D13" s="47" t="s">
        <v>23</v>
      </c>
      <c r="E13" s="47">
        <f>0.5*E11*(SQRT(8*E12^2+1)-1)</f>
        <v>1.4346966711315279</v>
      </c>
      <c r="F13" s="48" t="s">
        <v>4</v>
      </c>
      <c r="G13" s="47">
        <f>0.5*G11*(SQRT(8*G12^2+1)-1)</f>
        <v>1.3604452972608569</v>
      </c>
      <c r="H13" s="47" t="s">
        <v>4</v>
      </c>
      <c r="I13" s="47">
        <f>1.66*I10^0.27*I7</f>
        <v>0.28736460978954398</v>
      </c>
      <c r="J13" s="49" t="s">
        <v>4</v>
      </c>
    </row>
    <row r="14" spans="2:11" ht="15.75" x14ac:dyDescent="0.45">
      <c r="B14" s="46" t="s">
        <v>13</v>
      </c>
      <c r="C14" s="47" t="s">
        <v>31</v>
      </c>
      <c r="D14" s="47" t="s">
        <v>23</v>
      </c>
      <c r="E14" s="47">
        <f>+E10^0.22*E7</f>
        <v>0.78180282607767315</v>
      </c>
      <c r="F14" s="48" t="s">
        <v>4</v>
      </c>
      <c r="G14" s="47">
        <f>+G10^0.22*G7</f>
        <v>0.74777885640977892</v>
      </c>
      <c r="H14" s="47" t="s">
        <v>4</v>
      </c>
      <c r="I14" s="47">
        <f>+I10^0.22*I7</f>
        <v>0.21068314286995413</v>
      </c>
      <c r="J14" s="49" t="s">
        <v>4</v>
      </c>
    </row>
    <row r="15" spans="2:11" ht="15.75" x14ac:dyDescent="0.45">
      <c r="B15" s="46" t="s">
        <v>15</v>
      </c>
      <c r="C15" s="47" t="s">
        <v>32</v>
      </c>
      <c r="D15" s="47" t="s">
        <v>23</v>
      </c>
      <c r="E15" s="47">
        <f>6*(E13-E11)</f>
        <v>4.7663908363034846</v>
      </c>
      <c r="F15" s="48" t="s">
        <v>4</v>
      </c>
      <c r="G15" s="47">
        <f>6*(G13-G11)</f>
        <v>4.6373158636435248</v>
      </c>
      <c r="H15" s="47" t="s">
        <v>4</v>
      </c>
      <c r="I15" s="47">
        <f>6*(I13-I11)</f>
        <v>1.4190990721676879</v>
      </c>
      <c r="J15" s="49" t="s">
        <v>4</v>
      </c>
    </row>
    <row r="16" spans="2:11" ht="15.75" x14ac:dyDescent="0.45">
      <c r="B16" s="46" t="s">
        <v>64</v>
      </c>
      <c r="C16" s="47" t="s">
        <v>33</v>
      </c>
      <c r="D16" s="47" t="s">
        <v>23</v>
      </c>
      <c r="E16" s="47">
        <f>E7*(4.3*E10^0.27)+E15</f>
        <v>8.4876122973119248</v>
      </c>
      <c r="F16" s="48" t="s">
        <v>4</v>
      </c>
      <c r="G16" s="47">
        <f>G7*(4.3*G10^0.27)+G15</f>
        <v>8.1607781841272402</v>
      </c>
      <c r="H16" s="47" t="s">
        <v>4</v>
      </c>
      <c r="I16" s="47">
        <f>I7*(4.3*I10^0.27)+I15</f>
        <v>2.1634772782490366</v>
      </c>
      <c r="J16" s="49" t="s">
        <v>4</v>
      </c>
    </row>
    <row r="17" spans="2:17" x14ac:dyDescent="0.45">
      <c r="B17" s="55" t="s">
        <v>75</v>
      </c>
      <c r="C17" s="56" t="s">
        <v>74</v>
      </c>
      <c r="D17" s="56" t="s">
        <v>23</v>
      </c>
      <c r="E17" s="56">
        <f>(y.2+E25)/2</f>
        <v>1.2094027567514098</v>
      </c>
      <c r="F17" s="57" t="s">
        <v>4</v>
      </c>
      <c r="G17" s="56">
        <f>(G13+G25)/2</f>
        <v>1.1401976903925486</v>
      </c>
      <c r="H17" s="57" t="s">
        <v>4</v>
      </c>
      <c r="I17" s="56"/>
      <c r="J17" s="58"/>
    </row>
    <row r="18" spans="2:17" x14ac:dyDescent="0.45">
      <c r="B18" s="55" t="s">
        <v>16</v>
      </c>
      <c r="C18" s="56" t="s">
        <v>34</v>
      </c>
      <c r="D18" s="56" t="s">
        <v>23</v>
      </c>
      <c r="E18" s="56">
        <f>1/(E17+y.2)*(y.2^2-E17^2-2*Qd^2/(9.81*T)*(1/(T*E17)-1/(T*y.2)))</f>
        <v>0.13168870232649554</v>
      </c>
      <c r="F18" s="57" t="s">
        <v>4</v>
      </c>
      <c r="G18" s="56">
        <f>1/(G17+G13)*(G13^2-G17^2-2*G6^2/(9.81*G8)*(1/(G8*G17)-1/(G8*G13)))</f>
        <v>0.13183360467370356</v>
      </c>
      <c r="H18" s="57" t="s">
        <v>4</v>
      </c>
      <c r="I18" s="56">
        <v>0.35</v>
      </c>
      <c r="J18" s="58" t="s">
        <v>4</v>
      </c>
      <c r="K18" s="2" t="s">
        <v>65</v>
      </c>
    </row>
    <row r="19" spans="2:17" ht="15.75" x14ac:dyDescent="0.45">
      <c r="B19" s="55" t="s">
        <v>17</v>
      </c>
      <c r="C19" s="56" t="s">
        <v>67</v>
      </c>
      <c r="D19" s="56" t="s">
        <v>23</v>
      </c>
      <c r="E19" s="56">
        <v>5.1100000000000003</v>
      </c>
      <c r="F19" s="57" t="s">
        <v>8</v>
      </c>
      <c r="G19" s="56">
        <v>2.93</v>
      </c>
      <c r="H19" s="57" t="s">
        <v>8</v>
      </c>
      <c r="I19" s="56">
        <v>1.18</v>
      </c>
      <c r="J19" s="58" t="s">
        <v>8</v>
      </c>
      <c r="K19" s="2" t="s">
        <v>65</v>
      </c>
    </row>
    <row r="20" spans="2:17" ht="15.75" x14ac:dyDescent="0.45">
      <c r="B20" s="55" t="s">
        <v>18</v>
      </c>
      <c r="C20" s="56" t="s">
        <v>68</v>
      </c>
      <c r="D20" s="56" t="s">
        <v>23</v>
      </c>
      <c r="E20" s="56">
        <v>2.0099999999999998</v>
      </c>
      <c r="F20" s="57" t="s">
        <v>4</v>
      </c>
      <c r="G20" s="56">
        <v>1.01</v>
      </c>
      <c r="H20" s="57" t="s">
        <v>4</v>
      </c>
      <c r="I20" s="56">
        <v>0.13</v>
      </c>
      <c r="J20" s="58" t="s">
        <v>4</v>
      </c>
      <c r="K20" s="2" t="s">
        <v>65</v>
      </c>
    </row>
    <row r="21" spans="2:17" ht="15.75" x14ac:dyDescent="0.45">
      <c r="B21" s="46" t="s">
        <v>19</v>
      </c>
      <c r="C21" s="47" t="s">
        <v>35</v>
      </c>
      <c r="D21" s="47" t="s">
        <v>23</v>
      </c>
      <c r="E21" s="47">
        <f>+E19^2/19.62+E20</f>
        <v>3.3408919469928642</v>
      </c>
      <c r="F21" s="48" t="s">
        <v>4</v>
      </c>
      <c r="G21" s="47">
        <f>+G19^2/19.62+G20</f>
        <v>1.4475586136595311</v>
      </c>
      <c r="H21" s="47" t="s">
        <v>4</v>
      </c>
      <c r="I21" s="47">
        <f>+I19^2/19.62+I20</f>
        <v>0.20096839959225279</v>
      </c>
      <c r="J21" s="49" t="s">
        <v>4</v>
      </c>
    </row>
    <row r="22" spans="2:17" ht="15.75" x14ac:dyDescent="0.45">
      <c r="B22" s="46" t="s">
        <v>20</v>
      </c>
      <c r="C22" s="47" t="s">
        <v>36</v>
      </c>
      <c r="D22" s="47" t="s">
        <v>23</v>
      </c>
      <c r="E22" s="47">
        <f>E6/E8/E11</f>
        <v>4.7754788378703408</v>
      </c>
      <c r="F22" s="48" t="s">
        <v>8</v>
      </c>
      <c r="G22" s="47">
        <f>G6/G8/G11</f>
        <v>4.7035869734783731</v>
      </c>
      <c r="H22" s="48" t="s">
        <v>8</v>
      </c>
      <c r="I22" s="47">
        <f>I6/I8/I11</f>
        <v>3.0540791983047941</v>
      </c>
      <c r="J22" s="48" t="s">
        <v>8</v>
      </c>
    </row>
    <row r="23" spans="2:17" ht="15.75" x14ac:dyDescent="0.45">
      <c r="B23" s="46" t="s">
        <v>21</v>
      </c>
      <c r="C23" s="47" t="s">
        <v>37</v>
      </c>
      <c r="D23" s="47" t="s">
        <v>23</v>
      </c>
      <c r="E23" s="47">
        <f>+Y.1+v.1^2/19.62</f>
        <v>1.8026426495329073</v>
      </c>
      <c r="F23" s="48" t="s">
        <v>4</v>
      </c>
      <c r="G23" s="47">
        <f>+G11+G22^2/19.62</f>
        <v>1.7151704523557152</v>
      </c>
      <c r="H23" s="48" t="s">
        <v>4</v>
      </c>
      <c r="I23" s="47">
        <f>+I11+I22^2/19.62</f>
        <v>0.52625073535171085</v>
      </c>
      <c r="J23" s="48" t="s">
        <v>4</v>
      </c>
    </row>
    <row r="24" spans="2:17" x14ac:dyDescent="0.45">
      <c r="B24" s="50" t="s">
        <v>22</v>
      </c>
      <c r="C24" s="51" t="s">
        <v>38</v>
      </c>
      <c r="D24" s="51" t="s">
        <v>23</v>
      </c>
      <c r="E24" s="51">
        <f>+E21+E7-E23</f>
        <v>2.0382492974599566</v>
      </c>
      <c r="F24" s="52" t="s">
        <v>4</v>
      </c>
      <c r="G24" s="51">
        <f>+G21+G7-G23</f>
        <v>0.2323881613038159</v>
      </c>
      <c r="H24" s="52" t="s">
        <v>4</v>
      </c>
      <c r="I24" s="51">
        <f>+I21+I7-I23</f>
        <v>0.17471766424054191</v>
      </c>
      <c r="J24" s="52" t="s">
        <v>4</v>
      </c>
    </row>
    <row r="25" spans="2:17" x14ac:dyDescent="0.45">
      <c r="B25" s="12" t="s">
        <v>70</v>
      </c>
      <c r="C25" s="4" t="s">
        <v>63</v>
      </c>
      <c r="E25" s="2">
        <f>(q^2/9.81)^(1/3)</f>
        <v>0.98410884237129193</v>
      </c>
      <c r="G25" s="2">
        <f>(G9^2/9.81)^(1/3)</f>
        <v>0.91995008352424013</v>
      </c>
    </row>
    <row r="26" spans="2:17" ht="14.45" customHeight="1" x14ac:dyDescent="0.45">
      <c r="C26" s="2" t="s">
        <v>59</v>
      </c>
      <c r="D26" s="2">
        <v>2</v>
      </c>
      <c r="H26" s="2" t="s">
        <v>55</v>
      </c>
      <c r="I26" s="2">
        <v>8</v>
      </c>
    </row>
    <row r="27" spans="2:17" x14ac:dyDescent="0.45">
      <c r="B27" s="2" t="s">
        <v>48</v>
      </c>
      <c r="C27" s="22" t="s">
        <v>46</v>
      </c>
      <c r="D27" s="24" t="s">
        <v>54</v>
      </c>
      <c r="E27" s="24" t="s">
        <v>47</v>
      </c>
      <c r="F27" s="22" t="s">
        <v>46</v>
      </c>
      <c r="G27" s="23" t="s">
        <v>54</v>
      </c>
      <c r="H27" s="29" t="s">
        <v>49</v>
      </c>
      <c r="I27" s="23"/>
      <c r="J27" s="22" t="s">
        <v>56</v>
      </c>
      <c r="K27" s="23"/>
      <c r="L27" s="22" t="s">
        <v>34</v>
      </c>
      <c r="M27" s="23"/>
      <c r="N27" s="22" t="s">
        <v>51</v>
      </c>
      <c r="O27" s="23"/>
      <c r="P27" s="22" t="s">
        <v>26</v>
      </c>
      <c r="Q27" s="23"/>
    </row>
    <row r="28" spans="2:17" x14ac:dyDescent="0.45">
      <c r="B28" s="2" t="s">
        <v>50</v>
      </c>
      <c r="C28" s="9">
        <v>0</v>
      </c>
      <c r="D28" s="17">
        <f>D26</f>
        <v>2</v>
      </c>
      <c r="E28" s="20">
        <f>D28+1.05*E13</f>
        <v>3.5064315046881043</v>
      </c>
      <c r="F28" s="9">
        <f>C28</f>
        <v>0</v>
      </c>
      <c r="G28" s="5">
        <f>D30+I26/100+E18</f>
        <v>2.2116887023264957</v>
      </c>
      <c r="H28" s="15">
        <f>C29</f>
        <v>1.2731418445967886</v>
      </c>
      <c r="I28" s="25">
        <f>D29+I26/100</f>
        <v>2.08</v>
      </c>
      <c r="J28" s="15">
        <f>C30</f>
        <v>2.5462836891935772</v>
      </c>
      <c r="K28" s="16">
        <f>D26-0.7</f>
        <v>1.3</v>
      </c>
      <c r="L28" s="15">
        <f>C30+0.4</f>
        <v>2.9462836891935771</v>
      </c>
      <c r="M28" s="25">
        <f>I28</f>
        <v>2.08</v>
      </c>
      <c r="N28" s="26">
        <f>C31</f>
        <v>7.3126745254970622</v>
      </c>
      <c r="O28" s="25">
        <f>I28</f>
        <v>2.08</v>
      </c>
      <c r="P28" s="15">
        <f>C32*0.95</f>
        <v>10.482201187180227</v>
      </c>
      <c r="Q28" s="25">
        <f>I28</f>
        <v>2.08</v>
      </c>
    </row>
    <row r="29" spans="2:17" x14ac:dyDescent="0.45">
      <c r="B29" s="2" t="s">
        <v>49</v>
      </c>
      <c r="C29" s="9">
        <f>0.15*E16</f>
        <v>1.2731418445967886</v>
      </c>
      <c r="D29" s="17">
        <f>D26</f>
        <v>2</v>
      </c>
      <c r="E29" s="20">
        <f>D29+E13</f>
        <v>3.4346966711315279</v>
      </c>
      <c r="F29" s="9">
        <f>F28+0.1*LB</f>
        <v>0.8487612297311925</v>
      </c>
      <c r="G29" s="5">
        <f>G28</f>
        <v>2.2116887023264957</v>
      </c>
      <c r="H29" s="9">
        <f>H28</f>
        <v>1.2731418445967886</v>
      </c>
      <c r="I29" s="28">
        <f>(I28+I30)/2</f>
        <v>2.757348335565764</v>
      </c>
      <c r="J29" s="9">
        <f>J28</f>
        <v>2.5462836891935772</v>
      </c>
      <c r="K29" s="28">
        <f>(K28+K30)/2</f>
        <v>1.755844351163248</v>
      </c>
      <c r="L29" s="9">
        <f>L28</f>
        <v>2.9462836891935771</v>
      </c>
      <c r="M29" s="28">
        <f>(M28+M30)/2</f>
        <v>2.1458443511632481</v>
      </c>
      <c r="N29" s="6">
        <f>N28</f>
        <v>7.3126745254970622</v>
      </c>
      <c r="O29" s="28">
        <f>(O28+O30)/2</f>
        <v>2.3601490992071401</v>
      </c>
      <c r="P29" s="9">
        <f>P28</f>
        <v>10.482201187180227</v>
      </c>
      <c r="Q29" s="28">
        <f>(Q28+Q30)/2</f>
        <v>2.33</v>
      </c>
    </row>
    <row r="30" spans="2:17" x14ac:dyDescent="0.45">
      <c r="B30" s="2" t="s">
        <v>45</v>
      </c>
      <c r="C30" s="9">
        <f>0.3*E16</f>
        <v>2.5462836891935772</v>
      </c>
      <c r="D30" s="17">
        <f>D26</f>
        <v>2</v>
      </c>
      <c r="E30" s="20">
        <f>D30+0.9*E13</f>
        <v>3.2912270040183751</v>
      </c>
      <c r="F30" s="9">
        <f>F29</f>
        <v>0.8487612297311925</v>
      </c>
      <c r="G30" s="5">
        <f>D26</f>
        <v>2</v>
      </c>
      <c r="H30" s="10">
        <f>H28</f>
        <v>1.2731418445967886</v>
      </c>
      <c r="I30" s="19">
        <f>E29</f>
        <v>3.4346966711315279</v>
      </c>
      <c r="J30" s="10">
        <f>J28</f>
        <v>2.5462836891935772</v>
      </c>
      <c r="K30" s="8">
        <f>D30+I26/100+E18</f>
        <v>2.2116887023264957</v>
      </c>
      <c r="L30" s="10">
        <f>L28</f>
        <v>2.9462836891935771</v>
      </c>
      <c r="M30" s="8">
        <f>K30</f>
        <v>2.2116887023264957</v>
      </c>
      <c r="N30" s="7">
        <f>N28</f>
        <v>7.3126745254970622</v>
      </c>
      <c r="O30" s="19">
        <f>E31</f>
        <v>2.6402981984142802</v>
      </c>
      <c r="P30" s="10">
        <f>P28</f>
        <v>10.482201187180227</v>
      </c>
      <c r="Q30" s="8">
        <f>D26+hc+I26/100</f>
        <v>2.58</v>
      </c>
    </row>
    <row r="31" spans="2:17" x14ac:dyDescent="0.45">
      <c r="B31" s="2" t="s">
        <v>51</v>
      </c>
      <c r="C31" s="6">
        <f>+C30+E15</f>
        <v>7.3126745254970622</v>
      </c>
      <c r="D31" s="17">
        <f>D26</f>
        <v>2</v>
      </c>
      <c r="E31" s="20">
        <f>D31+E11</f>
        <v>2.6402981984142802</v>
      </c>
      <c r="F31" s="9">
        <f>C30</f>
        <v>2.5462836891935772</v>
      </c>
      <c r="G31" s="5">
        <f>D26</f>
        <v>2</v>
      </c>
      <c r="H31" s="22" t="s">
        <v>52</v>
      </c>
      <c r="I31" s="23"/>
      <c r="J31" s="22" t="s">
        <v>25</v>
      </c>
      <c r="K31" s="23"/>
      <c r="L31" s="22" t="s">
        <v>57</v>
      </c>
      <c r="M31" s="23"/>
      <c r="N31" s="15" t="s">
        <v>58</v>
      </c>
      <c r="O31" s="16"/>
    </row>
    <row r="32" spans="2:17" x14ac:dyDescent="0.45">
      <c r="B32" s="2" t="s">
        <v>52</v>
      </c>
      <c r="C32" s="6">
        <f>+C30+E16</f>
        <v>11.033895986505502</v>
      </c>
      <c r="D32" s="17">
        <f>D26+hc</f>
        <v>2.5</v>
      </c>
      <c r="E32" s="20">
        <f>D32+E20</f>
        <v>4.51</v>
      </c>
      <c r="F32" s="9">
        <f>C31</f>
        <v>7.3126745254970622</v>
      </c>
      <c r="G32" s="5">
        <f>D26</f>
        <v>2</v>
      </c>
      <c r="H32" s="15">
        <f>C32-I26/100</f>
        <v>10.953895986505502</v>
      </c>
      <c r="I32" s="16">
        <f>D32+I26/100</f>
        <v>2.58</v>
      </c>
      <c r="J32" s="26">
        <f>C33-0.5*(C33-C32)</f>
        <v>13.58017967569908</v>
      </c>
      <c r="K32" s="25">
        <f>D32+1</f>
        <v>3.5</v>
      </c>
      <c r="L32" s="15">
        <f>C29+I26/100</f>
        <v>1.3531418445967887</v>
      </c>
      <c r="M32" s="31">
        <f>E29+0.3</f>
        <v>3.7346966711315277</v>
      </c>
      <c r="N32" s="15">
        <f>C29+I26/100</f>
        <v>1.3531418445967887</v>
      </c>
      <c r="O32" s="16">
        <f>D26-0.5</f>
        <v>1.5</v>
      </c>
    </row>
    <row r="33" spans="2:16" x14ac:dyDescent="0.45">
      <c r="B33" s="2" t="s">
        <v>53</v>
      </c>
      <c r="C33" s="10">
        <f>+C32+0.6*E16</f>
        <v>16.126463364892658</v>
      </c>
      <c r="D33" s="18">
        <f>D26+hc</f>
        <v>2.5</v>
      </c>
      <c r="E33" s="21">
        <f>D33+E20*1.15</f>
        <v>4.8114999999999997</v>
      </c>
      <c r="F33" s="9">
        <f>C32</f>
        <v>11.033895986505502</v>
      </c>
      <c r="G33" s="28">
        <f>D26</f>
        <v>2</v>
      </c>
      <c r="H33" s="9">
        <f>H32</f>
        <v>10.953895986505502</v>
      </c>
      <c r="I33" s="28">
        <f>(I32+I34)/2</f>
        <v>3.5449999999999999</v>
      </c>
      <c r="J33" s="28">
        <f>(J32+J34)/2</f>
        <v>14.344064782457153</v>
      </c>
      <c r="K33" s="28">
        <f>K32</f>
        <v>3.5</v>
      </c>
      <c r="L33" s="28">
        <f>(L32+L34)/2</f>
        <v>4.3329081850469251</v>
      </c>
      <c r="M33" s="20">
        <f>M32</f>
        <v>3.7346966711315277</v>
      </c>
      <c r="N33" s="6">
        <f>(N32+N34)/2</f>
        <v>6.1535189155511452</v>
      </c>
      <c r="O33" s="5">
        <f>D26-0.5</f>
        <v>1.5</v>
      </c>
    </row>
    <row r="34" spans="2:16" x14ac:dyDescent="0.45">
      <c r="C34" s="13">
        <f>C32</f>
        <v>11.033895986505502</v>
      </c>
      <c r="D34" s="14">
        <v>1</v>
      </c>
      <c r="F34" s="9">
        <f>F33</f>
        <v>11.033895986505502</v>
      </c>
      <c r="G34" s="28">
        <f>D32</f>
        <v>2.5</v>
      </c>
      <c r="H34" s="10">
        <f>H32</f>
        <v>10.953895986505502</v>
      </c>
      <c r="I34" s="19">
        <f>E32</f>
        <v>4.51</v>
      </c>
      <c r="J34" s="7">
        <f>C33-0.2*(C33-C32)</f>
        <v>15.107949889215227</v>
      </c>
      <c r="K34" s="27">
        <f>K32</f>
        <v>3.5</v>
      </c>
      <c r="L34" s="7">
        <f>C31</f>
        <v>7.3126745254970622</v>
      </c>
      <c r="M34" s="21">
        <f>M33</f>
        <v>3.7346966711315277</v>
      </c>
      <c r="N34" s="10">
        <f>C32-I26/100</f>
        <v>10.953895986505502</v>
      </c>
      <c r="O34" s="8">
        <f>D26-0.5</f>
        <v>1.5</v>
      </c>
    </row>
    <row r="35" spans="2:16" x14ac:dyDescent="0.45">
      <c r="B35" s="4"/>
      <c r="D35" s="14"/>
      <c r="F35" s="10">
        <f>C33</f>
        <v>16.126463364892658</v>
      </c>
      <c r="G35" s="27">
        <f>D33</f>
        <v>2.5</v>
      </c>
      <c r="H35" s="22">
        <v>2</v>
      </c>
      <c r="I35" s="32"/>
      <c r="J35" s="35">
        <v>1</v>
      </c>
      <c r="K35" s="33"/>
      <c r="L35" s="35">
        <v>0</v>
      </c>
      <c r="M35" s="32"/>
      <c r="N35" s="30"/>
      <c r="O35" s="30"/>
      <c r="P35" s="2">
        <f>Y1</f>
        <v>0</v>
      </c>
    </row>
    <row r="36" spans="2:16" x14ac:dyDescent="0.45">
      <c r="C36" s="13"/>
      <c r="D36" s="14"/>
      <c r="F36" s="30"/>
      <c r="G36" s="17"/>
      <c r="H36" s="15">
        <f>C29</f>
        <v>1.2731418445967886</v>
      </c>
      <c r="I36" s="34">
        <f>D26-8/100</f>
        <v>1.92</v>
      </c>
      <c r="J36" s="26">
        <f>C31</f>
        <v>7.3126745254970622</v>
      </c>
      <c r="K36" s="25">
        <f>I36</f>
        <v>1.92</v>
      </c>
      <c r="L36" s="26">
        <f>H32</f>
        <v>10.953895986505502</v>
      </c>
      <c r="M36" s="34">
        <f>I36</f>
        <v>1.92</v>
      </c>
      <c r="N36" s="30"/>
      <c r="O36" s="30"/>
      <c r="P36" s="2">
        <f>2^2*2</f>
        <v>8</v>
      </c>
    </row>
    <row r="37" spans="2:16" ht="14.65" thickBot="1" x14ac:dyDescent="0.5">
      <c r="C37" s="13"/>
      <c r="D37" s="14"/>
      <c r="F37" s="30"/>
      <c r="G37" s="17"/>
      <c r="H37" s="9">
        <f>H36</f>
        <v>1.2731418445967886</v>
      </c>
      <c r="I37" s="59">
        <f>D26-1.5</f>
        <v>0.5</v>
      </c>
      <c r="J37" s="7">
        <f>J36</f>
        <v>7.3126745254970622</v>
      </c>
      <c r="K37" s="27">
        <f>I37</f>
        <v>0.5</v>
      </c>
      <c r="L37" s="7">
        <f>L36</f>
        <v>10.953895986505502</v>
      </c>
      <c r="M37" s="19">
        <f>I37</f>
        <v>0.5</v>
      </c>
      <c r="N37" s="30"/>
      <c r="O37" s="30"/>
    </row>
    <row r="38" spans="2:16" x14ac:dyDescent="0.45">
      <c r="C38" s="68" t="s">
        <v>69</v>
      </c>
      <c r="D38" s="70">
        <v>1.4350000000000001</v>
      </c>
      <c r="E38" s="72">
        <f>D38-0.05</f>
        <v>1.385</v>
      </c>
      <c r="F38" s="72">
        <f t="shared" ref="F38:O38" si="0">E38-0.05</f>
        <v>1.335</v>
      </c>
      <c r="G38" s="72">
        <f t="shared" si="0"/>
        <v>1.2849999999999999</v>
      </c>
      <c r="H38" s="72">
        <f t="shared" si="0"/>
        <v>1.2349999999999999</v>
      </c>
      <c r="I38" s="72">
        <f t="shared" si="0"/>
        <v>1.1849999999999998</v>
      </c>
      <c r="J38" s="72">
        <f t="shared" si="0"/>
        <v>1.1349999999999998</v>
      </c>
      <c r="K38" s="72">
        <f t="shared" si="0"/>
        <v>1.0849999999999997</v>
      </c>
      <c r="L38" s="72">
        <f t="shared" si="0"/>
        <v>1.0349999999999997</v>
      </c>
      <c r="M38" s="72">
        <f t="shared" si="0"/>
        <v>0.98499999999999965</v>
      </c>
      <c r="N38" s="72">
        <f t="shared" si="0"/>
        <v>0.93499999999999961</v>
      </c>
      <c r="O38" s="70">
        <f t="shared" si="0"/>
        <v>0.88499999999999956</v>
      </c>
    </row>
    <row r="39" spans="2:16" ht="14.65" thickBot="1" x14ac:dyDescent="0.5">
      <c r="C39" s="69"/>
      <c r="D39" s="71"/>
      <c r="E39" s="73"/>
      <c r="F39" s="73"/>
      <c r="G39" s="73"/>
      <c r="H39" s="73"/>
      <c r="I39" s="73"/>
      <c r="J39" s="73"/>
      <c r="K39" s="73"/>
      <c r="L39" s="73"/>
      <c r="M39" s="73"/>
      <c r="N39" s="73"/>
      <c r="O39" s="71"/>
    </row>
    <row r="40" spans="2:16" x14ac:dyDescent="0.45">
      <c r="C40" s="66" t="s">
        <v>71</v>
      </c>
      <c r="D40" s="60">
        <f t="shared" ref="D40:O40" si="1">(0.5*y.2^2*T-0.5*D38^2*T-Qd^2/9.81*(1/(D38*T)-1/(y.2*T)))*(2/(2*D38+((y.2+1.1*Qd^2/(19.62*(T*y.2)^2))-(D38+1.1*Qd^2/(19.62*(T*D38)^2)))))/T</f>
        <v>-2.0545666668456283E-4</v>
      </c>
      <c r="E40" s="60">
        <f t="shared" si="1"/>
        <v>3.3007138790121009E-2</v>
      </c>
      <c r="F40" s="60">
        <f t="shared" si="1"/>
        <v>6.4796379967667211E-2</v>
      </c>
      <c r="G40" s="60">
        <f t="shared" si="1"/>
        <v>9.4979613500754873E-2</v>
      </c>
      <c r="H40" s="60">
        <f t="shared" si="1"/>
        <v>0.12333781928990056</v>
      </c>
      <c r="I40" s="60">
        <f t="shared" si="1"/>
        <v>0.149604643011195</v>
      </c>
      <c r="J40" s="60">
        <f t="shared" si="1"/>
        <v>0.17345073549824688</v>
      </c>
      <c r="K40" s="60">
        <f t="shared" si="1"/>
        <v>0.19446072892800503</v>
      </c>
      <c r="L40" s="60">
        <f t="shared" si="1"/>
        <v>0.21209824262854279</v>
      </c>
      <c r="M40" s="60">
        <f t="shared" si="1"/>
        <v>0.22565061895064481</v>
      </c>
      <c r="N40" s="60">
        <f t="shared" si="1"/>
        <v>0.23413767049838269</v>
      </c>
      <c r="O40" s="60">
        <f t="shared" si="1"/>
        <v>0.23615285567522917</v>
      </c>
    </row>
    <row r="41" spans="2:16" ht="14.65" thickBot="1" x14ac:dyDescent="0.5">
      <c r="C41" s="67"/>
      <c r="D41" s="61"/>
      <c r="E41" s="61"/>
      <c r="F41" s="61"/>
      <c r="G41" s="61"/>
      <c r="H41" s="61"/>
      <c r="I41" s="61"/>
      <c r="J41" s="61"/>
      <c r="K41" s="61"/>
      <c r="L41" s="61"/>
      <c r="M41" s="61"/>
      <c r="N41" s="61"/>
      <c r="O41" s="61"/>
    </row>
    <row r="42" spans="2:16" x14ac:dyDescent="0.45">
      <c r="C42" s="66" t="s">
        <v>72</v>
      </c>
      <c r="D42" s="62">
        <f t="shared" ref="D42:O42" si="2">(y.2+1.1*Qd^2/(19.62*(T*y.2)^2))-(D38+1.1*Qd^2/(19.62*(T*D38)^2))</f>
        <v>-1.9567792332964018E-4</v>
      </c>
      <c r="E42" s="62">
        <f t="shared" si="2"/>
        <v>3.1092854332017694E-2</v>
      </c>
      <c r="F42" s="62">
        <f t="shared" si="2"/>
        <v>6.0239836157204296E-2</v>
      </c>
      <c r="G42" s="62">
        <f t="shared" si="2"/>
        <v>8.6905545647048221E-2</v>
      </c>
      <c r="H42" s="62">
        <f t="shared" si="2"/>
        <v>0.11068012480018119</v>
      </c>
      <c r="I42" s="62">
        <f t="shared" si="2"/>
        <v>0.13106545831843253</v>
      </c>
      <c r="J42" s="62">
        <f t="shared" si="2"/>
        <v>0.14745134521343761</v>
      </c>
      <c r="K42" s="62">
        <f t="shared" si="2"/>
        <v>0.15908381260124105</v>
      </c>
      <c r="L42" s="62">
        <f t="shared" si="2"/>
        <v>0.16502246448033464</v>
      </c>
      <c r="M42" s="62">
        <f t="shared" si="2"/>
        <v>0.16408230447363481</v>
      </c>
      <c r="N42" s="62">
        <f t="shared" si="2"/>
        <v>0.15475322065195307</v>
      </c>
      <c r="O42" s="62">
        <f t="shared" si="2"/>
        <v>0.13508676422804466</v>
      </c>
    </row>
    <row r="43" spans="2:16" ht="14.65" thickBot="1" x14ac:dyDescent="0.5">
      <c r="C43" s="67"/>
      <c r="D43" s="61"/>
      <c r="E43" s="61"/>
      <c r="F43" s="61"/>
      <c r="G43" s="61"/>
      <c r="H43" s="61"/>
      <c r="I43" s="61"/>
      <c r="J43" s="61"/>
      <c r="K43" s="61"/>
      <c r="L43" s="61"/>
      <c r="M43" s="61"/>
      <c r="N43" s="61"/>
      <c r="O43" s="61"/>
    </row>
    <row r="44" spans="2:16" x14ac:dyDescent="0.45">
      <c r="C44" s="66" t="s">
        <v>73</v>
      </c>
      <c r="D44" s="62">
        <f t="shared" ref="D44:O44" si="3">1/(D38+y.2)*(y.2^2*T-D38^2*T-2*Qd^2/9.81*(1/(D38*T)-1/(y.2*T)))/T</f>
        <v>-2.0546437398149666E-4</v>
      </c>
      <c r="E44" s="62">
        <f t="shared" si="3"/>
        <v>3.2789364031078932E-2</v>
      </c>
      <c r="F44" s="62">
        <f t="shared" si="3"/>
        <v>6.3873296910245875E-2</v>
      </c>
      <c r="G44" s="62">
        <f t="shared" si="3"/>
        <v>9.2786767183333729E-2</v>
      </c>
      <c r="H44" s="62">
        <f t="shared" si="3"/>
        <v>0.11922532710157516</v>
      </c>
      <c r="I44" s="62">
        <f t="shared" si="3"/>
        <v>0.14282989674439822</v>
      </c>
      <c r="J44" s="62">
        <f t="shared" si="3"/>
        <v>0.16317440053104035</v>
      </c>
      <c r="K44" s="62">
        <f t="shared" si="3"/>
        <v>0.17974994415873963</v>
      </c>
      <c r="L44" s="62">
        <f t="shared" si="3"/>
        <v>0.19194435595785259</v>
      </c>
      <c r="M44" s="62">
        <f t="shared" si="3"/>
        <v>0.1990154380263302</v>
      </c>
      <c r="N44" s="62">
        <f t="shared" si="3"/>
        <v>0.20005556331020946</v>
      </c>
      <c r="O44" s="62">
        <f t="shared" si="3"/>
        <v>0.19394418472053138</v>
      </c>
    </row>
    <row r="45" spans="2:16" ht="14.65" thickBot="1" x14ac:dyDescent="0.5">
      <c r="C45" s="67"/>
      <c r="D45" s="61"/>
      <c r="E45" s="61"/>
      <c r="F45" s="61"/>
      <c r="G45" s="61"/>
      <c r="H45" s="61"/>
      <c r="I45" s="61"/>
      <c r="J45" s="61"/>
      <c r="K45" s="61"/>
      <c r="L45" s="61"/>
      <c r="M45" s="61"/>
      <c r="N45" s="61"/>
      <c r="O45" s="61"/>
    </row>
    <row r="46" spans="2:16" ht="14.65" thickBot="1" x14ac:dyDescent="0.5"/>
    <row r="47" spans="2:16" x14ac:dyDescent="0.45">
      <c r="C47" s="74" t="s">
        <v>74</v>
      </c>
      <c r="D47" s="74">
        <v>1.36</v>
      </c>
      <c r="E47" s="74">
        <f>D47-0.05</f>
        <v>1.31</v>
      </c>
      <c r="F47" s="74">
        <f t="shared" ref="F47:O47" si="4">E47-0.05</f>
        <v>1.26</v>
      </c>
      <c r="G47" s="74">
        <f t="shared" si="4"/>
        <v>1.21</v>
      </c>
      <c r="H47" s="83">
        <v>1.1399999999999999</v>
      </c>
      <c r="I47" s="74">
        <f t="shared" si="4"/>
        <v>1.0899999999999999</v>
      </c>
      <c r="J47" s="74">
        <f t="shared" si="4"/>
        <v>1.0399999999999998</v>
      </c>
      <c r="K47" s="74">
        <f t="shared" si="4"/>
        <v>0.98999999999999977</v>
      </c>
      <c r="L47" s="74">
        <f t="shared" si="4"/>
        <v>0.93999999999999972</v>
      </c>
      <c r="M47" s="74">
        <f t="shared" si="4"/>
        <v>0.88999999999999968</v>
      </c>
      <c r="N47" s="74">
        <f t="shared" si="4"/>
        <v>0.83999999999999964</v>
      </c>
      <c r="O47" s="74">
        <f t="shared" si="4"/>
        <v>0.78999999999999959</v>
      </c>
    </row>
    <row r="48" spans="2:16" ht="14.65" thickBot="1" x14ac:dyDescent="0.5">
      <c r="C48" s="75"/>
      <c r="D48" s="75"/>
      <c r="E48" s="75"/>
      <c r="F48" s="75"/>
      <c r="G48" s="75"/>
      <c r="H48" s="84"/>
      <c r="I48" s="75"/>
      <c r="J48" s="75"/>
      <c r="K48" s="75"/>
      <c r="L48" s="75"/>
      <c r="M48" s="75"/>
      <c r="N48" s="75"/>
      <c r="O48" s="75"/>
    </row>
    <row r="49" spans="3:15" x14ac:dyDescent="0.45">
      <c r="C49" s="78" t="s">
        <v>71</v>
      </c>
      <c r="D49" s="80">
        <f>(0.5*$G$13^2*$G$8-0.5*D47^2*$G$8-$G$6^2/9.81*(1/(D47*$G$8)-1/($G$13*$G$8)))*(2/(2*D47+(($G$13+1.1*$G$6^2/(19.62*($G$8*$G$13)^2))-(D47+1.1*$G$6^2/(19.62*($G$8*D47)^2)))))/$G$8</f>
        <v>3.0755766410961514E-4</v>
      </c>
      <c r="E49" s="80">
        <f t="shared" ref="E49:O49" si="5">(0.5*$G$13^2*$G$8-0.5*E47^2*$G$8-$G$6^2/9.81*(1/(E47*$G$8)-1/($G$13*$G$8)))*(2/(2*E47+(($G$13+1.1*$G$6^2/(19.62*($G$8*$G$13)^2))-(E47+1.1*$G$6^2/(19.62*($G$8*E47)^2)))))/$G$8</f>
        <v>3.4173015929607399E-2</v>
      </c>
      <c r="F49" s="80">
        <f t="shared" si="5"/>
        <v>6.6600443302237619E-2</v>
      </c>
      <c r="G49" s="80">
        <f t="shared" si="5"/>
        <v>9.7396917799497107E-2</v>
      </c>
      <c r="H49" s="81">
        <f t="shared" si="5"/>
        <v>0.13731866508446675</v>
      </c>
      <c r="I49" s="80">
        <f t="shared" si="5"/>
        <v>0.16314637759239473</v>
      </c>
      <c r="J49" s="80">
        <f t="shared" si="5"/>
        <v>0.18629883192714081</v>
      </c>
      <c r="K49" s="80">
        <f t="shared" si="5"/>
        <v>0.20626958493052092</v>
      </c>
      <c r="L49" s="80">
        <f t="shared" si="5"/>
        <v>0.22238601198085586</v>
      </c>
      <c r="M49" s="80">
        <f t="shared" si="5"/>
        <v>0.23372232621973499</v>
      </c>
      <c r="N49" s="80">
        <f t="shared" si="5"/>
        <v>0.23894664360926077</v>
      </c>
      <c r="O49" s="80">
        <f t="shared" si="5"/>
        <v>0.23603338105864172</v>
      </c>
    </row>
    <row r="50" spans="3:15" ht="14.65" thickBot="1" x14ac:dyDescent="0.5">
      <c r="C50" s="79"/>
      <c r="D50" s="77"/>
      <c r="E50" s="77"/>
      <c r="F50" s="77"/>
      <c r="G50" s="77"/>
      <c r="H50" s="82"/>
      <c r="I50" s="77"/>
      <c r="J50" s="77"/>
      <c r="K50" s="77"/>
      <c r="L50" s="77"/>
      <c r="M50" s="77"/>
      <c r="N50" s="77"/>
      <c r="O50" s="77"/>
    </row>
    <row r="51" spans="3:15" x14ac:dyDescent="0.45">
      <c r="C51" s="78" t="s">
        <v>72</v>
      </c>
      <c r="D51" s="76">
        <f>($G$13+1.1*$G$6^2/(19.62*($G$8*$G$13)^2))-(D47+1.1*$G$6^2/(19.62*($G$8*D47)^2))</f>
        <v>2.9376485586873891E-4</v>
      </c>
      <c r="E51" s="76">
        <f t="shared" ref="E51:O51" si="6">($G$13+1.1*$G$6^2/(19.62*($G$8*$G$13)^2))-(E47+1.1*$G$6^2/(19.62*($G$8*E47)^2))</f>
        <v>3.2283656045871689E-2</v>
      </c>
      <c r="F51" s="76">
        <f t="shared" si="6"/>
        <v>6.2087211327470415E-2</v>
      </c>
      <c r="G51" s="76">
        <f t="shared" si="6"/>
        <v>8.9335681419936419E-2</v>
      </c>
      <c r="H51" s="87">
        <f>($G$13+1.1*$G$6^2/(19.62*($G$8*$G$13)^2))-(H47+1.1*$G$6^2/(19.62*($G$8*H47)^2))</f>
        <v>0.12231529582039635</v>
      </c>
      <c r="I51" s="76">
        <f t="shared" si="6"/>
        <v>0.14139329069292317</v>
      </c>
      <c r="J51" s="76">
        <f t="shared" si="6"/>
        <v>0.1559049729998172</v>
      </c>
      <c r="K51" s="76">
        <f t="shared" si="6"/>
        <v>0.16490491666279805</v>
      </c>
      <c r="L51" s="76">
        <f t="shared" si="6"/>
        <v>0.16718972243784536</v>
      </c>
      <c r="M51" s="76">
        <f t="shared" si="6"/>
        <v>0.16120869659287651</v>
      </c>
      <c r="N51" s="76">
        <f t="shared" si="6"/>
        <v>0.14493625042038105</v>
      </c>
      <c r="O51" s="76">
        <f t="shared" si="6"/>
        <v>0.11568605659716336</v>
      </c>
    </row>
    <row r="52" spans="3:15" ht="14.65" thickBot="1" x14ac:dyDescent="0.5">
      <c r="C52" s="79"/>
      <c r="D52" s="77"/>
      <c r="E52" s="77"/>
      <c r="F52" s="77"/>
      <c r="G52" s="77"/>
      <c r="H52" s="82"/>
      <c r="I52" s="77"/>
      <c r="J52" s="77"/>
      <c r="K52" s="77"/>
      <c r="L52" s="77"/>
      <c r="M52" s="77"/>
      <c r="N52" s="77"/>
      <c r="O52" s="77"/>
    </row>
    <row r="53" spans="3:15" x14ac:dyDescent="0.45">
      <c r="C53" s="85" t="s">
        <v>73</v>
      </c>
      <c r="D53" s="87">
        <f>1/(D47+$G$13)*($G$13^2*$G$8-D47^2*$G$8-2*$G$6^2/9.81*(1/(D47*$G$8)-1/($G$13*$G$8)))/$G$8</f>
        <v>3.0754053274051102E-4</v>
      </c>
      <c r="E53" s="87">
        <f t="shared" ref="E53:O53" si="7">1/(E47+$G$13)*($G$13^2*$G$8-E47^2*$G$8-2*$G$6^2/9.81*(1/(E47*$G$8)-1/($G$13*$G$8)))/$G$8</f>
        <v>3.3940605980905543E-2</v>
      </c>
      <c r="F53" s="87">
        <f t="shared" si="7"/>
        <v>6.562554581818815E-2</v>
      </c>
      <c r="G53" s="87">
        <f t="shared" si="7"/>
        <v>9.5081409184254659E-2</v>
      </c>
      <c r="H53" s="88">
        <f t="shared" si="7"/>
        <v>0.13192959265912624</v>
      </c>
      <c r="I53" s="87">
        <f t="shared" si="7"/>
        <v>0.15455431988919957</v>
      </c>
      <c r="J53" s="87">
        <f t="shared" si="7"/>
        <v>0.17352883868891805</v>
      </c>
      <c r="K53" s="87">
        <f t="shared" si="7"/>
        <v>0.18823184159659567</v>
      </c>
      <c r="L53" s="87">
        <f t="shared" si="7"/>
        <v>0.19790357922582807</v>
      </c>
      <c r="M53" s="87">
        <f t="shared" si="7"/>
        <v>0.20160623890653773</v>
      </c>
      <c r="N53" s="87">
        <f t="shared" si="7"/>
        <v>0.19817006693219569</v>
      </c>
      <c r="O53" s="87">
        <f t="shared" si="7"/>
        <v>0.18611889996105926</v>
      </c>
    </row>
    <row r="54" spans="3:15" ht="14.65" thickBot="1" x14ac:dyDescent="0.5">
      <c r="C54" s="86"/>
      <c r="D54" s="82"/>
      <c r="E54" s="82"/>
      <c r="F54" s="82"/>
      <c r="G54" s="82"/>
      <c r="H54" s="89"/>
      <c r="I54" s="82"/>
      <c r="J54" s="82"/>
      <c r="K54" s="82"/>
      <c r="L54" s="82"/>
      <c r="M54" s="82"/>
      <c r="N54" s="82"/>
      <c r="O54" s="82"/>
    </row>
  </sheetData>
  <mergeCells count="106">
    <mergeCell ref="M51:M52"/>
    <mergeCell ref="N51:N52"/>
    <mergeCell ref="O51:O52"/>
    <mergeCell ref="C53:C54"/>
    <mergeCell ref="D53:D54"/>
    <mergeCell ref="E53:E54"/>
    <mergeCell ref="F53:F54"/>
    <mergeCell ref="G53:G54"/>
    <mergeCell ref="H53:H54"/>
    <mergeCell ref="I53:I54"/>
    <mergeCell ref="J53:J54"/>
    <mergeCell ref="K53:K54"/>
    <mergeCell ref="L53:L54"/>
    <mergeCell ref="M53:M54"/>
    <mergeCell ref="N53:N54"/>
    <mergeCell ref="O53:O54"/>
    <mergeCell ref="H51:H52"/>
    <mergeCell ref="I51:I52"/>
    <mergeCell ref="J51:J52"/>
    <mergeCell ref="K51:K52"/>
    <mergeCell ref="L51:L52"/>
    <mergeCell ref="C51:C52"/>
    <mergeCell ref="D51:D52"/>
    <mergeCell ref="E51:E52"/>
    <mergeCell ref="F51:F52"/>
    <mergeCell ref="G51:G52"/>
    <mergeCell ref="M47:M48"/>
    <mergeCell ref="N47:N48"/>
    <mergeCell ref="O47:O48"/>
    <mergeCell ref="C49:C50"/>
    <mergeCell ref="D49:D50"/>
    <mergeCell ref="E49:E50"/>
    <mergeCell ref="F49:F50"/>
    <mergeCell ref="G49:G50"/>
    <mergeCell ref="H49:H50"/>
    <mergeCell ref="I49:I50"/>
    <mergeCell ref="J49:J50"/>
    <mergeCell ref="K49:K50"/>
    <mergeCell ref="L49:L50"/>
    <mergeCell ref="M49:M50"/>
    <mergeCell ref="N49:N50"/>
    <mergeCell ref="O49:O50"/>
    <mergeCell ref="H47:H48"/>
    <mergeCell ref="I47:I48"/>
    <mergeCell ref="J47:J48"/>
    <mergeCell ref="K47:K48"/>
    <mergeCell ref="L47:L48"/>
    <mergeCell ref="C47:C48"/>
    <mergeCell ref="D47:D48"/>
    <mergeCell ref="E47:E48"/>
    <mergeCell ref="F47:F48"/>
    <mergeCell ref="G47:G48"/>
    <mergeCell ref="O42:O43"/>
    <mergeCell ref="C44:C45"/>
    <mergeCell ref="D44:D45"/>
    <mergeCell ref="E44:E45"/>
    <mergeCell ref="F44:F45"/>
    <mergeCell ref="G44:G45"/>
    <mergeCell ref="H44:H45"/>
    <mergeCell ref="I44:I45"/>
    <mergeCell ref="J44:J45"/>
    <mergeCell ref="K44:K45"/>
    <mergeCell ref="L44:L45"/>
    <mergeCell ref="M44:M45"/>
    <mergeCell ref="N44:N45"/>
    <mergeCell ref="O44:O45"/>
    <mergeCell ref="J42:J43"/>
    <mergeCell ref="K42:K43"/>
    <mergeCell ref="L42:L43"/>
    <mergeCell ref="M42:M43"/>
    <mergeCell ref="N42:N43"/>
    <mergeCell ref="O38:O39"/>
    <mergeCell ref="J40:J41"/>
    <mergeCell ref="K40:K41"/>
    <mergeCell ref="L40:L41"/>
    <mergeCell ref="M40:M41"/>
    <mergeCell ref="N40:N41"/>
    <mergeCell ref="O40:O41"/>
    <mergeCell ref="J38:J39"/>
    <mergeCell ref="K38:K39"/>
    <mergeCell ref="L38:L39"/>
    <mergeCell ref="M38:M39"/>
    <mergeCell ref="N38:N39"/>
    <mergeCell ref="H40:H41"/>
    <mergeCell ref="I40:I41"/>
    <mergeCell ref="E42:E43"/>
    <mergeCell ref="F42:F43"/>
    <mergeCell ref="G42:G43"/>
    <mergeCell ref="H42:H43"/>
    <mergeCell ref="I42:I43"/>
    <mergeCell ref="C2:J2"/>
    <mergeCell ref="C3:J3"/>
    <mergeCell ref="C40:C41"/>
    <mergeCell ref="D40:D41"/>
    <mergeCell ref="C42:C43"/>
    <mergeCell ref="D42:D43"/>
    <mergeCell ref="C38:C39"/>
    <mergeCell ref="D38:D39"/>
    <mergeCell ref="E38:E39"/>
    <mergeCell ref="F38:F39"/>
    <mergeCell ref="G38:G39"/>
    <mergeCell ref="H38:H39"/>
    <mergeCell ref="I38:I39"/>
    <mergeCell ref="E40:E41"/>
    <mergeCell ref="F40:F41"/>
    <mergeCell ref="G40:G41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TextBox1">
          <controlPr defaultSize="0" autoLine="0" linkedCell="hc" r:id="rId5">
            <anchor moveWithCells="1">
              <from>
                <xdr:col>14</xdr:col>
                <xdr:colOff>523875</xdr:colOff>
                <xdr:row>2</xdr:row>
                <xdr:rowOff>0</xdr:rowOff>
              </from>
              <to>
                <xdr:col>15</xdr:col>
                <xdr:colOff>304800</xdr:colOff>
                <xdr:row>3</xdr:row>
                <xdr:rowOff>28575</xdr:rowOff>
              </to>
            </anchor>
          </controlPr>
        </control>
      </mc:Choice>
      <mc:Fallback>
        <control shapeId="1025" r:id="rId4" name="Text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B2:Q54"/>
  <sheetViews>
    <sheetView showGridLines="0" topLeftCell="B1" zoomScaleNormal="100" workbookViewId="0">
      <selection activeCell="G17" sqref="G17:G18"/>
    </sheetView>
  </sheetViews>
  <sheetFormatPr defaultColWidth="11.46484375" defaultRowHeight="14.25" x14ac:dyDescent="0.45"/>
  <cols>
    <col min="1" max="1" width="3" style="2" customWidth="1"/>
    <col min="2" max="2" width="33.33203125" style="1" bestFit="1" customWidth="1"/>
    <col min="3" max="3" width="6.6640625" style="4" customWidth="1"/>
    <col min="4" max="4" width="7.86328125" style="4" customWidth="1"/>
    <col min="5" max="5" width="8" style="2" customWidth="1"/>
    <col min="6" max="6" width="11.19921875" style="2" bestFit="1" customWidth="1"/>
    <col min="7" max="7" width="10.1328125" style="2" customWidth="1"/>
    <col min="8" max="8" width="8" style="2" customWidth="1"/>
    <col min="9" max="9" width="7.46484375" style="2" customWidth="1"/>
    <col min="10" max="10" width="8.33203125" style="2" customWidth="1"/>
    <col min="11" max="13" width="12.19921875" style="2" bestFit="1" customWidth="1"/>
    <col min="14" max="14" width="11.53125" style="2" bestFit="1" customWidth="1"/>
    <col min="15" max="15" width="12.19921875" style="2" bestFit="1" customWidth="1"/>
    <col min="16" max="16384" width="11.46484375" style="2"/>
  </cols>
  <sheetData>
    <row r="2" spans="2:11" ht="18" x14ac:dyDescent="0.45">
      <c r="C2" s="63" t="s">
        <v>9</v>
      </c>
      <c r="D2" s="63"/>
      <c r="E2" s="63"/>
      <c r="F2" s="63"/>
      <c r="G2" s="63"/>
      <c r="H2" s="63"/>
      <c r="I2" s="63"/>
      <c r="J2" s="63"/>
    </row>
    <row r="3" spans="2:11" x14ac:dyDescent="0.45">
      <c r="B3" s="11" t="s">
        <v>42</v>
      </c>
      <c r="C3" s="64" t="s">
        <v>44</v>
      </c>
      <c r="D3" s="64"/>
      <c r="E3" s="64"/>
      <c r="F3" s="64"/>
      <c r="G3" s="64"/>
      <c r="H3" s="64"/>
      <c r="I3" s="64"/>
      <c r="J3" s="65"/>
    </row>
    <row r="4" spans="2:11" x14ac:dyDescent="0.45">
      <c r="C4" s="3"/>
      <c r="D4" s="3"/>
    </row>
    <row r="5" spans="2:11" ht="45" customHeight="1" x14ac:dyDescent="0.45">
      <c r="B5" s="36" t="s">
        <v>41</v>
      </c>
      <c r="C5" s="37"/>
      <c r="D5" s="37"/>
      <c r="E5" s="37" t="s">
        <v>39</v>
      </c>
      <c r="F5" s="38"/>
      <c r="G5" s="37" t="s">
        <v>40</v>
      </c>
      <c r="H5" s="37"/>
      <c r="I5" s="37" t="s">
        <v>7</v>
      </c>
      <c r="J5" s="39"/>
    </row>
    <row r="6" spans="2:11" ht="15.75" x14ac:dyDescent="0.45">
      <c r="B6" s="40" t="s">
        <v>0</v>
      </c>
      <c r="C6" s="41" t="s">
        <v>25</v>
      </c>
      <c r="D6" s="41" t="s">
        <v>23</v>
      </c>
      <c r="E6" s="41">
        <v>518.96</v>
      </c>
      <c r="F6" s="53" t="s">
        <v>66</v>
      </c>
      <c r="G6" s="41">
        <v>84.93</v>
      </c>
      <c r="H6" s="53" t="s">
        <v>66</v>
      </c>
      <c r="I6" s="53">
        <v>3.96</v>
      </c>
      <c r="J6" s="54" t="s">
        <v>66</v>
      </c>
      <c r="K6" s="2" t="s">
        <v>65</v>
      </c>
    </row>
    <row r="7" spans="2:11" x14ac:dyDescent="0.45">
      <c r="B7" s="42" t="s">
        <v>1</v>
      </c>
      <c r="C7" s="43" t="s">
        <v>26</v>
      </c>
      <c r="D7" s="43" t="s">
        <v>23</v>
      </c>
      <c r="E7" s="43">
        <v>0.5</v>
      </c>
      <c r="F7" s="44" t="s">
        <v>2</v>
      </c>
      <c r="G7" s="43">
        <v>0.5</v>
      </c>
      <c r="H7" s="43" t="s">
        <v>2</v>
      </c>
      <c r="I7" s="43">
        <v>0.5</v>
      </c>
      <c r="J7" s="45" t="s">
        <v>2</v>
      </c>
      <c r="K7" s="2" t="s">
        <v>65</v>
      </c>
    </row>
    <row r="8" spans="2:11" x14ac:dyDescent="0.45">
      <c r="B8" s="42" t="s">
        <v>3</v>
      </c>
      <c r="C8" s="43" t="s">
        <v>27</v>
      </c>
      <c r="D8" s="43" t="s">
        <v>23</v>
      </c>
      <c r="E8" s="43">
        <v>211</v>
      </c>
      <c r="F8" s="44" t="s">
        <v>4</v>
      </c>
      <c r="G8" s="43">
        <v>74</v>
      </c>
      <c r="H8" s="43" t="s">
        <v>4</v>
      </c>
      <c r="I8" s="43">
        <v>25.5</v>
      </c>
      <c r="J8" s="45" t="s">
        <v>4</v>
      </c>
      <c r="K8" s="2" t="s">
        <v>65</v>
      </c>
    </row>
    <row r="9" spans="2:11" ht="15.75" x14ac:dyDescent="0.45">
      <c r="B9" s="46" t="s">
        <v>10</v>
      </c>
      <c r="C9" s="47" t="s">
        <v>24</v>
      </c>
      <c r="D9" s="47" t="s">
        <v>23</v>
      </c>
      <c r="E9" s="47">
        <f>+E6/E8</f>
        <v>2.459526066350711</v>
      </c>
      <c r="F9" s="48" t="s">
        <v>5</v>
      </c>
      <c r="G9" s="47">
        <f>+G6/G8</f>
        <v>1.1477027027027027</v>
      </c>
      <c r="H9" s="47" t="s">
        <v>5</v>
      </c>
      <c r="I9" s="47">
        <f>+I6/I8</f>
        <v>0.15529411764705883</v>
      </c>
      <c r="J9" s="49" t="s">
        <v>5</v>
      </c>
    </row>
    <row r="10" spans="2:11" ht="15.75" x14ac:dyDescent="0.45">
      <c r="B10" s="46" t="s">
        <v>11</v>
      </c>
      <c r="C10" s="47" t="s">
        <v>28</v>
      </c>
      <c r="D10" s="47" t="s">
        <v>23</v>
      </c>
      <c r="E10" s="47">
        <f>+E9^2/9.806/E7^3</f>
        <v>4.9351568191381627</v>
      </c>
      <c r="F10" s="48" t="s">
        <v>6</v>
      </c>
      <c r="G10" s="47">
        <f>+G9^2/9.806/G7^3</f>
        <v>1.0746249184508168</v>
      </c>
      <c r="H10" s="47" t="s">
        <v>6</v>
      </c>
      <c r="I10" s="47">
        <f>+I9^2/9.806/I7^3</f>
        <v>1.967469955193029E-2</v>
      </c>
      <c r="J10" s="49" t="s">
        <v>6</v>
      </c>
    </row>
    <row r="11" spans="2:11" ht="15.75" x14ac:dyDescent="0.45">
      <c r="B11" s="46" t="s">
        <v>12</v>
      </c>
      <c r="C11" s="47" t="s">
        <v>29</v>
      </c>
      <c r="D11" s="47" t="s">
        <v>23</v>
      </c>
      <c r="E11" s="47">
        <f>0.54*E10^0.425*E7</f>
        <v>0.53212868540731695</v>
      </c>
      <c r="F11" s="48" t="s">
        <v>4</v>
      </c>
      <c r="G11" s="47">
        <f>0.54*G10^0.425*G7</f>
        <v>0.27838635811599671</v>
      </c>
      <c r="H11" s="47" t="s">
        <v>4</v>
      </c>
      <c r="I11" s="47">
        <f>0.54*I10^0.425*I7</f>
        <v>5.0848097761595976E-2</v>
      </c>
      <c r="J11" s="49" t="s">
        <v>4</v>
      </c>
    </row>
    <row r="12" spans="2:11" x14ac:dyDescent="0.45">
      <c r="B12" s="46" t="s">
        <v>60</v>
      </c>
      <c r="C12" s="47" t="s">
        <v>61</v>
      </c>
      <c r="D12" s="47" t="s">
        <v>23</v>
      </c>
      <c r="E12" s="47">
        <f>q/(Y.1*SQRT(9.81*Y.1))</f>
        <v>2.0229815381783838</v>
      </c>
      <c r="F12" s="48" t="s">
        <v>62</v>
      </c>
      <c r="G12" s="47">
        <f>G9/(G11*SQRT(9.81*G11))</f>
        <v>2.4947267069540815</v>
      </c>
      <c r="H12" s="47" t="s">
        <v>62</v>
      </c>
      <c r="I12" s="47">
        <f>I9/(I11*SQRT(9.81*I11))</f>
        <v>4.3242265210280619</v>
      </c>
      <c r="J12" s="49" t="s">
        <v>62</v>
      </c>
    </row>
    <row r="13" spans="2:11" ht="15.75" x14ac:dyDescent="0.45">
      <c r="B13" s="46" t="s">
        <v>14</v>
      </c>
      <c r="C13" s="47" t="s">
        <v>30</v>
      </c>
      <c r="D13" s="47" t="s">
        <v>23</v>
      </c>
      <c r="E13" s="47">
        <f>0.5*E11*(SQRT(8*E12^2+1)-1)</f>
        <v>1.2793924285689464</v>
      </c>
      <c r="F13" s="48" t="s">
        <v>4</v>
      </c>
      <c r="G13" s="47">
        <f>0.5*G11*(SQRT(8*G12^2+1)-1)</f>
        <v>0.85278936037186881</v>
      </c>
      <c r="H13" s="47" t="s">
        <v>4</v>
      </c>
      <c r="I13" s="47">
        <f>1.66*I10^0.27*I7</f>
        <v>0.28736460978954398</v>
      </c>
      <c r="J13" s="49" t="s">
        <v>4</v>
      </c>
    </row>
    <row r="14" spans="2:11" ht="15.75" x14ac:dyDescent="0.45">
      <c r="B14" s="46" t="s">
        <v>13</v>
      </c>
      <c r="C14" s="47" t="s">
        <v>31</v>
      </c>
      <c r="D14" s="47" t="s">
        <v>23</v>
      </c>
      <c r="E14" s="47">
        <f>+E10^0.22*E7</f>
        <v>0.71038897865008666</v>
      </c>
      <c r="F14" s="48" t="s">
        <v>4</v>
      </c>
      <c r="G14" s="47">
        <f>+G10^0.22*G7</f>
        <v>0.50797989483558137</v>
      </c>
      <c r="H14" s="47" t="s">
        <v>4</v>
      </c>
      <c r="I14" s="47">
        <f>+I10^0.22*I7</f>
        <v>0.21068314286995413</v>
      </c>
      <c r="J14" s="49" t="s">
        <v>4</v>
      </c>
    </row>
    <row r="15" spans="2:11" ht="15.75" x14ac:dyDescent="0.45">
      <c r="B15" s="46" t="s">
        <v>15</v>
      </c>
      <c r="C15" s="47" t="s">
        <v>32</v>
      </c>
      <c r="D15" s="47" t="s">
        <v>23</v>
      </c>
      <c r="E15" s="47">
        <f>6*(E13-E11)</f>
        <v>4.483582458969777</v>
      </c>
      <c r="F15" s="48" t="s">
        <v>4</v>
      </c>
      <c r="G15" s="47">
        <f>6*(G13-G11)</f>
        <v>3.4464180135352329</v>
      </c>
      <c r="H15" s="47" t="s">
        <v>4</v>
      </c>
      <c r="I15" s="47">
        <f>6*(I13-I11)</f>
        <v>1.4190990721676879</v>
      </c>
      <c r="J15" s="49" t="s">
        <v>4</v>
      </c>
    </row>
    <row r="16" spans="2:11" ht="15.75" x14ac:dyDescent="0.45">
      <c r="B16" s="46" t="s">
        <v>64</v>
      </c>
      <c r="C16" s="47" t="s">
        <v>33</v>
      </c>
      <c r="D16" s="47" t="s">
        <v>23</v>
      </c>
      <c r="E16" s="47">
        <f>E7*(4.3*E10^0.27)+E15</f>
        <v>7.7920716368271528</v>
      </c>
      <c r="F16" s="48" t="s">
        <v>4</v>
      </c>
      <c r="G16" s="47">
        <f>G7*(4.3*G10^0.27)+G15</f>
        <v>5.6386061581479012</v>
      </c>
      <c r="H16" s="47" t="s">
        <v>4</v>
      </c>
      <c r="I16" s="47">
        <f>I7*(4.3*I10^0.27)+I15</f>
        <v>2.1634772782490366</v>
      </c>
      <c r="J16" s="49" t="s">
        <v>4</v>
      </c>
    </row>
    <row r="17" spans="2:17" x14ac:dyDescent="0.45">
      <c r="B17" s="55" t="s">
        <v>75</v>
      </c>
      <c r="C17" s="56" t="s">
        <v>74</v>
      </c>
      <c r="D17" s="56" t="s">
        <v>23</v>
      </c>
      <c r="E17" s="56">
        <f>(y.2+E25)/2</f>
        <v>1.0652762907783171</v>
      </c>
      <c r="F17" s="57" t="s">
        <v>4</v>
      </c>
      <c r="G17" s="56">
        <f>(G13+G25)/2</f>
        <v>0.68243003430064175</v>
      </c>
      <c r="H17" s="57" t="s">
        <v>4</v>
      </c>
      <c r="I17" s="47"/>
      <c r="J17" s="49"/>
    </row>
    <row r="18" spans="2:17" x14ac:dyDescent="0.45">
      <c r="B18" s="55" t="s">
        <v>16</v>
      </c>
      <c r="C18" s="56" t="s">
        <v>34</v>
      </c>
      <c r="D18" s="56" t="s">
        <v>23</v>
      </c>
      <c r="E18" s="56">
        <f>1/(E17+y.2)*(y.2^2-E17^2-2*Qd^2/(9.81*T)*(1/(T*E17)-1/(T*y.2)))</f>
        <v>0.13148081620538182</v>
      </c>
      <c r="F18" s="57" t="s">
        <v>4</v>
      </c>
      <c r="G18" s="56">
        <f>1/(G17+G13)*(G13^2-G17^2-2*G6^2/(9.81*G8)*(1/(G8*G17)-1/(G8*G13)))</f>
        <v>0.11915397400490516</v>
      </c>
      <c r="H18" s="57" t="s">
        <v>4</v>
      </c>
      <c r="I18" s="56">
        <v>0.35</v>
      </c>
      <c r="J18" s="58" t="s">
        <v>4</v>
      </c>
      <c r="K18" s="2" t="s">
        <v>65</v>
      </c>
    </row>
    <row r="19" spans="2:17" ht="15.75" x14ac:dyDescent="0.45">
      <c r="B19" s="55" t="s">
        <v>17</v>
      </c>
      <c r="C19" s="56" t="s">
        <v>67</v>
      </c>
      <c r="D19" s="56" t="s">
        <v>23</v>
      </c>
      <c r="E19" s="56">
        <v>4.33</v>
      </c>
      <c r="F19" s="57" t="s">
        <v>8</v>
      </c>
      <c r="G19" s="56">
        <v>0.98</v>
      </c>
      <c r="H19" s="57" t="s">
        <v>8</v>
      </c>
      <c r="I19" s="56">
        <v>1.18</v>
      </c>
      <c r="J19" s="58" t="s">
        <v>8</v>
      </c>
      <c r="K19" s="2" t="s">
        <v>65</v>
      </c>
    </row>
    <row r="20" spans="2:17" ht="15.75" x14ac:dyDescent="0.45">
      <c r="B20" s="55" t="s">
        <v>18</v>
      </c>
      <c r="C20" s="56" t="s">
        <v>68</v>
      </c>
      <c r="D20" s="56" t="s">
        <v>23</v>
      </c>
      <c r="E20" s="56">
        <v>1.67</v>
      </c>
      <c r="F20" s="57" t="s">
        <v>4</v>
      </c>
      <c r="G20" s="56">
        <v>1.21</v>
      </c>
      <c r="H20" s="57" t="s">
        <v>4</v>
      </c>
      <c r="I20" s="56">
        <v>0.13</v>
      </c>
      <c r="J20" s="58" t="s">
        <v>4</v>
      </c>
      <c r="K20" s="2" t="s">
        <v>65</v>
      </c>
    </row>
    <row r="21" spans="2:17" ht="15.75" x14ac:dyDescent="0.45">
      <c r="B21" s="46" t="s">
        <v>19</v>
      </c>
      <c r="C21" s="47" t="s">
        <v>35</v>
      </c>
      <c r="D21" s="47" t="s">
        <v>23</v>
      </c>
      <c r="E21" s="47">
        <f>+E19^2/19.62+E20</f>
        <v>2.6256014271151882</v>
      </c>
      <c r="F21" s="48" t="s">
        <v>4</v>
      </c>
      <c r="G21" s="47">
        <f>+G19^2/19.62+G20</f>
        <v>1.2589500509683995</v>
      </c>
      <c r="H21" s="47" t="s">
        <v>4</v>
      </c>
      <c r="I21" s="47">
        <f>+I19^2/19.62+I20</f>
        <v>0.20096839959225279</v>
      </c>
      <c r="J21" s="49" t="s">
        <v>4</v>
      </c>
    </row>
    <row r="22" spans="2:17" ht="15.75" x14ac:dyDescent="0.45">
      <c r="B22" s="46" t="s">
        <v>20</v>
      </c>
      <c r="C22" s="47" t="s">
        <v>36</v>
      </c>
      <c r="D22" s="47" t="s">
        <v>23</v>
      </c>
      <c r="E22" s="47">
        <f>E6/E8/E11</f>
        <v>4.622051270301414</v>
      </c>
      <c r="F22" s="48" t="s">
        <v>8</v>
      </c>
      <c r="G22" s="47">
        <f>G6/G8/G11</f>
        <v>4.122697356543898</v>
      </c>
      <c r="H22" s="48" t="s">
        <v>8</v>
      </c>
      <c r="I22" s="47">
        <f>I6/I8/I11</f>
        <v>3.0540791983047941</v>
      </c>
      <c r="J22" s="48" t="s">
        <v>8</v>
      </c>
    </row>
    <row r="23" spans="2:17" ht="15.75" x14ac:dyDescent="0.45">
      <c r="B23" s="46" t="s">
        <v>21</v>
      </c>
      <c r="C23" s="47" t="s">
        <v>37</v>
      </c>
      <c r="D23" s="47" t="s">
        <v>23</v>
      </c>
      <c r="E23" s="47">
        <f>+Y.1+v.1^2/19.62</f>
        <v>1.6209848497954371</v>
      </c>
      <c r="F23" s="48" t="s">
        <v>4</v>
      </c>
      <c r="G23" s="47">
        <f>+G11+G22^2/19.62</f>
        <v>1.1446775657436239</v>
      </c>
      <c r="H23" s="48" t="s">
        <v>4</v>
      </c>
      <c r="I23" s="47">
        <f>+I11+I22^2/19.62</f>
        <v>0.52625073535171085</v>
      </c>
      <c r="J23" s="48" t="s">
        <v>4</v>
      </c>
    </row>
    <row r="24" spans="2:17" x14ac:dyDescent="0.45">
      <c r="B24" s="50" t="s">
        <v>22</v>
      </c>
      <c r="C24" s="51" t="s">
        <v>38</v>
      </c>
      <c r="D24" s="51" t="s">
        <v>23</v>
      </c>
      <c r="E24" s="51">
        <f>+E21+E7-E23</f>
        <v>1.5046165773197511</v>
      </c>
      <c r="F24" s="52" t="s">
        <v>4</v>
      </c>
      <c r="G24" s="51">
        <f>+G21+G7-G23</f>
        <v>0.61427248522477562</v>
      </c>
      <c r="H24" s="52" t="s">
        <v>4</v>
      </c>
      <c r="I24" s="51">
        <f>+I21+I7-I23</f>
        <v>0.17471766424054191</v>
      </c>
      <c r="J24" s="52" t="s">
        <v>4</v>
      </c>
    </row>
    <row r="25" spans="2:17" x14ac:dyDescent="0.45">
      <c r="B25" s="12" t="s">
        <v>43</v>
      </c>
      <c r="C25" s="4" t="s">
        <v>63</v>
      </c>
      <c r="E25" s="2">
        <f>(q^2/9.81)^(1/3)</f>
        <v>0.85116015298768788</v>
      </c>
      <c r="G25" s="2">
        <f>(G9^2/9.81)^(1/3)</f>
        <v>0.5120707082294147</v>
      </c>
    </row>
    <row r="26" spans="2:17" ht="14.45" customHeight="1" x14ac:dyDescent="0.45">
      <c r="C26" s="2" t="s">
        <v>59</v>
      </c>
      <c r="D26" s="2">
        <v>2</v>
      </c>
      <c r="H26" s="2" t="s">
        <v>55</v>
      </c>
      <c r="I26" s="2">
        <v>8</v>
      </c>
    </row>
    <row r="27" spans="2:17" x14ac:dyDescent="0.45">
      <c r="B27" s="2" t="s">
        <v>48</v>
      </c>
      <c r="C27" s="22" t="s">
        <v>46</v>
      </c>
      <c r="D27" s="24" t="s">
        <v>54</v>
      </c>
      <c r="E27" s="24" t="s">
        <v>47</v>
      </c>
      <c r="F27" s="22" t="s">
        <v>46</v>
      </c>
      <c r="G27" s="23" t="s">
        <v>54</v>
      </c>
      <c r="H27" s="29" t="s">
        <v>49</v>
      </c>
      <c r="I27" s="23"/>
      <c r="J27" s="22" t="s">
        <v>56</v>
      </c>
      <c r="K27" s="23"/>
      <c r="L27" s="22" t="s">
        <v>34</v>
      </c>
      <c r="M27" s="23"/>
      <c r="N27" s="22" t="s">
        <v>51</v>
      </c>
      <c r="O27" s="23"/>
      <c r="P27" s="22" t="s">
        <v>26</v>
      </c>
      <c r="Q27" s="23"/>
    </row>
    <row r="28" spans="2:17" x14ac:dyDescent="0.45">
      <c r="B28" s="2" t="s">
        <v>50</v>
      </c>
      <c r="C28" s="9">
        <v>0</v>
      </c>
      <c r="D28" s="17">
        <f>D26</f>
        <v>2</v>
      </c>
      <c r="E28" s="20">
        <f>D28+1.05*E13</f>
        <v>3.3433620499973937</v>
      </c>
      <c r="F28" s="9">
        <f>C28</f>
        <v>0</v>
      </c>
      <c r="G28" s="5">
        <f>D30+I26/100+E18</f>
        <v>2.2114808162053818</v>
      </c>
      <c r="H28" s="15">
        <f>C29</f>
        <v>1.1688107455240728</v>
      </c>
      <c r="I28" s="25">
        <f>D29+I26/100</f>
        <v>2.08</v>
      </c>
      <c r="J28" s="15">
        <f>C30</f>
        <v>2.3376214910481456</v>
      </c>
      <c r="K28" s="16">
        <f>D26-0.7</f>
        <v>1.3</v>
      </c>
      <c r="L28" s="15">
        <f>C30+0.4</f>
        <v>2.7376214910481456</v>
      </c>
      <c r="M28" s="25">
        <f>I28</f>
        <v>2.08</v>
      </c>
      <c r="N28" s="26">
        <f>C31</f>
        <v>6.8212039500179227</v>
      </c>
      <c r="O28" s="25">
        <f>I28</f>
        <v>2.08</v>
      </c>
      <c r="P28" s="15">
        <f>C32*0.95</f>
        <v>9.6232084714815347</v>
      </c>
      <c r="Q28" s="25">
        <f>I28</f>
        <v>2.08</v>
      </c>
    </row>
    <row r="29" spans="2:17" x14ac:dyDescent="0.45">
      <c r="B29" s="2" t="s">
        <v>49</v>
      </c>
      <c r="C29" s="9">
        <f>0.15*E16</f>
        <v>1.1688107455240728</v>
      </c>
      <c r="D29" s="17">
        <f>D26</f>
        <v>2</v>
      </c>
      <c r="E29" s="20">
        <f>D29+E13</f>
        <v>3.2793924285689462</v>
      </c>
      <c r="F29" s="9">
        <f>F28+0.1*LB</f>
        <v>0.77920716368271536</v>
      </c>
      <c r="G29" s="5">
        <f>G28</f>
        <v>2.2114808162053818</v>
      </c>
      <c r="H29" s="9">
        <f>H28</f>
        <v>1.1688107455240728</v>
      </c>
      <c r="I29" s="28">
        <f>(I28+I30)/2</f>
        <v>2.6796962142844731</v>
      </c>
      <c r="J29" s="9">
        <f>J28</f>
        <v>2.3376214910481456</v>
      </c>
      <c r="K29" s="28">
        <f>(K28+K30)/2</f>
        <v>1.7557404081026911</v>
      </c>
      <c r="L29" s="9">
        <f>L28</f>
        <v>2.7376214910481456</v>
      </c>
      <c r="M29" s="28">
        <f>(M28+M30)/2</f>
        <v>2.1457404081026912</v>
      </c>
      <c r="N29" s="6">
        <f>N28</f>
        <v>6.8212039500179227</v>
      </c>
      <c r="O29" s="28">
        <f>(O28+O30)/2</f>
        <v>2.3060643427036585</v>
      </c>
      <c r="P29" s="9">
        <f>P28</f>
        <v>9.6232084714815347</v>
      </c>
      <c r="Q29" s="28">
        <f>(Q28+Q30)/2</f>
        <v>2.33</v>
      </c>
    </row>
    <row r="30" spans="2:17" x14ac:dyDescent="0.45">
      <c r="B30" s="2" t="s">
        <v>45</v>
      </c>
      <c r="C30" s="9">
        <f>0.3*E16</f>
        <v>2.3376214910481456</v>
      </c>
      <c r="D30" s="17">
        <f>D26</f>
        <v>2</v>
      </c>
      <c r="E30" s="20">
        <f>D30+0.9*E13</f>
        <v>3.151453185712052</v>
      </c>
      <c r="F30" s="9">
        <f>F29</f>
        <v>0.77920716368271536</v>
      </c>
      <c r="G30" s="5">
        <f>D26</f>
        <v>2</v>
      </c>
      <c r="H30" s="10">
        <f>H28</f>
        <v>1.1688107455240728</v>
      </c>
      <c r="I30" s="19">
        <f>E29</f>
        <v>3.2793924285689462</v>
      </c>
      <c r="J30" s="10">
        <f>J28</f>
        <v>2.3376214910481456</v>
      </c>
      <c r="K30" s="8">
        <f>D30+I26/100+E18</f>
        <v>2.2114808162053818</v>
      </c>
      <c r="L30" s="10">
        <f>L28</f>
        <v>2.7376214910481456</v>
      </c>
      <c r="M30" s="8">
        <f>K30</f>
        <v>2.2114808162053818</v>
      </c>
      <c r="N30" s="7">
        <f>N28</f>
        <v>6.8212039500179227</v>
      </c>
      <c r="O30" s="19">
        <f>E31</f>
        <v>2.5321286854073168</v>
      </c>
      <c r="P30" s="10">
        <f>P28</f>
        <v>9.6232084714815347</v>
      </c>
      <c r="Q30" s="8">
        <f>D26+hc+I26/100</f>
        <v>2.58</v>
      </c>
    </row>
    <row r="31" spans="2:17" x14ac:dyDescent="0.45">
      <c r="B31" s="2" t="s">
        <v>51</v>
      </c>
      <c r="C31" s="6">
        <f>+C30+E15</f>
        <v>6.8212039500179227</v>
      </c>
      <c r="D31" s="17">
        <f>D26</f>
        <v>2</v>
      </c>
      <c r="E31" s="20">
        <f>D31+E11</f>
        <v>2.5321286854073168</v>
      </c>
      <c r="F31" s="9">
        <f>C30</f>
        <v>2.3376214910481456</v>
      </c>
      <c r="G31" s="5">
        <f>D26</f>
        <v>2</v>
      </c>
      <c r="H31" s="22" t="s">
        <v>52</v>
      </c>
      <c r="I31" s="23"/>
      <c r="J31" s="22" t="s">
        <v>25</v>
      </c>
      <c r="K31" s="23"/>
      <c r="L31" s="22" t="s">
        <v>57</v>
      </c>
      <c r="M31" s="23"/>
      <c r="N31" s="15" t="s">
        <v>58</v>
      </c>
      <c r="O31" s="16"/>
    </row>
    <row r="32" spans="2:17" x14ac:dyDescent="0.45">
      <c r="B32" s="2" t="s">
        <v>52</v>
      </c>
      <c r="C32" s="6">
        <f>+C30+E16</f>
        <v>10.129693127875299</v>
      </c>
      <c r="D32" s="17">
        <f>D26+hc</f>
        <v>2.5</v>
      </c>
      <c r="E32" s="20">
        <f>D32+E20</f>
        <v>4.17</v>
      </c>
      <c r="F32" s="9">
        <f>C31</f>
        <v>6.8212039500179227</v>
      </c>
      <c r="G32" s="5">
        <f>D26</f>
        <v>2</v>
      </c>
      <c r="H32" s="15">
        <f>C32-I26/100</f>
        <v>10.049693127875299</v>
      </c>
      <c r="I32" s="16">
        <f>D32+I26/100</f>
        <v>2.58</v>
      </c>
      <c r="J32" s="26">
        <f>C33-0.5*(C33-C32)</f>
        <v>12.467314618923446</v>
      </c>
      <c r="K32" s="25">
        <f>D32+1</f>
        <v>3.5</v>
      </c>
      <c r="L32" s="15">
        <f>C29+I26/100</f>
        <v>1.2488107455240729</v>
      </c>
      <c r="M32" s="31">
        <f>E29+0.3</f>
        <v>3.579392428568946</v>
      </c>
      <c r="N32" s="15">
        <f>C29+I26/100</f>
        <v>1.2488107455240729</v>
      </c>
      <c r="O32" s="16">
        <f>D26-0.5</f>
        <v>1.5</v>
      </c>
    </row>
    <row r="33" spans="2:16" x14ac:dyDescent="0.45">
      <c r="B33" s="2" t="s">
        <v>53</v>
      </c>
      <c r="C33" s="10">
        <f>+C32+0.6*E16</f>
        <v>14.804936109971591</v>
      </c>
      <c r="D33" s="18">
        <f>D26+hc</f>
        <v>2.5</v>
      </c>
      <c r="E33" s="21">
        <f>D33+E20*1.15</f>
        <v>4.4204999999999997</v>
      </c>
      <c r="F33" s="9">
        <f>C32</f>
        <v>10.129693127875299</v>
      </c>
      <c r="G33" s="28">
        <f>D26</f>
        <v>2</v>
      </c>
      <c r="H33" s="9">
        <f>H32</f>
        <v>10.049693127875299</v>
      </c>
      <c r="I33" s="28">
        <f>(I32+I34)/2</f>
        <v>3.375</v>
      </c>
      <c r="J33" s="28">
        <f>(J32+J34)/2</f>
        <v>13.168601066237889</v>
      </c>
      <c r="K33" s="28">
        <f>K32</f>
        <v>3.5</v>
      </c>
      <c r="L33" s="28">
        <f>(L32+L34)/2</f>
        <v>4.035007347770998</v>
      </c>
      <c r="M33" s="20">
        <f>M32</f>
        <v>3.579392428568946</v>
      </c>
      <c r="N33" s="6">
        <f>(N32+N34)/2</f>
        <v>5.6492519366996863</v>
      </c>
      <c r="O33" s="5">
        <f>D26-0.5</f>
        <v>1.5</v>
      </c>
    </row>
    <row r="34" spans="2:16" x14ac:dyDescent="0.45">
      <c r="C34" s="13">
        <f>C32</f>
        <v>10.129693127875299</v>
      </c>
      <c r="D34" s="14">
        <v>1</v>
      </c>
      <c r="F34" s="9">
        <f>F33</f>
        <v>10.129693127875299</v>
      </c>
      <c r="G34" s="28">
        <f>D32</f>
        <v>2.5</v>
      </c>
      <c r="H34" s="10">
        <f>H32</f>
        <v>10.049693127875299</v>
      </c>
      <c r="I34" s="19">
        <f>E32</f>
        <v>4.17</v>
      </c>
      <c r="J34" s="7">
        <f>C33-0.2*(C33-C32)</f>
        <v>13.869887513552332</v>
      </c>
      <c r="K34" s="27">
        <f>K32</f>
        <v>3.5</v>
      </c>
      <c r="L34" s="7">
        <f>C31</f>
        <v>6.8212039500179227</v>
      </c>
      <c r="M34" s="21">
        <f>M33</f>
        <v>3.579392428568946</v>
      </c>
      <c r="N34" s="10">
        <f>C32-I26/100</f>
        <v>10.049693127875299</v>
      </c>
      <c r="O34" s="8">
        <f>D26-0.5</f>
        <v>1.5</v>
      </c>
    </row>
    <row r="35" spans="2:16" x14ac:dyDescent="0.45">
      <c r="C35" s="13"/>
      <c r="D35" s="14"/>
      <c r="F35" s="10">
        <f>C33</f>
        <v>14.804936109971591</v>
      </c>
      <c r="G35" s="27">
        <f>D33</f>
        <v>2.5</v>
      </c>
      <c r="H35" s="22">
        <v>2</v>
      </c>
      <c r="I35" s="32"/>
      <c r="J35" s="35">
        <v>1</v>
      </c>
      <c r="K35" s="33"/>
      <c r="L35" s="35">
        <v>0</v>
      </c>
      <c r="M35" s="32"/>
      <c r="N35" s="30"/>
      <c r="O35" s="30"/>
      <c r="P35" s="2">
        <f>Y1</f>
        <v>0</v>
      </c>
    </row>
    <row r="36" spans="2:16" x14ac:dyDescent="0.45">
      <c r="C36" s="13"/>
      <c r="D36" s="14"/>
      <c r="F36" s="30"/>
      <c r="G36" s="17"/>
      <c r="H36" s="15">
        <f>C29</f>
        <v>1.1688107455240728</v>
      </c>
      <c r="I36" s="34">
        <f>D26-8/100</f>
        <v>1.92</v>
      </c>
      <c r="J36" s="26">
        <f>C31</f>
        <v>6.8212039500179227</v>
      </c>
      <c r="K36" s="25">
        <f>I36</f>
        <v>1.92</v>
      </c>
      <c r="L36" s="26">
        <f>H32</f>
        <v>10.049693127875299</v>
      </c>
      <c r="M36" s="34">
        <f>I36</f>
        <v>1.92</v>
      </c>
      <c r="N36" s="30"/>
      <c r="O36" s="30"/>
      <c r="P36" s="2">
        <f>2^2*2</f>
        <v>8</v>
      </c>
    </row>
    <row r="37" spans="2:16" ht="14.65" thickBot="1" x14ac:dyDescent="0.5">
      <c r="C37" s="13"/>
      <c r="D37" s="14"/>
      <c r="F37" s="30"/>
      <c r="G37" s="17"/>
      <c r="H37" s="10">
        <f>H36</f>
        <v>1.1688107455240728</v>
      </c>
      <c r="I37" s="19">
        <f>D26-1.5</f>
        <v>0.5</v>
      </c>
      <c r="J37" s="7">
        <f>J36</f>
        <v>6.8212039500179227</v>
      </c>
      <c r="K37" s="27">
        <f>I37</f>
        <v>0.5</v>
      </c>
      <c r="L37" s="7">
        <f>L36</f>
        <v>10.049693127875299</v>
      </c>
      <c r="M37" s="19">
        <f>I37</f>
        <v>0.5</v>
      </c>
      <c r="N37" s="30"/>
      <c r="O37" s="30"/>
    </row>
    <row r="38" spans="2:16" x14ac:dyDescent="0.45">
      <c r="C38" s="68" t="s">
        <v>69</v>
      </c>
      <c r="D38" s="70">
        <v>1.2789999999999999</v>
      </c>
      <c r="E38" s="72">
        <f>D38-0.05</f>
        <v>1.2289999999999999</v>
      </c>
      <c r="F38" s="72">
        <f t="shared" ref="F38:O38" si="0">E38-0.05</f>
        <v>1.1789999999999998</v>
      </c>
      <c r="G38" s="72">
        <f t="shared" si="0"/>
        <v>1.1289999999999998</v>
      </c>
      <c r="H38" s="72">
        <f t="shared" si="0"/>
        <v>1.0789999999999997</v>
      </c>
      <c r="I38" s="72">
        <f t="shared" si="0"/>
        <v>1.0289999999999997</v>
      </c>
      <c r="J38" s="72">
        <f t="shared" si="0"/>
        <v>0.97899999999999965</v>
      </c>
      <c r="K38" s="72">
        <f t="shared" si="0"/>
        <v>0.9289999999999996</v>
      </c>
      <c r="L38" s="72">
        <f t="shared" si="0"/>
        <v>0.87899999999999956</v>
      </c>
      <c r="M38" s="72">
        <f t="shared" si="0"/>
        <v>0.82899999999999952</v>
      </c>
      <c r="N38" s="72">
        <f t="shared" si="0"/>
        <v>0.77899999999999947</v>
      </c>
      <c r="O38" s="70">
        <f t="shared" si="0"/>
        <v>0.72899999999999943</v>
      </c>
    </row>
    <row r="39" spans="2:16" ht="14.65" thickBot="1" x14ac:dyDescent="0.5">
      <c r="C39" s="69"/>
      <c r="D39" s="71"/>
      <c r="E39" s="73"/>
      <c r="F39" s="73"/>
      <c r="G39" s="73"/>
      <c r="H39" s="73"/>
      <c r="I39" s="73"/>
      <c r="J39" s="73"/>
      <c r="K39" s="73"/>
      <c r="L39" s="73"/>
      <c r="M39" s="73"/>
      <c r="N39" s="73"/>
      <c r="O39" s="71"/>
    </row>
    <row r="40" spans="2:16" x14ac:dyDescent="0.45">
      <c r="C40" s="66" t="s">
        <v>71</v>
      </c>
      <c r="D40" s="60">
        <f t="shared" ref="D40:O40" si="1">(0.5*y.2^2*T-0.5*D38^2*T-Qd^2/9.81*(1/(D38*T)-1/(y.2*T)))*(2/(2*D38+((y.2+1.1*Qd^2/(19.62*(T*y.2)^2))-(D38+1.1*Qd^2/(19.62*(T*D38)^2)))))/T</f>
        <v>2.7683563520106326E-4</v>
      </c>
      <c r="E40" s="60">
        <f t="shared" si="1"/>
        <v>3.4876358069133896E-2</v>
      </c>
      <c r="F40" s="60">
        <f t="shared" si="1"/>
        <v>6.8021911319928172E-2</v>
      </c>
      <c r="G40" s="60">
        <f t="shared" si="1"/>
        <v>9.950821956277682E-2</v>
      </c>
      <c r="H40" s="60">
        <f t="shared" si="1"/>
        <v>0.12908524518935868</v>
      </c>
      <c r="I40" s="60">
        <f t="shared" si="1"/>
        <v>0.15644322074426423</v>
      </c>
      <c r="J40" s="60">
        <f t="shared" si="1"/>
        <v>0.18119041234145455</v>
      </c>
      <c r="K40" s="60">
        <f t="shared" si="1"/>
        <v>0.20281881047714651</v>
      </c>
      <c r="L40" s="60">
        <f t="shared" si="1"/>
        <v>0.22064880796069086</v>
      </c>
      <c r="M40" s="60">
        <f t="shared" si="1"/>
        <v>0.23373524322028247</v>
      </c>
      <c r="N40" s="60">
        <f t="shared" si="1"/>
        <v>0.24069761157615124</v>
      </c>
      <c r="O40" s="60">
        <f t="shared" si="1"/>
        <v>0.23938907383583183</v>
      </c>
    </row>
    <row r="41" spans="2:16" ht="14.65" thickBot="1" x14ac:dyDescent="0.5">
      <c r="C41" s="67"/>
      <c r="D41" s="61"/>
      <c r="E41" s="61"/>
      <c r="F41" s="61"/>
      <c r="G41" s="61"/>
      <c r="H41" s="61"/>
      <c r="I41" s="61"/>
      <c r="J41" s="61"/>
      <c r="K41" s="61"/>
      <c r="L41" s="61"/>
      <c r="M41" s="61"/>
      <c r="N41" s="61"/>
      <c r="O41" s="61"/>
    </row>
    <row r="42" spans="2:16" x14ac:dyDescent="0.45">
      <c r="C42" s="66" t="s">
        <v>72</v>
      </c>
      <c r="D42" s="62">
        <f t="shared" ref="D42:O42" si="2">(y.2+1.1*Qd^2/(19.62*(T*y.2)^2))-(D38+1.1*Qd^2/(19.62*(T*D38)^2))</f>
        <v>2.6526120241365803E-4</v>
      </c>
      <c r="E42" s="62">
        <f t="shared" si="2"/>
        <v>3.305255233937987E-2</v>
      </c>
      <c r="F42" s="62">
        <f t="shared" si="2"/>
        <v>6.360380419724132E-2</v>
      </c>
      <c r="G42" s="62">
        <f t="shared" si="2"/>
        <v>9.1514254834807129E-2</v>
      </c>
      <c r="H42" s="62">
        <f t="shared" si="2"/>
        <v>0.1162832328773109</v>
      </c>
      <c r="I42" s="62">
        <f t="shared" si="2"/>
        <v>0.13728553549059508</v>
      </c>
      <c r="J42" s="62">
        <f t="shared" si="2"/>
        <v>0.15373232193233055</v>
      </c>
      <c r="K42" s="62">
        <f t="shared" si="2"/>
        <v>0.16461689232673371</v>
      </c>
      <c r="L42" s="62">
        <f t="shared" si="2"/>
        <v>0.16863828699309535</v>
      </c>
      <c r="M42" s="62">
        <f t="shared" si="2"/>
        <v>0.16409169760734854</v>
      </c>
      <c r="N42" s="62">
        <f t="shared" si="2"/>
        <v>0.14870813002874783</v>
      </c>
      <c r="O42" s="62">
        <f t="shared" si="2"/>
        <v>0.1194145702699696</v>
      </c>
    </row>
    <row r="43" spans="2:16" ht="14.65" thickBot="1" x14ac:dyDescent="0.5">
      <c r="C43" s="67"/>
      <c r="D43" s="61"/>
      <c r="E43" s="61"/>
      <c r="F43" s="61"/>
      <c r="G43" s="61"/>
      <c r="H43" s="61"/>
      <c r="I43" s="61"/>
      <c r="J43" s="61"/>
      <c r="K43" s="61"/>
      <c r="L43" s="61"/>
      <c r="M43" s="61"/>
      <c r="N43" s="61"/>
      <c r="O43" s="61"/>
    </row>
    <row r="44" spans="2:16" x14ac:dyDescent="0.45">
      <c r="C44" s="66" t="s">
        <v>73</v>
      </c>
      <c r="D44" s="62">
        <f t="shared" ref="D44:O44" si="3">1/(D38+y.2)*(y.2^2*T-D38^2*T-2*Qd^2/9.81*(1/(D38*T)-1/(y.2*T)))/T</f>
        <v>2.7682187481845044E-4</v>
      </c>
      <c r="E44" s="62">
        <f t="shared" si="3"/>
        <v>3.4635266713025047E-2</v>
      </c>
      <c r="F44" s="62">
        <f t="shared" si="3"/>
        <v>6.7003997127094858E-2</v>
      </c>
      <c r="G44" s="62">
        <f t="shared" si="3"/>
        <v>9.7075533689040969E-2</v>
      </c>
      <c r="H44" s="62">
        <f t="shared" si="3"/>
        <v>0.12448157702242744</v>
      </c>
      <c r="I44" s="62">
        <f t="shared" si="3"/>
        <v>0.14877779677970718</v>
      </c>
      <c r="J44" s="62">
        <f t="shared" si="3"/>
        <v>0.1694238987544564</v>
      </c>
      <c r="K44" s="62">
        <f t="shared" si="3"/>
        <v>0.18575718103621608</v>
      </c>
      <c r="L44" s="62">
        <f t="shared" si="3"/>
        <v>0.1969569739819324</v>
      </c>
      <c r="M44" s="62">
        <f t="shared" si="3"/>
        <v>0.20199609917921119</v>
      </c>
      <c r="N44" s="62">
        <f t="shared" si="3"/>
        <v>0.19957349475926664</v>
      </c>
      <c r="O44" s="62">
        <f t="shared" si="3"/>
        <v>0.18801893875946329</v>
      </c>
    </row>
    <row r="45" spans="2:16" ht="14.65" thickBot="1" x14ac:dyDescent="0.5">
      <c r="C45" s="67"/>
      <c r="D45" s="61"/>
      <c r="E45" s="61"/>
      <c r="F45" s="61"/>
      <c r="G45" s="61"/>
      <c r="H45" s="61"/>
      <c r="I45" s="61"/>
      <c r="J45" s="61"/>
      <c r="K45" s="61"/>
      <c r="L45" s="61"/>
      <c r="M45" s="61"/>
      <c r="N45" s="61"/>
      <c r="O45" s="61"/>
    </row>
    <row r="46" spans="2:16" ht="14.65" thickBot="1" x14ac:dyDescent="0.5"/>
    <row r="47" spans="2:16" x14ac:dyDescent="0.45">
      <c r="C47" s="74" t="s">
        <v>74</v>
      </c>
      <c r="D47" s="90">
        <v>0.85299999999999998</v>
      </c>
      <c r="E47" s="90">
        <f>D47-0.05</f>
        <v>0.80299999999999994</v>
      </c>
      <c r="F47" s="90">
        <f t="shared" ref="F47:O47" si="4">E47-0.05</f>
        <v>0.75299999999999989</v>
      </c>
      <c r="G47" s="90">
        <f t="shared" si="4"/>
        <v>0.70299999999999985</v>
      </c>
      <c r="H47" s="92">
        <v>0.68</v>
      </c>
      <c r="I47" s="90">
        <f t="shared" si="4"/>
        <v>0.63</v>
      </c>
      <c r="J47" s="90">
        <f t="shared" si="4"/>
        <v>0.57999999999999996</v>
      </c>
      <c r="K47" s="90">
        <f t="shared" si="4"/>
        <v>0.52999999999999992</v>
      </c>
      <c r="L47" s="90">
        <f t="shared" si="4"/>
        <v>0.47999999999999993</v>
      </c>
      <c r="M47" s="90">
        <f t="shared" si="4"/>
        <v>0.42999999999999994</v>
      </c>
      <c r="N47" s="90">
        <f t="shared" si="4"/>
        <v>0.37999999999999995</v>
      </c>
      <c r="O47" s="90">
        <f t="shared" si="4"/>
        <v>0.32999999999999996</v>
      </c>
    </row>
    <row r="48" spans="2:16" ht="14.65" thickBot="1" x14ac:dyDescent="0.5">
      <c r="C48" s="75"/>
      <c r="D48" s="91"/>
      <c r="E48" s="91"/>
      <c r="F48" s="91"/>
      <c r="G48" s="91"/>
      <c r="H48" s="93"/>
      <c r="I48" s="91"/>
      <c r="J48" s="91"/>
      <c r="K48" s="91"/>
      <c r="L48" s="91"/>
      <c r="M48" s="91"/>
      <c r="N48" s="91"/>
      <c r="O48" s="91"/>
    </row>
    <row r="49" spans="3:15" x14ac:dyDescent="0.45">
      <c r="C49" s="78" t="s">
        <v>71</v>
      </c>
      <c r="D49" s="80">
        <f>(0.5*$G$13^2*$G$8-0.5*D47^2*$G$8-$G$6^2/9.81*(1/(D47*$G$8)-1/($G$13*$G$8)))*(2/(2*D47+(($G$13+1.1*$G$6^2/(19.62*($G$8*$G$13)^2))-(D47+1.1*$G$6^2/(19.62*($G$8*D47)^2)))))/$G$8</f>
        <v>-1.6504749717252175E-4</v>
      </c>
      <c r="E49" s="80">
        <f t="shared" ref="E49:O49" si="5">(0.5*$G$13^2*$G$8-0.5*E47^2*$G$8-$G$6^2/9.81*(1/(E47*$G$8)-1/($G$13*$G$8)))*(2/(2*E47+(($G$13+1.1*$G$6^2/(19.62*($G$8*$G$13)^2))-(E47+1.1*$G$6^2/(19.62*($G$8*E47)^2)))))/$G$8</f>
        <v>3.8297477326901926E-2</v>
      </c>
      <c r="F49" s="80">
        <f t="shared" si="5"/>
        <v>7.5143952197971459E-2</v>
      </c>
      <c r="G49" s="80">
        <f t="shared" si="5"/>
        <v>0.11004908281555431</v>
      </c>
      <c r="H49" s="81">
        <f t="shared" si="5"/>
        <v>0.12534161447807154</v>
      </c>
      <c r="I49" s="80">
        <f t="shared" si="5"/>
        <v>0.15661436661414543</v>
      </c>
      <c r="J49" s="80">
        <f t="shared" si="5"/>
        <v>0.1846220305147393</v>
      </c>
      <c r="K49" s="80">
        <f t="shared" si="5"/>
        <v>0.20841275292044129</v>
      </c>
      <c r="L49" s="80">
        <f t="shared" si="5"/>
        <v>0.22650386431931258</v>
      </c>
      <c r="M49" s="80">
        <f t="shared" si="5"/>
        <v>0.23628728398237422</v>
      </c>
      <c r="N49" s="80">
        <f t="shared" si="5"/>
        <v>0.23216667099173049</v>
      </c>
      <c r="O49" s="80">
        <f t="shared" si="5"/>
        <v>0.19709335831799579</v>
      </c>
    </row>
    <row r="50" spans="3:15" ht="14.65" thickBot="1" x14ac:dyDescent="0.5">
      <c r="C50" s="79"/>
      <c r="D50" s="77"/>
      <c r="E50" s="77"/>
      <c r="F50" s="77"/>
      <c r="G50" s="77"/>
      <c r="H50" s="82"/>
      <c r="I50" s="77"/>
      <c r="J50" s="77"/>
      <c r="K50" s="77"/>
      <c r="L50" s="77"/>
      <c r="M50" s="77"/>
      <c r="N50" s="77"/>
      <c r="O50" s="77"/>
    </row>
    <row r="51" spans="3:15" x14ac:dyDescent="0.45">
      <c r="C51" s="78" t="s">
        <v>72</v>
      </c>
      <c r="D51" s="76">
        <f>($G$13+1.1*$G$6^2/(19.62*($G$8*$G$13)^2))-(D47+1.1*$G$6^2/(19.62*($G$8*D47)^2))</f>
        <v>-1.6049362050107874E-4</v>
      </c>
      <c r="E51" s="76">
        <f t="shared" ref="E51:O51" si="6">($G$13+1.1*$G$6^2/(19.62*($G$8*$G$13)^2))-(E47+1.1*$G$6^2/(19.62*($G$8*E47)^2))</f>
        <v>3.6806227903841915E-2</v>
      </c>
      <c r="F51" s="76">
        <f t="shared" si="6"/>
        <v>7.1091348779815045E-2</v>
      </c>
      <c r="G51" s="76">
        <f t="shared" si="6"/>
        <v>0.10190540057509734</v>
      </c>
      <c r="H51" s="87">
        <f>($G$13+1.1*$G$6^2/(19.62*($G$8*$G$13)^2))-(H47+1.1*$G$6^2/(19.62*($G$8*H47)^2))</f>
        <v>0.11462585227460009</v>
      </c>
      <c r="I51" s="76">
        <f t="shared" si="6"/>
        <v>0.1382689196444683</v>
      </c>
      <c r="J51" s="76">
        <f t="shared" si="6"/>
        <v>0.15480546457396605</v>
      </c>
      <c r="K51" s="76">
        <f t="shared" si="6"/>
        <v>0.1614306383736317</v>
      </c>
      <c r="L51" s="76">
        <f t="shared" si="6"/>
        <v>0.1538058086645071</v>
      </c>
      <c r="M51" s="76">
        <f t="shared" si="6"/>
        <v>0.1249298770910221</v>
      </c>
      <c r="N51" s="76">
        <f t="shared" si="6"/>
        <v>6.2907854519638651E-2</v>
      </c>
      <c r="O51" s="76">
        <f t="shared" si="6"/>
        <v>-5.3811404299173748E-2</v>
      </c>
    </row>
    <row r="52" spans="3:15" ht="14.65" thickBot="1" x14ac:dyDescent="0.5">
      <c r="C52" s="79"/>
      <c r="D52" s="77"/>
      <c r="E52" s="77"/>
      <c r="F52" s="77"/>
      <c r="G52" s="77"/>
      <c r="H52" s="82"/>
      <c r="I52" s="77"/>
      <c r="J52" s="77"/>
      <c r="K52" s="77"/>
      <c r="L52" s="77"/>
      <c r="M52" s="77"/>
      <c r="N52" s="77"/>
      <c r="O52" s="77"/>
    </row>
    <row r="53" spans="3:15" x14ac:dyDescent="0.45">
      <c r="C53" s="85" t="s">
        <v>73</v>
      </c>
      <c r="D53" s="87">
        <f>1/(D47+$G$13)*($G$13^2*$G$8-D47^2*$G$8-2*$G$6^2/9.81*(1/(D47*$G$8)-1/($G$13*$G$8)))/$G$8</f>
        <v>-1.6505234916260023E-4</v>
      </c>
      <c r="E53" s="87">
        <f t="shared" ref="E53:O53" si="7">1/(E47+$G$13)*($G$13^2*$G$8-E47^2*$G$8-2*$G$6^2/9.81*(1/(E47*$G$8)-1/($G$13*$G$8)))/$G$8</f>
        <v>3.7997184769631986E-2</v>
      </c>
      <c r="F53" s="87">
        <f t="shared" si="7"/>
        <v>7.3801010175519169E-2</v>
      </c>
      <c r="G53" s="87">
        <f t="shared" si="7"/>
        <v>0.10666200099623141</v>
      </c>
      <c r="H53" s="88">
        <f t="shared" si="7"/>
        <v>0.12058537843083583</v>
      </c>
      <c r="I53" s="87">
        <f t="shared" si="7"/>
        <v>0.14768719486322965</v>
      </c>
      <c r="J53" s="87">
        <f t="shared" si="7"/>
        <v>0.16941921912270413</v>
      </c>
      <c r="K53" s="87">
        <f t="shared" si="7"/>
        <v>0.18409291330992172</v>
      </c>
      <c r="L53" s="87">
        <f t="shared" si="7"/>
        <v>0.1892882155762538</v>
      </c>
      <c r="M53" s="87">
        <f t="shared" si="7"/>
        <v>0.18142215141499615</v>
      </c>
      <c r="N53" s="87">
        <f t="shared" si="7"/>
        <v>0.15497519954190822</v>
      </c>
      <c r="O53" s="87">
        <f t="shared" si="7"/>
        <v>0.10101185393076452</v>
      </c>
    </row>
    <row r="54" spans="3:15" ht="14.65" thickBot="1" x14ac:dyDescent="0.5">
      <c r="C54" s="86"/>
      <c r="D54" s="82"/>
      <c r="E54" s="82"/>
      <c r="F54" s="82"/>
      <c r="G54" s="82"/>
      <c r="H54" s="89"/>
      <c r="I54" s="82"/>
      <c r="J54" s="82"/>
      <c r="K54" s="82"/>
      <c r="L54" s="82"/>
      <c r="M54" s="82"/>
      <c r="N54" s="82"/>
      <c r="O54" s="82"/>
    </row>
  </sheetData>
  <mergeCells count="106">
    <mergeCell ref="M53:M54"/>
    <mergeCell ref="N53:N54"/>
    <mergeCell ref="O53:O54"/>
    <mergeCell ref="H53:H54"/>
    <mergeCell ref="I53:I54"/>
    <mergeCell ref="J53:J54"/>
    <mergeCell ref="K53:K54"/>
    <mergeCell ref="L53:L54"/>
    <mergeCell ref="C53:C54"/>
    <mergeCell ref="D53:D54"/>
    <mergeCell ref="E53:E54"/>
    <mergeCell ref="F53:F54"/>
    <mergeCell ref="G53:G54"/>
    <mergeCell ref="O49:O50"/>
    <mergeCell ref="C51:C52"/>
    <mergeCell ref="D51:D52"/>
    <mergeCell ref="E51:E52"/>
    <mergeCell ref="F51:F52"/>
    <mergeCell ref="G51:G52"/>
    <mergeCell ref="H51:H52"/>
    <mergeCell ref="I51:I52"/>
    <mergeCell ref="J51:J52"/>
    <mergeCell ref="K51:K52"/>
    <mergeCell ref="L51:L52"/>
    <mergeCell ref="M51:M52"/>
    <mergeCell ref="N51:N52"/>
    <mergeCell ref="O51:O52"/>
    <mergeCell ref="H49:H50"/>
    <mergeCell ref="I49:I50"/>
    <mergeCell ref="J49:J50"/>
    <mergeCell ref="K49:K50"/>
    <mergeCell ref="L49:L50"/>
    <mergeCell ref="C49:C50"/>
    <mergeCell ref="D49:D50"/>
    <mergeCell ref="E49:E50"/>
    <mergeCell ref="M42:M43"/>
    <mergeCell ref="N42:N43"/>
    <mergeCell ref="F49:F50"/>
    <mergeCell ref="G49:G50"/>
    <mergeCell ref="C47:C48"/>
    <mergeCell ref="D47:D48"/>
    <mergeCell ref="E47:E48"/>
    <mergeCell ref="F47:F48"/>
    <mergeCell ref="G47:G48"/>
    <mergeCell ref="H47:H48"/>
    <mergeCell ref="I47:I48"/>
    <mergeCell ref="M49:M50"/>
    <mergeCell ref="N49:N50"/>
    <mergeCell ref="J47:J48"/>
    <mergeCell ref="K47:K48"/>
    <mergeCell ref="L47:L48"/>
    <mergeCell ref="M47:M48"/>
    <mergeCell ref="N47:N48"/>
    <mergeCell ref="O47:O48"/>
    <mergeCell ref="C44:C45"/>
    <mergeCell ref="D44:D45"/>
    <mergeCell ref="E44:E45"/>
    <mergeCell ref="F44:F45"/>
    <mergeCell ref="G44:G45"/>
    <mergeCell ref="H44:H45"/>
    <mergeCell ref="I44:I45"/>
    <mergeCell ref="J44:J45"/>
    <mergeCell ref="K44:K45"/>
    <mergeCell ref="L44:L45"/>
    <mergeCell ref="M44:M45"/>
    <mergeCell ref="N44:N45"/>
    <mergeCell ref="O44:O45"/>
    <mergeCell ref="O42:O43"/>
    <mergeCell ref="C40:C41"/>
    <mergeCell ref="D40:D41"/>
    <mergeCell ref="E40:E41"/>
    <mergeCell ref="F40:F41"/>
    <mergeCell ref="G40:G41"/>
    <mergeCell ref="H40:H41"/>
    <mergeCell ref="I40:I41"/>
    <mergeCell ref="J40:J41"/>
    <mergeCell ref="K40:K41"/>
    <mergeCell ref="L40:L41"/>
    <mergeCell ref="M40:M41"/>
    <mergeCell ref="N40:N41"/>
    <mergeCell ref="O40:O41"/>
    <mergeCell ref="C42:C43"/>
    <mergeCell ref="D42:D43"/>
    <mergeCell ref="E42:E43"/>
    <mergeCell ref="F42:F43"/>
    <mergeCell ref="G42:G43"/>
    <mergeCell ref="H42:H43"/>
    <mergeCell ref="I42:I43"/>
    <mergeCell ref="J42:J43"/>
    <mergeCell ref="K42:K43"/>
    <mergeCell ref="L42:L43"/>
    <mergeCell ref="K38:K39"/>
    <mergeCell ref="L38:L39"/>
    <mergeCell ref="M38:M39"/>
    <mergeCell ref="N38:N39"/>
    <mergeCell ref="O38:O39"/>
    <mergeCell ref="C2:J2"/>
    <mergeCell ref="C3:J3"/>
    <mergeCell ref="C38:C39"/>
    <mergeCell ref="D38:D39"/>
    <mergeCell ref="E38:E39"/>
    <mergeCell ref="F38:F39"/>
    <mergeCell ref="G38:G39"/>
    <mergeCell ref="H38:H39"/>
    <mergeCell ref="I38:I39"/>
    <mergeCell ref="J38:J39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TextBox1">
          <controlPr defaultSize="0" autoLine="0" linkedCell="hc" r:id="rId5">
            <anchor moveWithCells="1">
              <from>
                <xdr:col>14</xdr:col>
                <xdr:colOff>523875</xdr:colOff>
                <xdr:row>2</xdr:row>
                <xdr:rowOff>0</xdr:rowOff>
              </from>
              <to>
                <xdr:col>15</xdr:col>
                <xdr:colOff>257175</xdr:colOff>
                <xdr:row>3</xdr:row>
                <xdr:rowOff>28575</xdr:rowOff>
              </to>
            </anchor>
          </controlPr>
        </control>
      </mc:Choice>
      <mc:Fallback>
        <control shapeId="2049" r:id="rId4" name="TextBox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B2:Q54"/>
  <sheetViews>
    <sheetView showGridLines="0" zoomScaleNormal="100" workbookViewId="0"/>
  </sheetViews>
  <sheetFormatPr defaultColWidth="11.46484375" defaultRowHeight="14.25" x14ac:dyDescent="0.45"/>
  <cols>
    <col min="1" max="1" width="3" style="2" customWidth="1"/>
    <col min="2" max="2" width="33.33203125" style="1" bestFit="1" customWidth="1"/>
    <col min="3" max="3" width="6.6640625" style="4" customWidth="1"/>
    <col min="4" max="4" width="7.86328125" style="4" customWidth="1"/>
    <col min="5" max="5" width="8" style="2" customWidth="1"/>
    <col min="6" max="6" width="12.19921875" style="2" bestFit="1" customWidth="1"/>
    <col min="7" max="7" width="10.6640625" style="2" customWidth="1"/>
    <col min="8" max="8" width="8" style="2" customWidth="1"/>
    <col min="9" max="9" width="7.46484375" style="2" customWidth="1"/>
    <col min="10" max="10" width="8.33203125" style="2" customWidth="1"/>
    <col min="11" max="15" width="12.19921875" style="2" bestFit="1" customWidth="1"/>
    <col min="16" max="16384" width="11.46484375" style="2"/>
  </cols>
  <sheetData>
    <row r="2" spans="2:11" ht="18" x14ac:dyDescent="0.45">
      <c r="C2" s="63" t="s">
        <v>9</v>
      </c>
      <c r="D2" s="63"/>
      <c r="E2" s="63"/>
      <c r="F2" s="63"/>
      <c r="G2" s="63"/>
      <c r="H2" s="63"/>
      <c r="I2" s="63"/>
      <c r="J2" s="63"/>
    </row>
    <row r="3" spans="2:11" x14ac:dyDescent="0.45">
      <c r="B3" s="11" t="s">
        <v>42</v>
      </c>
      <c r="C3" s="64" t="s">
        <v>44</v>
      </c>
      <c r="D3" s="64"/>
      <c r="E3" s="64"/>
      <c r="F3" s="64"/>
      <c r="G3" s="64"/>
      <c r="H3" s="64"/>
      <c r="I3" s="64"/>
      <c r="J3" s="65"/>
    </row>
    <row r="4" spans="2:11" x14ac:dyDescent="0.45">
      <c r="C4" s="3"/>
      <c r="D4" s="3"/>
    </row>
    <row r="5" spans="2:11" ht="45" customHeight="1" x14ac:dyDescent="0.45">
      <c r="B5" s="36" t="s">
        <v>41</v>
      </c>
      <c r="C5" s="37"/>
      <c r="D5" s="37"/>
      <c r="E5" s="37" t="s">
        <v>39</v>
      </c>
      <c r="F5" s="38"/>
      <c r="G5" s="37" t="s">
        <v>40</v>
      </c>
      <c r="H5" s="37"/>
      <c r="I5" s="37" t="s">
        <v>7</v>
      </c>
      <c r="J5" s="39"/>
    </row>
    <row r="6" spans="2:11" ht="15.75" x14ac:dyDescent="0.45">
      <c r="B6" s="40" t="s">
        <v>0</v>
      </c>
      <c r="C6" s="41" t="s">
        <v>25</v>
      </c>
      <c r="D6" s="41" t="s">
        <v>23</v>
      </c>
      <c r="E6" s="41">
        <v>515.47</v>
      </c>
      <c r="F6" s="53" t="s">
        <v>66</v>
      </c>
      <c r="G6" s="41">
        <v>145.79</v>
      </c>
      <c r="H6" s="53" t="s">
        <v>66</v>
      </c>
      <c r="I6" s="53">
        <v>3.96</v>
      </c>
      <c r="J6" s="54" t="s">
        <v>66</v>
      </c>
      <c r="K6" s="2" t="s">
        <v>65</v>
      </c>
    </row>
    <row r="7" spans="2:11" x14ac:dyDescent="0.45">
      <c r="B7" s="42" t="s">
        <v>1</v>
      </c>
      <c r="C7" s="43" t="s">
        <v>26</v>
      </c>
      <c r="D7" s="43" t="s">
        <v>23</v>
      </c>
      <c r="E7" s="43">
        <v>0.5</v>
      </c>
      <c r="F7" s="44" t="s">
        <v>2</v>
      </c>
      <c r="G7" s="43">
        <v>0.5</v>
      </c>
      <c r="H7" s="43" t="s">
        <v>2</v>
      </c>
      <c r="I7" s="43">
        <v>0.5</v>
      </c>
      <c r="J7" s="45" t="s">
        <v>2</v>
      </c>
      <c r="K7" s="2" t="s">
        <v>65</v>
      </c>
    </row>
    <row r="8" spans="2:11" x14ac:dyDescent="0.45">
      <c r="B8" s="42" t="s">
        <v>3</v>
      </c>
      <c r="C8" s="43" t="s">
        <v>27</v>
      </c>
      <c r="D8" s="43" t="s">
        <v>23</v>
      </c>
      <c r="E8" s="43">
        <v>211</v>
      </c>
      <c r="F8" s="44" t="s">
        <v>4</v>
      </c>
      <c r="G8" s="43">
        <v>74</v>
      </c>
      <c r="H8" s="43" t="s">
        <v>4</v>
      </c>
      <c r="I8" s="43">
        <v>25.5</v>
      </c>
      <c r="J8" s="45" t="s">
        <v>4</v>
      </c>
      <c r="K8" s="2" t="s">
        <v>65</v>
      </c>
    </row>
    <row r="9" spans="2:11" ht="15.75" x14ac:dyDescent="0.45">
      <c r="B9" s="46" t="s">
        <v>10</v>
      </c>
      <c r="C9" s="47" t="s">
        <v>24</v>
      </c>
      <c r="D9" s="47" t="s">
        <v>23</v>
      </c>
      <c r="E9" s="47">
        <f>+E6/E8</f>
        <v>2.4429857819905214</v>
      </c>
      <c r="F9" s="48" t="s">
        <v>5</v>
      </c>
      <c r="G9" s="47">
        <f>+G6/G8</f>
        <v>1.9701351351351351</v>
      </c>
      <c r="H9" s="47" t="s">
        <v>5</v>
      </c>
      <c r="I9" s="47">
        <f>+I6/I8</f>
        <v>0.15529411764705883</v>
      </c>
      <c r="J9" s="49" t="s">
        <v>5</v>
      </c>
    </row>
    <row r="10" spans="2:11" ht="15.75" x14ac:dyDescent="0.45">
      <c r="B10" s="46" t="s">
        <v>11</v>
      </c>
      <c r="C10" s="47" t="s">
        <v>28</v>
      </c>
      <c r="D10" s="47" t="s">
        <v>23</v>
      </c>
      <c r="E10" s="47">
        <f>+E9^2/9.806/E7^3</f>
        <v>4.869002268821407</v>
      </c>
      <c r="F10" s="48" t="s">
        <v>6</v>
      </c>
      <c r="G10" s="47">
        <f>+G9^2/9.806/G7^3</f>
        <v>3.1665775653224046</v>
      </c>
      <c r="H10" s="47" t="s">
        <v>6</v>
      </c>
      <c r="I10" s="47">
        <f>+I9^2/9.806/I7^3</f>
        <v>1.967469955193029E-2</v>
      </c>
      <c r="J10" s="49" t="s">
        <v>6</v>
      </c>
    </row>
    <row r="11" spans="2:11" ht="15.75" x14ac:dyDescent="0.45">
      <c r="B11" s="46" t="s">
        <v>12</v>
      </c>
      <c r="C11" s="47" t="s">
        <v>29</v>
      </c>
      <c r="D11" s="47" t="s">
        <v>23</v>
      </c>
      <c r="E11" s="47">
        <f>0.54*E10^0.425*E7</f>
        <v>0.52908537187658522</v>
      </c>
      <c r="F11" s="48" t="s">
        <v>4</v>
      </c>
      <c r="G11" s="47">
        <f>0.54*G10^0.425*G7</f>
        <v>0.44067110000368037</v>
      </c>
      <c r="H11" s="47" t="s">
        <v>4</v>
      </c>
      <c r="I11" s="47">
        <f>0.54*I10^0.425*I7</f>
        <v>5.0848097761595976E-2</v>
      </c>
      <c r="J11" s="49" t="s">
        <v>4</v>
      </c>
    </row>
    <row r="12" spans="2:11" x14ac:dyDescent="0.45">
      <c r="B12" s="46" t="s">
        <v>60</v>
      </c>
      <c r="C12" s="47" t="s">
        <v>61</v>
      </c>
      <c r="D12" s="47" t="s">
        <v>23</v>
      </c>
      <c r="E12" s="47">
        <f>q/(Y.1*SQRT(9.81*Y.1))</f>
        <v>2.0267389048704545</v>
      </c>
      <c r="F12" s="48" t="s">
        <v>62</v>
      </c>
      <c r="G12" s="47">
        <f>G9/(G11*SQRT(9.81*G11))</f>
        <v>2.1502534744288355</v>
      </c>
      <c r="H12" s="47" t="s">
        <v>62</v>
      </c>
      <c r="I12" s="47">
        <f>I9/(I11*SQRT(9.81*I11))</f>
        <v>4.3242265210280619</v>
      </c>
      <c r="J12" s="49" t="s">
        <v>62</v>
      </c>
    </row>
    <row r="13" spans="2:11" ht="15.75" x14ac:dyDescent="0.45">
      <c r="B13" s="46" t="s">
        <v>14</v>
      </c>
      <c r="C13" s="47" t="s">
        <v>30</v>
      </c>
      <c r="D13" s="47" t="s">
        <v>23</v>
      </c>
      <c r="E13" s="47">
        <f>0.5*E11*(SQRT(8*E12^2+1)-1)</f>
        <v>1.2748449263289308</v>
      </c>
      <c r="F13" s="48" t="s">
        <v>4</v>
      </c>
      <c r="G13" s="47">
        <f>0.5*G11*(SQRT(8*G12^2+1)-1)</f>
        <v>1.1377023940891615</v>
      </c>
      <c r="H13" s="47" t="s">
        <v>4</v>
      </c>
      <c r="I13" s="47">
        <f>1.66*I10^0.27*I7</f>
        <v>0.28736460978954398</v>
      </c>
      <c r="J13" s="49" t="s">
        <v>4</v>
      </c>
    </row>
    <row r="14" spans="2:11" ht="15.75" x14ac:dyDescent="0.45">
      <c r="B14" s="46" t="s">
        <v>13</v>
      </c>
      <c r="C14" s="47" t="s">
        <v>31</v>
      </c>
      <c r="D14" s="47" t="s">
        <v>23</v>
      </c>
      <c r="E14" s="47">
        <f>+E10^0.22*E7</f>
        <v>0.70828296924509249</v>
      </c>
      <c r="F14" s="48" t="s">
        <v>4</v>
      </c>
      <c r="G14" s="47">
        <f>+G10^0.22*G7</f>
        <v>0.64431736036795584</v>
      </c>
      <c r="H14" s="47" t="s">
        <v>4</v>
      </c>
      <c r="I14" s="47">
        <f>+I10^0.22*I7</f>
        <v>0.21068314286995413</v>
      </c>
      <c r="J14" s="49" t="s">
        <v>4</v>
      </c>
    </row>
    <row r="15" spans="2:11" ht="15.75" x14ac:dyDescent="0.45">
      <c r="B15" s="46" t="s">
        <v>15</v>
      </c>
      <c r="C15" s="47" t="s">
        <v>32</v>
      </c>
      <c r="D15" s="47" t="s">
        <v>23</v>
      </c>
      <c r="E15" s="47">
        <f>6*(E13-E11)</f>
        <v>4.4745573267140735</v>
      </c>
      <c r="F15" s="48" t="s">
        <v>4</v>
      </c>
      <c r="G15" s="47">
        <f>6*(G13-G11)</f>
        <v>4.1821877645128867</v>
      </c>
      <c r="H15" s="47" t="s">
        <v>4</v>
      </c>
      <c r="I15" s="47">
        <f>6*(I13-I11)</f>
        <v>1.4190990721676879</v>
      </c>
      <c r="J15" s="49" t="s">
        <v>4</v>
      </c>
    </row>
    <row r="16" spans="2:11" ht="15.75" x14ac:dyDescent="0.45">
      <c r="B16" s="46" t="s">
        <v>64</v>
      </c>
      <c r="C16" s="47" t="s">
        <v>33</v>
      </c>
      <c r="D16" s="47" t="s">
        <v>23</v>
      </c>
      <c r="E16" s="47">
        <f>E7*(4.3*E10^0.27)+E15</f>
        <v>7.7710131019088511</v>
      </c>
      <c r="F16" s="48" t="s">
        <v>4</v>
      </c>
      <c r="G16" s="47">
        <f>G7*(4.3*G10^0.27)+G15</f>
        <v>7.1171180866027051</v>
      </c>
      <c r="H16" s="47" t="s">
        <v>4</v>
      </c>
      <c r="I16" s="47">
        <f>I7*(4.3*I10^0.27)+I15</f>
        <v>2.1634772782490366</v>
      </c>
      <c r="J16" s="49" t="s">
        <v>4</v>
      </c>
    </row>
    <row r="17" spans="2:17" x14ac:dyDescent="0.45">
      <c r="B17" s="55" t="s">
        <v>75</v>
      </c>
      <c r="C17" s="56" t="s">
        <v>74</v>
      </c>
      <c r="D17" s="56" t="s">
        <v>23</v>
      </c>
      <c r="E17" s="56">
        <f>(y.2+E25)/2</f>
        <v>1.0610923806164287</v>
      </c>
      <c r="F17" s="57" t="s">
        <v>4</v>
      </c>
      <c r="G17" s="56">
        <f>(G13+G25)/2</f>
        <v>0.93591735492213268</v>
      </c>
      <c r="H17" s="57" t="s">
        <v>4</v>
      </c>
      <c r="I17" s="47"/>
      <c r="J17" s="49"/>
    </row>
    <row r="18" spans="2:17" x14ac:dyDescent="0.45">
      <c r="B18" s="55" t="s">
        <v>16</v>
      </c>
      <c r="C18" s="56" t="s">
        <v>34</v>
      </c>
      <c r="D18" s="56" t="s">
        <v>23</v>
      </c>
      <c r="E18" s="56">
        <f>1/(E17+y.2)*(y.2^2-E17^2-2*Qd^2/(9.81*T)*(1/(T*E17)-1/(T*y.2)))</f>
        <v>0.13144447459373287</v>
      </c>
      <c r="F18" s="57" t="s">
        <v>4</v>
      </c>
      <c r="G18" s="56">
        <f>1/(G17+G13)*(G13^2-G17^2-2*G6^2/(9.81*G8)*(1/(G8*G17)-1/(G8*G13)))</f>
        <v>0.12946699182755517</v>
      </c>
      <c r="H18" s="57" t="s">
        <v>4</v>
      </c>
      <c r="I18" s="56">
        <v>0.35</v>
      </c>
      <c r="J18" s="58" t="s">
        <v>4</v>
      </c>
      <c r="K18" s="2" t="s">
        <v>65</v>
      </c>
    </row>
    <row r="19" spans="2:17" ht="15.75" x14ac:dyDescent="0.45">
      <c r="B19" s="55" t="s">
        <v>17</v>
      </c>
      <c r="C19" s="56" t="s">
        <v>67</v>
      </c>
      <c r="D19" s="56" t="s">
        <v>23</v>
      </c>
      <c r="E19" s="56">
        <v>3.96</v>
      </c>
      <c r="F19" s="57" t="s">
        <v>8</v>
      </c>
      <c r="G19" s="56">
        <v>1.27</v>
      </c>
      <c r="H19" s="57" t="s">
        <v>8</v>
      </c>
      <c r="I19" s="56">
        <v>1.18</v>
      </c>
      <c r="J19" s="58" t="s">
        <v>8</v>
      </c>
      <c r="K19" s="2" t="s">
        <v>65</v>
      </c>
    </row>
    <row r="20" spans="2:17" ht="15.75" x14ac:dyDescent="0.45">
      <c r="B20" s="55" t="s">
        <v>18</v>
      </c>
      <c r="C20" s="56" t="s">
        <v>68</v>
      </c>
      <c r="D20" s="56" t="s">
        <v>23</v>
      </c>
      <c r="E20" s="56">
        <v>1.81</v>
      </c>
      <c r="F20" s="57" t="s">
        <v>4</v>
      </c>
      <c r="G20" s="56">
        <v>1.61</v>
      </c>
      <c r="H20" s="57" t="s">
        <v>4</v>
      </c>
      <c r="I20" s="56">
        <v>0.13</v>
      </c>
      <c r="J20" s="58" t="s">
        <v>4</v>
      </c>
      <c r="K20" s="2" t="s">
        <v>65</v>
      </c>
    </row>
    <row r="21" spans="2:17" ht="15.75" x14ac:dyDescent="0.45">
      <c r="B21" s="46" t="s">
        <v>19</v>
      </c>
      <c r="C21" s="47" t="s">
        <v>35</v>
      </c>
      <c r="D21" s="47" t="s">
        <v>23</v>
      </c>
      <c r="E21" s="47">
        <f>+E19^2/19.62+E20</f>
        <v>2.6092660550458717</v>
      </c>
      <c r="F21" s="48" t="s">
        <v>4</v>
      </c>
      <c r="G21" s="47">
        <f>+G19^2/19.62+G20</f>
        <v>1.6922069317023447</v>
      </c>
      <c r="H21" s="47" t="s">
        <v>4</v>
      </c>
      <c r="I21" s="47">
        <f>+I19^2/19.62+I20</f>
        <v>0.20096839959225279</v>
      </c>
      <c r="J21" s="49" t="s">
        <v>4</v>
      </c>
    </row>
    <row r="22" spans="2:17" ht="15.75" x14ac:dyDescent="0.45">
      <c r="B22" s="46" t="s">
        <v>20</v>
      </c>
      <c r="C22" s="47" t="s">
        <v>36</v>
      </c>
      <c r="D22" s="47" t="s">
        <v>23</v>
      </c>
      <c r="E22" s="47">
        <f>E6/E8/E11</f>
        <v>4.6173754026228755</v>
      </c>
      <c r="F22" s="48" t="s">
        <v>8</v>
      </c>
      <c r="G22" s="47">
        <f>G6/G8/G11</f>
        <v>4.4707609260482046</v>
      </c>
      <c r="H22" s="48" t="s">
        <v>8</v>
      </c>
      <c r="I22" s="47">
        <f>I6/I8/I11</f>
        <v>3.0540791983047941</v>
      </c>
      <c r="J22" s="48" t="s">
        <v>8</v>
      </c>
    </row>
    <row r="23" spans="2:17" ht="15.75" x14ac:dyDescent="0.45">
      <c r="B23" s="46" t="s">
        <v>21</v>
      </c>
      <c r="C23" s="47" t="s">
        <v>37</v>
      </c>
      <c r="D23" s="47" t="s">
        <v>23</v>
      </c>
      <c r="E23" s="47">
        <f>+Y.1+v.1^2/19.62</f>
        <v>1.6157395823121998</v>
      </c>
      <c r="F23" s="48" t="s">
        <v>4</v>
      </c>
      <c r="G23" s="47">
        <f>+G11+G22^2/19.62</f>
        <v>1.4594123465826505</v>
      </c>
      <c r="H23" s="48" t="s">
        <v>4</v>
      </c>
      <c r="I23" s="47">
        <f>+I11+I22^2/19.62</f>
        <v>0.52625073535171085</v>
      </c>
      <c r="J23" s="48" t="s">
        <v>4</v>
      </c>
    </row>
    <row r="24" spans="2:17" x14ac:dyDescent="0.45">
      <c r="B24" s="50" t="s">
        <v>22</v>
      </c>
      <c r="C24" s="51" t="s">
        <v>38</v>
      </c>
      <c r="D24" s="51" t="s">
        <v>23</v>
      </c>
      <c r="E24" s="51">
        <f>+E21+E7-E23</f>
        <v>1.4935264727336719</v>
      </c>
      <c r="F24" s="52" t="s">
        <v>4</v>
      </c>
      <c r="G24" s="51">
        <f>+G21+G7-G23</f>
        <v>0.7327945851196942</v>
      </c>
      <c r="H24" s="52" t="s">
        <v>4</v>
      </c>
      <c r="I24" s="51">
        <f>+I21+I7-I23</f>
        <v>0.17471766424054191</v>
      </c>
      <c r="J24" s="52" t="s">
        <v>4</v>
      </c>
    </row>
    <row r="25" spans="2:17" x14ac:dyDescent="0.45">
      <c r="B25" s="12" t="s">
        <v>43</v>
      </c>
      <c r="C25" s="4" t="s">
        <v>63</v>
      </c>
      <c r="E25" s="2">
        <f>(q^2/9.81)^(1/3)</f>
        <v>0.84733983490392661</v>
      </c>
      <c r="G25" s="2">
        <f>(G9^2/9.81)^(1/3)</f>
        <v>0.73413231575510374</v>
      </c>
    </row>
    <row r="26" spans="2:17" ht="14.45" customHeight="1" x14ac:dyDescent="0.45">
      <c r="C26" s="2" t="s">
        <v>59</v>
      </c>
      <c r="D26" s="2">
        <v>2</v>
      </c>
      <c r="H26" s="2" t="s">
        <v>55</v>
      </c>
      <c r="I26" s="2">
        <v>8</v>
      </c>
    </row>
    <row r="27" spans="2:17" x14ac:dyDescent="0.45">
      <c r="B27" s="2" t="s">
        <v>48</v>
      </c>
      <c r="C27" s="22" t="s">
        <v>46</v>
      </c>
      <c r="D27" s="24" t="s">
        <v>54</v>
      </c>
      <c r="E27" s="24" t="s">
        <v>47</v>
      </c>
      <c r="F27" s="22" t="s">
        <v>46</v>
      </c>
      <c r="G27" s="23" t="s">
        <v>54</v>
      </c>
      <c r="H27" s="29" t="s">
        <v>49</v>
      </c>
      <c r="I27" s="23"/>
      <c r="J27" s="22" t="s">
        <v>56</v>
      </c>
      <c r="K27" s="23"/>
      <c r="L27" s="22" t="s">
        <v>34</v>
      </c>
      <c r="M27" s="23"/>
      <c r="N27" s="22" t="s">
        <v>51</v>
      </c>
      <c r="O27" s="23"/>
      <c r="P27" s="22" t="s">
        <v>26</v>
      </c>
      <c r="Q27" s="23"/>
    </row>
    <row r="28" spans="2:17" x14ac:dyDescent="0.45">
      <c r="B28" s="2" t="s">
        <v>50</v>
      </c>
      <c r="C28" s="9">
        <v>0</v>
      </c>
      <c r="D28" s="17">
        <f>D26</f>
        <v>2</v>
      </c>
      <c r="E28" s="20">
        <f>D28+1.05*E13</f>
        <v>3.3385871726453775</v>
      </c>
      <c r="F28" s="9">
        <f>C28</f>
        <v>0</v>
      </c>
      <c r="G28" s="5">
        <f>D30+I26/100+E18</f>
        <v>2.2114444745937329</v>
      </c>
      <c r="H28" s="15">
        <f>C29</f>
        <v>1.1656519652863275</v>
      </c>
      <c r="I28" s="25">
        <f>D29+I26/100</f>
        <v>2.08</v>
      </c>
      <c r="J28" s="15">
        <f>C30</f>
        <v>2.3313039305726551</v>
      </c>
      <c r="K28" s="16">
        <f>D26-0.7</f>
        <v>1.3</v>
      </c>
      <c r="L28" s="15">
        <f>C30+0.4</f>
        <v>2.731303930572655</v>
      </c>
      <c r="M28" s="25">
        <f>I28</f>
        <v>2.08</v>
      </c>
      <c r="N28" s="26">
        <f>C31</f>
        <v>6.805861257286729</v>
      </c>
      <c r="O28" s="25">
        <f>I28</f>
        <v>2.08</v>
      </c>
      <c r="P28" s="15">
        <f>C32*0.95</f>
        <v>9.5972011808574305</v>
      </c>
      <c r="Q28" s="25">
        <f>I28</f>
        <v>2.08</v>
      </c>
    </row>
    <row r="29" spans="2:17" x14ac:dyDescent="0.45">
      <c r="B29" s="2" t="s">
        <v>49</v>
      </c>
      <c r="C29" s="9">
        <f>0.15*E16</f>
        <v>1.1656519652863275</v>
      </c>
      <c r="D29" s="17">
        <f>D26</f>
        <v>2</v>
      </c>
      <c r="E29" s="20">
        <f>D29+E13</f>
        <v>3.2748449263289308</v>
      </c>
      <c r="F29" s="9">
        <f>F28+0.1*LB</f>
        <v>0.77710131019088513</v>
      </c>
      <c r="G29" s="5">
        <f>G28</f>
        <v>2.2114444745937329</v>
      </c>
      <c r="H29" s="9">
        <f>H28</f>
        <v>1.1656519652863275</v>
      </c>
      <c r="I29" s="28">
        <f>(I28+I30)/2</f>
        <v>2.6774224631644654</v>
      </c>
      <c r="J29" s="9">
        <f>J28</f>
        <v>2.3313039305726551</v>
      </c>
      <c r="K29" s="28">
        <f>(K28+K30)/2</f>
        <v>1.7557222372968666</v>
      </c>
      <c r="L29" s="9">
        <f>L28</f>
        <v>2.731303930572655</v>
      </c>
      <c r="M29" s="28">
        <f>(M28+M30)/2</f>
        <v>2.1457222372968667</v>
      </c>
      <c r="N29" s="6">
        <f>N28</f>
        <v>6.805861257286729</v>
      </c>
      <c r="O29" s="28">
        <f>(O28+O30)/2</f>
        <v>2.3045426859382925</v>
      </c>
      <c r="P29" s="9">
        <f>P28</f>
        <v>9.5972011808574305</v>
      </c>
      <c r="Q29" s="28">
        <f>(Q28+Q30)/2</f>
        <v>2.33</v>
      </c>
    </row>
    <row r="30" spans="2:17" x14ac:dyDescent="0.45">
      <c r="B30" s="2" t="s">
        <v>45</v>
      </c>
      <c r="C30" s="9">
        <f>0.3*E16</f>
        <v>2.3313039305726551</v>
      </c>
      <c r="D30" s="17">
        <f>D26</f>
        <v>2</v>
      </c>
      <c r="E30" s="20">
        <f>D30+0.9*E13</f>
        <v>3.1473604336960377</v>
      </c>
      <c r="F30" s="9">
        <f>F29</f>
        <v>0.77710131019088513</v>
      </c>
      <c r="G30" s="5">
        <f>D26</f>
        <v>2</v>
      </c>
      <c r="H30" s="10">
        <f>H28</f>
        <v>1.1656519652863275</v>
      </c>
      <c r="I30" s="19">
        <f>E29</f>
        <v>3.2748449263289308</v>
      </c>
      <c r="J30" s="10">
        <f>J28</f>
        <v>2.3313039305726551</v>
      </c>
      <c r="K30" s="8">
        <f>D30+I26/100+E18</f>
        <v>2.2114444745937329</v>
      </c>
      <c r="L30" s="10">
        <f>L28</f>
        <v>2.731303930572655</v>
      </c>
      <c r="M30" s="8">
        <f>K30</f>
        <v>2.2114444745937329</v>
      </c>
      <c r="N30" s="7">
        <f>N28</f>
        <v>6.805861257286729</v>
      </c>
      <c r="O30" s="19">
        <f>E31</f>
        <v>2.5290853718765853</v>
      </c>
      <c r="P30" s="10">
        <f>P28</f>
        <v>9.5972011808574305</v>
      </c>
      <c r="Q30" s="8">
        <f>D26+hc+I26/100</f>
        <v>2.58</v>
      </c>
    </row>
    <row r="31" spans="2:17" x14ac:dyDescent="0.45">
      <c r="B31" s="2" t="s">
        <v>51</v>
      </c>
      <c r="C31" s="6">
        <f>+C30+E15</f>
        <v>6.805861257286729</v>
      </c>
      <c r="D31" s="17">
        <f>D26</f>
        <v>2</v>
      </c>
      <c r="E31" s="20">
        <f>D31+E11</f>
        <v>2.5290853718765853</v>
      </c>
      <c r="F31" s="9">
        <f>C30</f>
        <v>2.3313039305726551</v>
      </c>
      <c r="G31" s="5">
        <f>D26</f>
        <v>2</v>
      </c>
      <c r="H31" s="22" t="s">
        <v>52</v>
      </c>
      <c r="I31" s="23"/>
      <c r="J31" s="22" t="s">
        <v>25</v>
      </c>
      <c r="K31" s="23"/>
      <c r="L31" s="22" t="s">
        <v>57</v>
      </c>
      <c r="M31" s="23"/>
      <c r="N31" s="15" t="s">
        <v>58</v>
      </c>
      <c r="O31" s="16"/>
    </row>
    <row r="32" spans="2:17" x14ac:dyDescent="0.45">
      <c r="B32" s="2" t="s">
        <v>52</v>
      </c>
      <c r="C32" s="6">
        <f>+C30+E16</f>
        <v>10.102317032481507</v>
      </c>
      <c r="D32" s="17">
        <f>D26+hc</f>
        <v>2.5</v>
      </c>
      <c r="E32" s="20">
        <f>D32+E20</f>
        <v>4.3100000000000005</v>
      </c>
      <c r="F32" s="9">
        <f>C31</f>
        <v>6.805861257286729</v>
      </c>
      <c r="G32" s="5">
        <f>D26</f>
        <v>2</v>
      </c>
      <c r="H32" s="15">
        <f>C32-I26/100</f>
        <v>10.022317032481507</v>
      </c>
      <c r="I32" s="16">
        <f>D32+I26/100</f>
        <v>2.58</v>
      </c>
      <c r="J32" s="26">
        <f>C33-0.5*(C33-C32)</f>
        <v>12.43362096305416</v>
      </c>
      <c r="K32" s="25">
        <f>D32+1</f>
        <v>3.5</v>
      </c>
      <c r="L32" s="15">
        <f>C29+I26/100</f>
        <v>1.2456519652863276</v>
      </c>
      <c r="M32" s="31">
        <f>E29+0.3</f>
        <v>3.5748449263289306</v>
      </c>
      <c r="N32" s="15">
        <f>C29+I26/100</f>
        <v>1.2456519652863276</v>
      </c>
      <c r="O32" s="16">
        <f>D26-0.5</f>
        <v>1.5</v>
      </c>
    </row>
    <row r="33" spans="2:16" x14ac:dyDescent="0.45">
      <c r="B33" s="2" t="s">
        <v>53</v>
      </c>
      <c r="C33" s="10">
        <f>+C32+0.6*E16</f>
        <v>14.764924893626816</v>
      </c>
      <c r="D33" s="18">
        <f>D26+hc</f>
        <v>2.5</v>
      </c>
      <c r="E33" s="21">
        <f>D33+E20*1.15</f>
        <v>4.5815000000000001</v>
      </c>
      <c r="F33" s="9">
        <f>C32</f>
        <v>10.102317032481507</v>
      </c>
      <c r="G33" s="28">
        <f>D26</f>
        <v>2</v>
      </c>
      <c r="H33" s="9">
        <f>H32</f>
        <v>10.022317032481507</v>
      </c>
      <c r="I33" s="28">
        <f>(I32+I34)/2</f>
        <v>3.4450000000000003</v>
      </c>
      <c r="J33" s="28">
        <f>(J32+J34)/2</f>
        <v>13.133012142225958</v>
      </c>
      <c r="K33" s="28">
        <f>K32</f>
        <v>3.5</v>
      </c>
      <c r="L33" s="28">
        <f>(L32+L34)/2</f>
        <v>4.0257566112865284</v>
      </c>
      <c r="M33" s="20">
        <f>M32</f>
        <v>3.5748449263289306</v>
      </c>
      <c r="N33" s="6">
        <f>(N32+N34)/2</f>
        <v>5.6339844988839172</v>
      </c>
      <c r="O33" s="5">
        <f>D26-0.5</f>
        <v>1.5</v>
      </c>
    </row>
    <row r="34" spans="2:16" x14ac:dyDescent="0.45">
      <c r="C34" s="13">
        <f>C32</f>
        <v>10.102317032481507</v>
      </c>
      <c r="D34" s="14">
        <v>1</v>
      </c>
      <c r="F34" s="9">
        <f>F33</f>
        <v>10.102317032481507</v>
      </c>
      <c r="G34" s="28">
        <f>D32</f>
        <v>2.5</v>
      </c>
      <c r="H34" s="10">
        <f>H32</f>
        <v>10.022317032481507</v>
      </c>
      <c r="I34" s="19">
        <f>E32</f>
        <v>4.3100000000000005</v>
      </c>
      <c r="J34" s="7">
        <f>C33-0.2*(C33-C32)</f>
        <v>13.832403321397754</v>
      </c>
      <c r="K34" s="27">
        <f>K32</f>
        <v>3.5</v>
      </c>
      <c r="L34" s="7">
        <f>C31</f>
        <v>6.805861257286729</v>
      </c>
      <c r="M34" s="21">
        <f>M33</f>
        <v>3.5748449263289306</v>
      </c>
      <c r="N34" s="10">
        <f>C32-I26/100</f>
        <v>10.022317032481507</v>
      </c>
      <c r="O34" s="8">
        <f>D26-0.5</f>
        <v>1.5</v>
      </c>
    </row>
    <row r="35" spans="2:16" x14ac:dyDescent="0.45">
      <c r="C35" s="13"/>
      <c r="D35" s="14"/>
      <c r="F35" s="10">
        <f>C33</f>
        <v>14.764924893626816</v>
      </c>
      <c r="G35" s="27">
        <f>D33</f>
        <v>2.5</v>
      </c>
      <c r="H35" s="22">
        <v>2</v>
      </c>
      <c r="I35" s="32"/>
      <c r="J35" s="35">
        <v>1</v>
      </c>
      <c r="K35" s="33"/>
      <c r="L35" s="35">
        <v>0</v>
      </c>
      <c r="M35" s="32"/>
      <c r="N35" s="30"/>
      <c r="O35" s="30"/>
      <c r="P35" s="2">
        <f>Y1</f>
        <v>0</v>
      </c>
    </row>
    <row r="36" spans="2:16" x14ac:dyDescent="0.45">
      <c r="C36" s="13"/>
      <c r="D36" s="14"/>
      <c r="F36" s="30"/>
      <c r="G36" s="17"/>
      <c r="H36" s="15">
        <f>C29</f>
        <v>1.1656519652863275</v>
      </c>
      <c r="I36" s="34">
        <f>D26-8/100</f>
        <v>1.92</v>
      </c>
      <c r="J36" s="26">
        <f>C31</f>
        <v>6.805861257286729</v>
      </c>
      <c r="K36" s="25">
        <f>I36</f>
        <v>1.92</v>
      </c>
      <c r="L36" s="26">
        <f>H32</f>
        <v>10.022317032481507</v>
      </c>
      <c r="M36" s="34">
        <f>I36</f>
        <v>1.92</v>
      </c>
      <c r="N36" s="30"/>
      <c r="O36" s="30"/>
      <c r="P36" s="2">
        <f>2^2*2</f>
        <v>8</v>
      </c>
    </row>
    <row r="37" spans="2:16" ht="14.65" thickBot="1" x14ac:dyDescent="0.5">
      <c r="C37" s="13"/>
      <c r="D37" s="14"/>
      <c r="F37" s="30"/>
      <c r="G37" s="17"/>
      <c r="H37" s="10">
        <f>H36</f>
        <v>1.1656519652863275</v>
      </c>
      <c r="I37" s="19">
        <f>D26-1.5</f>
        <v>0.5</v>
      </c>
      <c r="J37" s="7">
        <f>J36</f>
        <v>6.805861257286729</v>
      </c>
      <c r="K37" s="27">
        <f>I37</f>
        <v>0.5</v>
      </c>
      <c r="L37" s="7">
        <f>L36</f>
        <v>10.022317032481507</v>
      </c>
      <c r="M37" s="19">
        <f>I37</f>
        <v>0.5</v>
      </c>
      <c r="N37" s="30"/>
      <c r="O37" s="30"/>
    </row>
    <row r="38" spans="2:16" x14ac:dyDescent="0.45">
      <c r="C38" s="68" t="s">
        <v>69</v>
      </c>
      <c r="D38" s="70">
        <v>1.2749999999999999</v>
      </c>
      <c r="E38" s="72">
        <f>D38-0.05</f>
        <v>1.2249999999999999</v>
      </c>
      <c r="F38" s="72">
        <f t="shared" ref="F38:O38" si="0">E38-0.05</f>
        <v>1.1749999999999998</v>
      </c>
      <c r="G38" s="72">
        <f t="shared" si="0"/>
        <v>1.1249999999999998</v>
      </c>
      <c r="H38" s="72">
        <f t="shared" si="0"/>
        <v>1.0749999999999997</v>
      </c>
      <c r="I38" s="72">
        <f t="shared" si="0"/>
        <v>1.0249999999999997</v>
      </c>
      <c r="J38" s="72">
        <f t="shared" si="0"/>
        <v>0.97499999999999964</v>
      </c>
      <c r="K38" s="72">
        <f t="shared" si="0"/>
        <v>0.9249999999999996</v>
      </c>
      <c r="L38" s="72">
        <f t="shared" si="0"/>
        <v>0.87499999999999956</v>
      </c>
      <c r="M38" s="72">
        <f t="shared" si="0"/>
        <v>0.82499999999999951</v>
      </c>
      <c r="N38" s="72">
        <f t="shared" si="0"/>
        <v>0.77499999999999947</v>
      </c>
      <c r="O38" s="70">
        <f t="shared" si="0"/>
        <v>0.72499999999999942</v>
      </c>
    </row>
    <row r="39" spans="2:16" ht="14.65" thickBot="1" x14ac:dyDescent="0.5">
      <c r="C39" s="69"/>
      <c r="D39" s="71"/>
      <c r="E39" s="73"/>
      <c r="F39" s="73"/>
      <c r="G39" s="73"/>
      <c r="H39" s="73"/>
      <c r="I39" s="73"/>
      <c r="J39" s="73"/>
      <c r="K39" s="73"/>
      <c r="L39" s="73"/>
      <c r="M39" s="73"/>
      <c r="N39" s="73"/>
      <c r="O39" s="71"/>
    </row>
    <row r="40" spans="2:16" x14ac:dyDescent="0.45">
      <c r="C40" s="66" t="s">
        <v>71</v>
      </c>
      <c r="D40" s="60">
        <f t="shared" ref="D40:O40" si="1">(0.5*y.2^2*T-0.5*D38^2*T-Qd^2/9.81*(1/(D38*T)-1/(y.2*T)))*(2/(2*D38+((y.2+1.1*Qd^2/(19.62*(T*y.2)^2))-(D38+1.1*Qd^2/(19.62*(T*D38)^2)))))/T</f>
        <v>-1.0954550622230745E-4</v>
      </c>
      <c r="E40" s="60">
        <f t="shared" si="1"/>
        <v>3.4545957192511439E-2</v>
      </c>
      <c r="F40" s="60">
        <f t="shared" si="1"/>
        <v>6.7748536362970915E-2</v>
      </c>
      <c r="G40" s="60">
        <f t="shared" si="1"/>
        <v>9.9292588692189959E-2</v>
      </c>
      <c r="H40" s="60">
        <f t="shared" si="1"/>
        <v>0.12892759358248607</v>
      </c>
      <c r="I40" s="60">
        <f t="shared" si="1"/>
        <v>0.15634306199217843</v>
      </c>
      <c r="J40" s="60">
        <f t="shared" si="1"/>
        <v>0.18114615599682576</v>
      </c>
      <c r="K40" s="60">
        <f t="shared" si="1"/>
        <v>0.20282711745209867</v>
      </c>
      <c r="L40" s="60">
        <f t="shared" si="1"/>
        <v>0.22070344048966953</v>
      </c>
      <c r="M40" s="60">
        <f t="shared" si="1"/>
        <v>0.23382487670337401</v>
      </c>
      <c r="N40" s="60">
        <f t="shared" si="1"/>
        <v>0.24080135255133886</v>
      </c>
      <c r="O40" s="60">
        <f t="shared" si="1"/>
        <v>0.23946644451435739</v>
      </c>
    </row>
    <row r="41" spans="2:16" ht="14.65" thickBot="1" x14ac:dyDescent="0.5">
      <c r="C41" s="67"/>
      <c r="D41" s="61"/>
      <c r="E41" s="61"/>
      <c r="F41" s="61"/>
      <c r="G41" s="61"/>
      <c r="H41" s="61"/>
      <c r="I41" s="61"/>
      <c r="J41" s="61"/>
      <c r="K41" s="61"/>
      <c r="L41" s="61"/>
      <c r="M41" s="61"/>
      <c r="N41" s="61"/>
      <c r="O41" s="61"/>
    </row>
    <row r="42" spans="2:16" x14ac:dyDescent="0.45">
      <c r="C42" s="66" t="s">
        <v>72</v>
      </c>
      <c r="D42" s="62">
        <f t="shared" ref="D42:O42" si="2">(y.2+1.1*Qd^2/(19.62*(T*y.2)^2))-(D38+1.1*Qd^2/(19.62*(T*D38)^2))</f>
        <v>-1.0499505615735316E-4</v>
      </c>
      <c r="E42" s="62">
        <f t="shared" si="2"/>
        <v>3.2749391543700934E-2</v>
      </c>
      <c r="F42" s="62">
        <f t="shared" si="2"/>
        <v>6.336871665206778E-2</v>
      </c>
      <c r="G42" s="62">
        <f t="shared" si="2"/>
        <v>9.1346926332301015E-2</v>
      </c>
      <c r="H42" s="62">
        <f t="shared" si="2"/>
        <v>0.11618138524169908</v>
      </c>
      <c r="I42" s="62">
        <f t="shared" si="2"/>
        <v>0.13724393905496379</v>
      </c>
      <c r="J42" s="62">
        <f t="shared" si="2"/>
        <v>0.15374133237435061</v>
      </c>
      <c r="K42" s="62">
        <f t="shared" si="2"/>
        <v>0.16466026024973024</v>
      </c>
      <c r="L42" s="62">
        <f t="shared" si="2"/>
        <v>0.16868983736561161</v>
      </c>
      <c r="M42" s="62">
        <f t="shared" si="2"/>
        <v>0.16411022039886891</v>
      </c>
      <c r="N42" s="62">
        <f t="shared" si="2"/>
        <v>0.14862937981931568</v>
      </c>
      <c r="O42" s="62">
        <f t="shared" si="2"/>
        <v>0.11913848127093551</v>
      </c>
    </row>
    <row r="43" spans="2:16" ht="14.65" thickBot="1" x14ac:dyDescent="0.5">
      <c r="C43" s="67"/>
      <c r="D43" s="61"/>
      <c r="E43" s="61"/>
      <c r="F43" s="61"/>
      <c r="G43" s="61"/>
      <c r="H43" s="61"/>
      <c r="I43" s="61"/>
      <c r="J43" s="61"/>
      <c r="K43" s="61"/>
      <c r="L43" s="61"/>
      <c r="M43" s="61"/>
      <c r="N43" s="61"/>
      <c r="O43" s="61"/>
    </row>
    <row r="44" spans="2:16" x14ac:dyDescent="0.45">
      <c r="C44" s="66" t="s">
        <v>73</v>
      </c>
      <c r="D44" s="62">
        <f t="shared" ref="D44:O44" si="3">1/(D38+y.2)*(y.2^2*T-D38^2*T-2*Qd^2/9.81*(1/(D38*T)-1/(y.2*T)))/T</f>
        <v>-1.0954765768146671E-4</v>
      </c>
      <c r="E44" s="62">
        <f t="shared" si="3"/>
        <v>3.4309709893067586E-2</v>
      </c>
      <c r="F44" s="62">
        <f t="shared" si="3"/>
        <v>6.673981544716201E-2</v>
      </c>
      <c r="G44" s="62">
        <f t="shared" si="3"/>
        <v>9.6872258199475023E-2</v>
      </c>
      <c r="H44" s="62">
        <f t="shared" si="3"/>
        <v>0.12433727406730953</v>
      </c>
      <c r="I44" s="62">
        <f t="shared" si="3"/>
        <v>0.14868846627043344</v>
      </c>
      <c r="J44" s="62">
        <f t="shared" si="3"/>
        <v>0.16938263215903929</v>
      </c>
      <c r="K44" s="62">
        <f t="shared" si="3"/>
        <v>0.18575297210320166</v>
      </c>
      <c r="L44" s="62">
        <f t="shared" si="3"/>
        <v>0.19697302031093769</v>
      </c>
      <c r="M44" s="62">
        <f t="shared" si="3"/>
        <v>0.20200734506270376</v>
      </c>
      <c r="N44" s="62">
        <f t="shared" si="3"/>
        <v>0.19954302244534625</v>
      </c>
      <c r="O44" s="62">
        <f t="shared" si="3"/>
        <v>0.18789257512600041</v>
      </c>
    </row>
    <row r="45" spans="2:16" ht="14.65" thickBot="1" x14ac:dyDescent="0.5">
      <c r="C45" s="67"/>
      <c r="D45" s="61"/>
      <c r="E45" s="61"/>
      <c r="F45" s="61"/>
      <c r="G45" s="61"/>
      <c r="H45" s="61"/>
      <c r="I45" s="61"/>
      <c r="J45" s="61"/>
      <c r="K45" s="61"/>
      <c r="L45" s="61"/>
      <c r="M45" s="61"/>
      <c r="N45" s="61"/>
      <c r="O45" s="61"/>
    </row>
    <row r="46" spans="2:16" ht="14.65" thickBot="1" x14ac:dyDescent="0.5"/>
    <row r="47" spans="2:16" x14ac:dyDescent="0.45">
      <c r="C47" s="74" t="s">
        <v>74</v>
      </c>
      <c r="D47" s="90">
        <v>1.1379999999999999</v>
      </c>
      <c r="E47" s="90">
        <f>D47-0.05</f>
        <v>1.0879999999999999</v>
      </c>
      <c r="F47" s="90">
        <f t="shared" ref="F47:O47" si="4">E47-0.05</f>
        <v>1.0379999999999998</v>
      </c>
      <c r="G47" s="90">
        <f t="shared" si="4"/>
        <v>0.98799999999999977</v>
      </c>
      <c r="H47" s="92">
        <v>0.93</v>
      </c>
      <c r="I47" s="90">
        <f t="shared" si="4"/>
        <v>0.88</v>
      </c>
      <c r="J47" s="90">
        <f t="shared" si="4"/>
        <v>0.83</v>
      </c>
      <c r="K47" s="90">
        <f t="shared" si="4"/>
        <v>0.77999999999999992</v>
      </c>
      <c r="L47" s="90">
        <f t="shared" si="4"/>
        <v>0.72999999999999987</v>
      </c>
      <c r="M47" s="90">
        <f t="shared" si="4"/>
        <v>0.67999999999999983</v>
      </c>
      <c r="N47" s="90">
        <f t="shared" si="4"/>
        <v>0.62999999999999978</v>
      </c>
      <c r="O47" s="90">
        <f t="shared" si="4"/>
        <v>0.57999999999999974</v>
      </c>
    </row>
    <row r="48" spans="2:16" ht="14.65" thickBot="1" x14ac:dyDescent="0.5">
      <c r="C48" s="75"/>
      <c r="D48" s="91"/>
      <c r="E48" s="91"/>
      <c r="F48" s="91"/>
      <c r="G48" s="91"/>
      <c r="H48" s="93"/>
      <c r="I48" s="91"/>
      <c r="J48" s="91"/>
      <c r="K48" s="91"/>
      <c r="L48" s="91"/>
      <c r="M48" s="91"/>
      <c r="N48" s="91"/>
      <c r="O48" s="91"/>
    </row>
    <row r="49" spans="3:15" x14ac:dyDescent="0.45">
      <c r="C49" s="78" t="s">
        <v>71</v>
      </c>
      <c r="D49" s="80">
        <f>(0.5*$G$13^2*$G$8-0.5*D47^2*$G$8-$G$6^2/9.81*(1/(D47*$G$8)-1/($G$13*$G$8)))*(2/(2*D47+(($G$13+1.1*$G$6^2/(19.62*($G$8*$G$13)^2))-(D47+1.1*$G$6^2/(19.62*($G$8*D47)^2)))))/$G$8</f>
        <v>-2.1766780300121815E-4</v>
      </c>
      <c r="E49" s="80">
        <f t="shared" ref="E49:O49" si="5">(0.5*$G$13^2*$G$8-0.5*E47^2*$G$8-$G$6^2/9.81*(1/(E47*$G$8)-1/($G$13*$G$8)))*(2/(2*E47+(($G$13+1.1*$G$6^2/(19.62*($G$8*$G$13)^2))-(E47+1.1*$G$6^2/(19.62*($G$8*E47)^2)))))/$G$8</f>
        <v>3.5678278393756743E-2</v>
      </c>
      <c r="F49" s="80">
        <f t="shared" si="5"/>
        <v>7.0086060353852009E-2</v>
      </c>
      <c r="G49" s="80">
        <f t="shared" si="5"/>
        <v>0.10277373409234419</v>
      </c>
      <c r="H49" s="81">
        <f t="shared" si="5"/>
        <v>0.13815343218642048</v>
      </c>
      <c r="I49" s="80">
        <f t="shared" si="5"/>
        <v>0.16604286180530808</v>
      </c>
      <c r="J49" s="80">
        <f t="shared" si="5"/>
        <v>0.19100119169336222</v>
      </c>
      <c r="K49" s="80">
        <f t="shared" si="5"/>
        <v>0.21236388569848746</v>
      </c>
      <c r="L49" s="80">
        <f t="shared" si="5"/>
        <v>0.22919524458709717</v>
      </c>
      <c r="M49" s="80">
        <f t="shared" si="5"/>
        <v>0.24010033460134847</v>
      </c>
      <c r="N49" s="80">
        <f t="shared" si="5"/>
        <v>0.2428351905893861</v>
      </c>
      <c r="O49" s="80">
        <f t="shared" si="5"/>
        <v>0.23339584671570737</v>
      </c>
    </row>
    <row r="50" spans="3:15" ht="14.65" thickBot="1" x14ac:dyDescent="0.5">
      <c r="C50" s="79"/>
      <c r="D50" s="77"/>
      <c r="E50" s="77"/>
      <c r="F50" s="77"/>
      <c r="G50" s="77"/>
      <c r="H50" s="82"/>
      <c r="I50" s="77"/>
      <c r="J50" s="77"/>
      <c r="K50" s="77"/>
      <c r="L50" s="77"/>
      <c r="M50" s="77"/>
      <c r="N50" s="77"/>
      <c r="O50" s="77"/>
    </row>
    <row r="51" spans="3:15" x14ac:dyDescent="0.45">
      <c r="C51" s="78" t="s">
        <v>72</v>
      </c>
      <c r="D51" s="76">
        <f>($G$13+1.1*$G$6^2/(19.62*($G$8*$G$13)^2))-(D47+1.1*$G$6^2/(19.62*($G$8*D47)^2))</f>
        <v>-2.0968324136427796E-4</v>
      </c>
      <c r="E51" s="76">
        <f t="shared" ref="E51:O51" si="6">($G$13+1.1*$G$6^2/(19.62*($G$8*$G$13)^2))-(E47+1.1*$G$6^2/(19.62*($G$8*E47)^2))</f>
        <v>3.399099062271782E-2</v>
      </c>
      <c r="F51" s="76">
        <f t="shared" si="6"/>
        <v>6.5853947676972613E-2</v>
      </c>
      <c r="G51" s="76">
        <f t="shared" si="6"/>
        <v>9.4894175211729825E-2</v>
      </c>
      <c r="H51" s="87">
        <f>($G$13+1.1*$G$6^2/(19.62*($G$8*$G$13)^2))-(H47+1.1*$G$6^2/(19.62*($G$8*H47)^2))</f>
        <v>0.12422055525973974</v>
      </c>
      <c r="I51" s="76">
        <f t="shared" si="6"/>
        <v>0.14481678286417554</v>
      </c>
      <c r="J51" s="76">
        <f t="shared" si="6"/>
        <v>0.15994049125522936</v>
      </c>
      <c r="K51" s="76">
        <f t="shared" si="6"/>
        <v>0.16814434840775672</v>
      </c>
      <c r="L51" s="76">
        <f t="shared" si="6"/>
        <v>0.16746888363046031</v>
      </c>
      <c r="M51" s="76">
        <f t="shared" si="6"/>
        <v>0.15520857260360499</v>
      </c>
      <c r="N51" s="76">
        <f t="shared" si="6"/>
        <v>0.12754308195259045</v>
      </c>
      <c r="O51" s="76">
        <f t="shared" si="6"/>
        <v>7.8936931783295972E-2</v>
      </c>
    </row>
    <row r="52" spans="3:15" ht="14.65" thickBot="1" x14ac:dyDescent="0.5">
      <c r="C52" s="79"/>
      <c r="D52" s="77"/>
      <c r="E52" s="77"/>
      <c r="F52" s="77"/>
      <c r="G52" s="77"/>
      <c r="H52" s="82"/>
      <c r="I52" s="77"/>
      <c r="J52" s="77"/>
      <c r="K52" s="77"/>
      <c r="L52" s="77"/>
      <c r="M52" s="77"/>
      <c r="N52" s="77"/>
      <c r="O52" s="77"/>
    </row>
    <row r="53" spans="3:15" x14ac:dyDescent="0.45">
      <c r="C53" s="85" t="s">
        <v>73</v>
      </c>
      <c r="D53" s="87">
        <f>1/(D47+$G$13)*($G$13^2*$G$8-D47^2*$G$8-2*$G$6^2/9.81*(1/(D47*$G$8)-1/($G$13*$G$8)))/$G$8</f>
        <v>-2.1767621268358619E-4</v>
      </c>
      <c r="E53" s="87">
        <f t="shared" ref="E53:O53" si="7">1/(E47+$G$13)*($G$13^2*$G$8-E47^2*$G$8-2*$G$6^2/9.81*(1/(E47*$G$8)-1/($G$13*$G$8)))/$G$8</f>
        <v>3.5426422697181548E-2</v>
      </c>
      <c r="F53" s="87">
        <f t="shared" si="7"/>
        <v>6.8995697873866793E-2</v>
      </c>
      <c r="G53" s="87">
        <f t="shared" si="7"/>
        <v>0.10012385924220188</v>
      </c>
      <c r="H53" s="88">
        <f t="shared" si="7"/>
        <v>0.13257559729466437</v>
      </c>
      <c r="I53" s="87">
        <f t="shared" si="7"/>
        <v>0.15675316179833576</v>
      </c>
      <c r="J53" s="87">
        <f t="shared" si="7"/>
        <v>0.17665822010734455</v>
      </c>
      <c r="K53" s="87">
        <f t="shared" si="7"/>
        <v>0.19137247260415571</v>
      </c>
      <c r="L53" s="87">
        <f t="shared" si="7"/>
        <v>0.19971497066237978</v>
      </c>
      <c r="M53" s="87">
        <f t="shared" si="7"/>
        <v>0.20014392150000765</v>
      </c>
      <c r="N53" s="87">
        <f t="shared" si="7"/>
        <v>0.19061143430229818</v>
      </c>
      <c r="O53" s="87">
        <f t="shared" si="7"/>
        <v>0.16834274389787757</v>
      </c>
    </row>
    <row r="54" spans="3:15" ht="14.65" thickBot="1" x14ac:dyDescent="0.5">
      <c r="C54" s="86"/>
      <c r="D54" s="82"/>
      <c r="E54" s="82"/>
      <c r="F54" s="82"/>
      <c r="G54" s="82"/>
      <c r="H54" s="89"/>
      <c r="I54" s="82"/>
      <c r="J54" s="82"/>
      <c r="K54" s="82"/>
      <c r="L54" s="82"/>
      <c r="M54" s="82"/>
      <c r="N54" s="82"/>
      <c r="O54" s="82"/>
    </row>
  </sheetData>
  <mergeCells count="106">
    <mergeCell ref="M53:M54"/>
    <mergeCell ref="N53:N54"/>
    <mergeCell ref="O53:O54"/>
    <mergeCell ref="H53:H54"/>
    <mergeCell ref="I53:I54"/>
    <mergeCell ref="J53:J54"/>
    <mergeCell ref="K53:K54"/>
    <mergeCell ref="L53:L54"/>
    <mergeCell ref="C53:C54"/>
    <mergeCell ref="D53:D54"/>
    <mergeCell ref="E53:E54"/>
    <mergeCell ref="F53:F54"/>
    <mergeCell ref="G53:G54"/>
    <mergeCell ref="M49:M50"/>
    <mergeCell ref="N49:N50"/>
    <mergeCell ref="O49:O50"/>
    <mergeCell ref="C51:C52"/>
    <mergeCell ref="D51:D52"/>
    <mergeCell ref="E51:E52"/>
    <mergeCell ref="F51:F52"/>
    <mergeCell ref="G51:G52"/>
    <mergeCell ref="H51:H52"/>
    <mergeCell ref="I51:I52"/>
    <mergeCell ref="J51:J52"/>
    <mergeCell ref="K51:K52"/>
    <mergeCell ref="L51:L52"/>
    <mergeCell ref="M51:M52"/>
    <mergeCell ref="N51:N52"/>
    <mergeCell ref="O51:O52"/>
    <mergeCell ref="H49:H50"/>
    <mergeCell ref="I49:I50"/>
    <mergeCell ref="J49:J50"/>
    <mergeCell ref="K49:K50"/>
    <mergeCell ref="L49:L50"/>
    <mergeCell ref="C49:C50"/>
    <mergeCell ref="D49:D50"/>
    <mergeCell ref="E49:E50"/>
    <mergeCell ref="F49:F50"/>
    <mergeCell ref="G49:G50"/>
    <mergeCell ref="M44:M45"/>
    <mergeCell ref="N44:N45"/>
    <mergeCell ref="O44:O45"/>
    <mergeCell ref="C47:C48"/>
    <mergeCell ref="D47:D48"/>
    <mergeCell ref="E47:E48"/>
    <mergeCell ref="F47:F48"/>
    <mergeCell ref="G47:G48"/>
    <mergeCell ref="H47:H48"/>
    <mergeCell ref="I47:I48"/>
    <mergeCell ref="J47:J48"/>
    <mergeCell ref="K47:K48"/>
    <mergeCell ref="L47:L48"/>
    <mergeCell ref="M47:M48"/>
    <mergeCell ref="N47:N48"/>
    <mergeCell ref="O47:O48"/>
    <mergeCell ref="H44:H45"/>
    <mergeCell ref="I44:I45"/>
    <mergeCell ref="J44:J45"/>
    <mergeCell ref="K44:K45"/>
    <mergeCell ref="L44:L45"/>
    <mergeCell ref="C44:C45"/>
    <mergeCell ref="D44:D45"/>
    <mergeCell ref="E44:E45"/>
    <mergeCell ref="F44:F45"/>
    <mergeCell ref="G44:G45"/>
    <mergeCell ref="M40:M41"/>
    <mergeCell ref="N40:N41"/>
    <mergeCell ref="O40:O41"/>
    <mergeCell ref="C42:C43"/>
    <mergeCell ref="D42:D43"/>
    <mergeCell ref="E42:E43"/>
    <mergeCell ref="F42:F43"/>
    <mergeCell ref="G42:G43"/>
    <mergeCell ref="H42:H43"/>
    <mergeCell ref="I42:I43"/>
    <mergeCell ref="J42:J43"/>
    <mergeCell ref="K42:K43"/>
    <mergeCell ref="L42:L43"/>
    <mergeCell ref="M42:M43"/>
    <mergeCell ref="N42:N43"/>
    <mergeCell ref="O42:O43"/>
    <mergeCell ref="H40:H41"/>
    <mergeCell ref="I40:I41"/>
    <mergeCell ref="J40:J41"/>
    <mergeCell ref="K40:K41"/>
    <mergeCell ref="L40:L41"/>
    <mergeCell ref="C40:C41"/>
    <mergeCell ref="D40:D41"/>
    <mergeCell ref="E40:E41"/>
    <mergeCell ref="F40:F41"/>
    <mergeCell ref="G40:G41"/>
    <mergeCell ref="K38:K39"/>
    <mergeCell ref="L38:L39"/>
    <mergeCell ref="M38:M39"/>
    <mergeCell ref="N38:N39"/>
    <mergeCell ref="O38:O39"/>
    <mergeCell ref="C2:J2"/>
    <mergeCell ref="C3:J3"/>
    <mergeCell ref="C38:C39"/>
    <mergeCell ref="D38:D39"/>
    <mergeCell ref="E38:E39"/>
    <mergeCell ref="F38:F39"/>
    <mergeCell ref="G38:G39"/>
    <mergeCell ref="H38:H39"/>
    <mergeCell ref="I38:I39"/>
    <mergeCell ref="J38:J39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TextBox1">
          <controlPr defaultSize="0" autoLine="0" linkedCell="hc" r:id="rId5">
            <anchor moveWithCells="1">
              <from>
                <xdr:col>14</xdr:col>
                <xdr:colOff>523875</xdr:colOff>
                <xdr:row>2</xdr:row>
                <xdr:rowOff>0</xdr:rowOff>
              </from>
              <to>
                <xdr:col>15</xdr:col>
                <xdr:colOff>257175</xdr:colOff>
                <xdr:row>3</xdr:row>
                <xdr:rowOff>28575</xdr:rowOff>
              </to>
            </anchor>
          </controlPr>
        </control>
      </mc:Choice>
      <mc:Fallback>
        <control shapeId="3073" r:id="rId4" name="TextBox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51</vt:i4>
      </vt:variant>
    </vt:vector>
  </HeadingPairs>
  <TitlesOfParts>
    <vt:vector size="54" baseType="lpstr">
      <vt:lpstr>Zona 1 (aguas arriba)</vt:lpstr>
      <vt:lpstr>Zona 2 (centro)</vt:lpstr>
      <vt:lpstr>Zona 3 (aguas abajo)</vt:lpstr>
      <vt:lpstr>'Zona 2 (centro)'!Dr</vt:lpstr>
      <vt:lpstr>'Zona 3 (aguas abajo)'!Dr</vt:lpstr>
      <vt:lpstr>Dr</vt:lpstr>
      <vt:lpstr>'Zona 2 (centro)'!E.0</vt:lpstr>
      <vt:lpstr>'Zona 3 (aguas abajo)'!E.0</vt:lpstr>
      <vt:lpstr>E.0</vt:lpstr>
      <vt:lpstr>'Zona 2 (centro)'!E.1</vt:lpstr>
      <vt:lpstr>'Zona 3 (aguas abajo)'!E.1</vt:lpstr>
      <vt:lpstr>E.1</vt:lpstr>
      <vt:lpstr>'Zona 2 (centro)'!h</vt:lpstr>
      <vt:lpstr>'Zona 3 (aguas abajo)'!h</vt:lpstr>
      <vt:lpstr>h</vt:lpstr>
      <vt:lpstr>'Zona 2 (centro)'!hc</vt:lpstr>
      <vt:lpstr>'Zona 3 (aguas abajo)'!hc</vt:lpstr>
      <vt:lpstr>hc</vt:lpstr>
      <vt:lpstr>'Zona 2 (centro)'!LB</vt:lpstr>
      <vt:lpstr>'Zona 3 (aguas abajo)'!LB</vt:lpstr>
      <vt:lpstr>LB</vt:lpstr>
      <vt:lpstr>'Zona 2 (centro)'!lj</vt:lpstr>
      <vt:lpstr>'Zona 3 (aguas abajo)'!lj</vt:lpstr>
      <vt:lpstr>lj</vt:lpstr>
      <vt:lpstr>'Zona 1 (aguas arriba)'!Print_Area</vt:lpstr>
      <vt:lpstr>'Zona 2 (centro)'!Print_Area</vt:lpstr>
      <vt:lpstr>'Zona 3 (aguas abajo)'!Print_Area</vt:lpstr>
      <vt:lpstr>'Zona 2 (centro)'!q</vt:lpstr>
      <vt:lpstr>'Zona 3 (aguas abajo)'!q</vt:lpstr>
      <vt:lpstr>q</vt:lpstr>
      <vt:lpstr>'Zona 2 (centro)'!Qd</vt:lpstr>
      <vt:lpstr>'Zona 3 (aguas abajo)'!Qd</vt:lpstr>
      <vt:lpstr>Qd</vt:lpstr>
      <vt:lpstr>'Zona 2 (centro)'!T</vt:lpstr>
      <vt:lpstr>'Zona 3 (aguas abajo)'!T</vt:lpstr>
      <vt:lpstr>T</vt:lpstr>
      <vt:lpstr>'Zona 2 (centro)'!v.0</vt:lpstr>
      <vt:lpstr>'Zona 3 (aguas abajo)'!v.0</vt:lpstr>
      <vt:lpstr>v.0</vt:lpstr>
      <vt:lpstr>'Zona 2 (centro)'!v.1</vt:lpstr>
      <vt:lpstr>'Zona 3 (aguas abajo)'!v.1</vt:lpstr>
      <vt:lpstr>v.1</vt:lpstr>
      <vt:lpstr>'Zona 2 (centro)'!y.0</vt:lpstr>
      <vt:lpstr>'Zona 3 (aguas abajo)'!y.0</vt:lpstr>
      <vt:lpstr>y.0</vt:lpstr>
      <vt:lpstr>'Zona 2 (centro)'!Y.1</vt:lpstr>
      <vt:lpstr>'Zona 3 (aguas abajo)'!Y.1</vt:lpstr>
      <vt:lpstr>Y.1</vt:lpstr>
      <vt:lpstr>'Zona 2 (centro)'!y.2</vt:lpstr>
      <vt:lpstr>'Zona 3 (aguas abajo)'!y.2</vt:lpstr>
      <vt:lpstr>y.2</vt:lpstr>
      <vt:lpstr>'Zona 2 (centro)'!y.p</vt:lpstr>
      <vt:lpstr>'Zona 3 (aguas abajo)'!y.p</vt:lpstr>
      <vt:lpstr>y.p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</cp:lastModifiedBy>
  <dcterms:created xsi:type="dcterms:W3CDTF">2013-07-19T15:10:24Z</dcterms:created>
  <dcterms:modified xsi:type="dcterms:W3CDTF">2022-07-25T15:26:01Z</dcterms:modified>
</cp:coreProperties>
</file>