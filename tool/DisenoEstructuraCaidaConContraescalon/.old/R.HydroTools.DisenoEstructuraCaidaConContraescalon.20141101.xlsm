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Old\"/>
    </mc:Choice>
  </mc:AlternateContent>
  <xr:revisionPtr revIDLastSave="0" documentId="13_ncr:1_{3E9CB87F-03D6-4F9E-B501-FC2B908F1D25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Difusa 1 " sheetId="5" r:id="rId1"/>
    <sheet name="Caño Platanal" sheetId="4" r:id="rId2"/>
    <sheet name="Caño Pérez" sheetId="3" r:id="rId3"/>
  </sheets>
  <definedNames>
    <definedName name="Dr" localSheetId="2">'Caño Pérez'!$E$10</definedName>
    <definedName name="Dr" localSheetId="1">'Caño Platanal'!$E$10</definedName>
    <definedName name="Dr" localSheetId="0">'Difusa 1 '!$E$10</definedName>
    <definedName name="Dr">#REF!</definedName>
    <definedName name="E.0" localSheetId="2">'Caño Pérez'!#REF!</definedName>
    <definedName name="E.0" localSheetId="1">'Caño Platanal'!#REF!</definedName>
    <definedName name="E.0" localSheetId="0">'Difusa 1 '!#REF!</definedName>
    <definedName name="E.0">#REF!</definedName>
    <definedName name="E.1" localSheetId="2">'Caño Pérez'!#REF!</definedName>
    <definedName name="E.1" localSheetId="1">'Caño Platanal'!#REF!</definedName>
    <definedName name="E.1" localSheetId="0">'Difusa 1 '!#REF!</definedName>
    <definedName name="E.1">#REF!</definedName>
    <definedName name="h" localSheetId="2">'Caño Pérez'!$E$22</definedName>
    <definedName name="h" localSheetId="1">'Caño Platanal'!$E$22</definedName>
    <definedName name="h" localSheetId="0">'Difusa 1 '!$E$22</definedName>
    <definedName name="h">#REF!</definedName>
    <definedName name="h´" localSheetId="2">'Caño Pérez'!$E$22</definedName>
    <definedName name="h´" localSheetId="1">'Caño Platanal'!$E$22</definedName>
    <definedName name="h´" localSheetId="0">'Difusa 1 '!$E$22</definedName>
    <definedName name="h´">#REF!</definedName>
    <definedName name="hc" localSheetId="2">'Caño Pérez'!$E$7</definedName>
    <definedName name="hc" localSheetId="1">'Caño Platanal'!$E$7</definedName>
    <definedName name="hc" localSheetId="0">'Difusa 1 '!$E$7</definedName>
    <definedName name="hc">#REF!</definedName>
    <definedName name="hmax" localSheetId="2">'Caño Pérez'!$E$21</definedName>
    <definedName name="hmax" localSheetId="1">'Caño Platanal'!$E$21</definedName>
    <definedName name="hmax" localSheetId="0">'Difusa 1 '!$E$21</definedName>
    <definedName name="hmax">#REF!</definedName>
    <definedName name="hmin" localSheetId="2">'Caño Pérez'!$E$20</definedName>
    <definedName name="hmin" localSheetId="1">'Caño Platanal'!$E$20</definedName>
    <definedName name="hmin" localSheetId="0">'Difusa 1 '!$E$20</definedName>
    <definedName name="hmin">#REF!</definedName>
    <definedName name="hola" localSheetId="2">'Caño Pérez'!$E$22</definedName>
    <definedName name="hola" localSheetId="1">'Caño Platanal'!$E$22</definedName>
    <definedName name="hola" localSheetId="0">'Difusa 1 '!$E$22</definedName>
    <definedName name="hola">#REF!</definedName>
    <definedName name="LB" localSheetId="2">'Caño Pérez'!$E$19</definedName>
    <definedName name="LB" localSheetId="1">'Caño Platanal'!$E$19</definedName>
    <definedName name="LB" localSheetId="0">'Difusa 1 '!$E$19</definedName>
    <definedName name="LB">#REF!</definedName>
    <definedName name="lj" localSheetId="2">'Caño Pérez'!$E$17</definedName>
    <definedName name="lj" localSheetId="1">'Caño Platanal'!$E$17</definedName>
    <definedName name="lj" localSheetId="0">'Difusa 1 '!$E$17</definedName>
    <definedName name="lj">#REF!</definedName>
    <definedName name="_xlnm.Print_Area" localSheetId="2">'Caño Pérez'!$B$2:$T$24</definedName>
    <definedName name="_xlnm.Print_Area" localSheetId="1">'Caño Platanal'!$B$2:$T$24</definedName>
    <definedName name="_xlnm.Print_Area" localSheetId="0">'Difusa 1 '!$B$2:$T$24</definedName>
    <definedName name="q" localSheetId="2">'Caño Pérez'!$E$9</definedName>
    <definedName name="q" localSheetId="1">'Caño Platanal'!$E$9</definedName>
    <definedName name="q" localSheetId="0">'Difusa 1 '!$E$9</definedName>
    <definedName name="q">#REF!</definedName>
    <definedName name="Qd" localSheetId="2">'Caño Pérez'!$E$6</definedName>
    <definedName name="Qd" localSheetId="1">'Caño Platanal'!$E$6</definedName>
    <definedName name="Qd" localSheetId="0">'Difusa 1 '!$E$6</definedName>
    <definedName name="Qd">#REF!</definedName>
    <definedName name="T" localSheetId="2">'Caño Pérez'!$E$8</definedName>
    <definedName name="T" localSheetId="1">'Caño Platanal'!$E$8</definedName>
    <definedName name="T" localSheetId="0">'Difusa 1 '!$E$8</definedName>
    <definedName name="T">#REF!</definedName>
    <definedName name="v.0" localSheetId="2">'Caño Pérez'!#REF!</definedName>
    <definedName name="v.0" localSheetId="1">'Caño Platanal'!#REF!</definedName>
    <definedName name="v.0" localSheetId="0">'Difusa 1 '!#REF!</definedName>
    <definedName name="v.0">#REF!</definedName>
    <definedName name="v.1" localSheetId="2">'Caño Pérez'!#REF!</definedName>
    <definedName name="v.1" localSheetId="1">'Caño Platanal'!#REF!</definedName>
    <definedName name="v.1" localSheetId="0">'Difusa 1 '!#REF!</definedName>
    <definedName name="v.1">#REF!</definedName>
    <definedName name="y.0" localSheetId="2">'Caño Pérez'!$E$23</definedName>
    <definedName name="y.0" localSheetId="1">'Caño Platanal'!$E$23</definedName>
    <definedName name="y.0" localSheetId="0">'Difusa 1 '!$E$23</definedName>
    <definedName name="y.0">#REF!</definedName>
    <definedName name="Y.1" localSheetId="2">'Caño Pérez'!$E$12</definedName>
    <definedName name="Y.1" localSheetId="1">'Caño Platanal'!$E$12</definedName>
    <definedName name="Y.1" localSheetId="0">'Difusa 1 '!$E$12</definedName>
    <definedName name="Y.1">#REF!</definedName>
    <definedName name="y.2" localSheetId="2">'Caño Pérez'!$E$14</definedName>
    <definedName name="y.2" localSheetId="1">'Caño Platanal'!$E$14</definedName>
    <definedName name="y.2" localSheetId="0">'Difusa 1 '!$E$14</definedName>
    <definedName name="y.2">#REF!</definedName>
    <definedName name="y.p" localSheetId="2">'Caño Pérez'!#REF!</definedName>
    <definedName name="y.p" localSheetId="1">'Caño Platanal'!#REF!</definedName>
    <definedName name="y.p" localSheetId="0">'Difusa 1 '!#REF!</definedName>
    <definedName name="y.p">#REF!</definedName>
  </definedNames>
  <calcPr calcId="191029" iterateCount="1000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10" i="5" l="1"/>
  <c r="V10" i="5"/>
  <c r="Y9" i="5"/>
  <c r="V9" i="5"/>
  <c r="Y8" i="5"/>
  <c r="V8" i="5"/>
  <c r="I36" i="5" l="1"/>
  <c r="K36" i="5" s="1"/>
  <c r="I35" i="5"/>
  <c r="K35" i="5" s="1"/>
  <c r="Q32" i="5"/>
  <c r="Q33" i="5" s="1"/>
  <c r="M32" i="5"/>
  <c r="D32" i="5"/>
  <c r="E32" i="5" s="1"/>
  <c r="S31" i="5"/>
  <c r="S33" i="5" s="1"/>
  <c r="Q31" i="5"/>
  <c r="O31" i="5"/>
  <c r="O33" i="5" s="1"/>
  <c r="G31" i="5"/>
  <c r="D31" i="5"/>
  <c r="G30" i="5"/>
  <c r="D30" i="5"/>
  <c r="Q29" i="5"/>
  <c r="K29" i="5"/>
  <c r="M29" i="5" s="1"/>
  <c r="G29" i="5"/>
  <c r="D29" i="5"/>
  <c r="G28" i="5"/>
  <c r="D28" i="5"/>
  <c r="K27" i="5"/>
  <c r="I27" i="5"/>
  <c r="O27" i="5" s="1"/>
  <c r="G27" i="5"/>
  <c r="F27" i="5"/>
  <c r="D27" i="5"/>
  <c r="I9" i="5"/>
  <c r="I15" i="5" s="1"/>
  <c r="G9" i="5"/>
  <c r="G15" i="5" s="1"/>
  <c r="E9" i="5"/>
  <c r="E10" i="5" s="1"/>
  <c r="I36" i="4"/>
  <c r="K36" i="4" s="1"/>
  <c r="I35" i="4"/>
  <c r="K35" i="4" s="1"/>
  <c r="D32" i="4"/>
  <c r="G33" i="4" s="1"/>
  <c r="S31" i="4"/>
  <c r="S32" i="4" s="1"/>
  <c r="Q31" i="4"/>
  <c r="Q32" i="4" s="1"/>
  <c r="Q33" i="4" s="1"/>
  <c r="O31" i="4"/>
  <c r="O32" i="4" s="1"/>
  <c r="G31" i="4"/>
  <c r="D31" i="4"/>
  <c r="G30" i="4"/>
  <c r="D30" i="4"/>
  <c r="Q29" i="4"/>
  <c r="G29" i="4"/>
  <c r="D29" i="4"/>
  <c r="I27" i="4" s="1"/>
  <c r="G28" i="4"/>
  <c r="D28" i="4"/>
  <c r="K29" i="4" s="1"/>
  <c r="M29" i="4" s="1"/>
  <c r="K27" i="4"/>
  <c r="G27" i="4"/>
  <c r="F27" i="4"/>
  <c r="D27" i="4"/>
  <c r="E10" i="4"/>
  <c r="I9" i="4"/>
  <c r="I15" i="4" s="1"/>
  <c r="G9" i="4"/>
  <c r="G10" i="4" s="1"/>
  <c r="E9" i="4"/>
  <c r="E15" i="4" s="1"/>
  <c r="S31" i="3"/>
  <c r="S33" i="3" s="1"/>
  <c r="Q31" i="3"/>
  <c r="G32" i="5" l="1"/>
  <c r="K31" i="5"/>
  <c r="S32" i="3"/>
  <c r="K28" i="5"/>
  <c r="I31" i="5"/>
  <c r="M31" i="4"/>
  <c r="O33" i="4"/>
  <c r="G32" i="4"/>
  <c r="K31" i="4"/>
  <c r="M32" i="4"/>
  <c r="S33" i="4"/>
  <c r="I31" i="4"/>
  <c r="I10" i="5"/>
  <c r="I12" i="5" s="1"/>
  <c r="K33" i="5"/>
  <c r="G33" i="5"/>
  <c r="E31" i="5"/>
  <c r="I33" i="5" s="1"/>
  <c r="I32" i="5" s="1"/>
  <c r="K28" i="4"/>
  <c r="G10" i="5"/>
  <c r="G16" i="5" s="1"/>
  <c r="E14" i="5"/>
  <c r="E12" i="5"/>
  <c r="E13" i="5" s="1"/>
  <c r="E11" i="5"/>
  <c r="E16" i="5"/>
  <c r="E27" i="5"/>
  <c r="E30" i="5"/>
  <c r="O29" i="5" s="1"/>
  <c r="O28" i="5" s="1"/>
  <c r="M27" i="5"/>
  <c r="M28" i="5" s="1"/>
  <c r="G12" i="5"/>
  <c r="G13" i="5" s="1"/>
  <c r="E15" i="5"/>
  <c r="K32" i="5"/>
  <c r="O32" i="5"/>
  <c r="S32" i="5"/>
  <c r="I14" i="5"/>
  <c r="Q27" i="5"/>
  <c r="Q28" i="5" s="1"/>
  <c r="E31" i="4"/>
  <c r="I33" i="4" s="1"/>
  <c r="M31" i="5"/>
  <c r="G16" i="4"/>
  <c r="G11" i="4"/>
  <c r="G15" i="4"/>
  <c r="O27" i="4"/>
  <c r="Q27" i="4"/>
  <c r="Q28" i="4" s="1"/>
  <c r="M27" i="4"/>
  <c r="M28" i="4" s="1"/>
  <c r="E14" i="4"/>
  <c r="E32" i="4"/>
  <c r="I10" i="4"/>
  <c r="E12" i="4"/>
  <c r="E13" i="4" s="1"/>
  <c r="E16" i="4"/>
  <c r="W9" i="5" s="1"/>
  <c r="G14" i="4"/>
  <c r="E11" i="4"/>
  <c r="G12" i="4"/>
  <c r="I32" i="4" l="1"/>
  <c r="I16" i="5"/>
  <c r="I18" i="5" s="1"/>
  <c r="I11" i="5"/>
  <c r="G11" i="5"/>
  <c r="G14" i="5"/>
  <c r="G18" i="5"/>
  <c r="I20" i="5"/>
  <c r="I21" i="5"/>
  <c r="I17" i="5"/>
  <c r="I19" i="5" s="1"/>
  <c r="G20" i="5"/>
  <c r="G21" i="5"/>
  <c r="E20" i="5"/>
  <c r="E21" i="5"/>
  <c r="G17" i="5"/>
  <c r="G19" i="5" s="1"/>
  <c r="I13" i="5"/>
  <c r="E24" i="5"/>
  <c r="E18" i="5"/>
  <c r="E29" i="5"/>
  <c r="E17" i="5"/>
  <c r="W8" i="5" s="1"/>
  <c r="G18" i="4"/>
  <c r="I11" i="4"/>
  <c r="I14" i="4"/>
  <c r="I16" i="4"/>
  <c r="I12" i="4"/>
  <c r="G20" i="4"/>
  <c r="G21" i="4"/>
  <c r="E18" i="4"/>
  <c r="E17" i="4"/>
  <c r="E29" i="4"/>
  <c r="K32" i="4"/>
  <c r="K33" i="4"/>
  <c r="G17" i="4"/>
  <c r="G19" i="4" s="1"/>
  <c r="E30" i="4"/>
  <c r="O29" i="4" s="1"/>
  <c r="O28" i="4" s="1"/>
  <c r="E20" i="4"/>
  <c r="E21" i="4"/>
  <c r="E27" i="4"/>
  <c r="G13" i="4"/>
  <c r="I18" i="4" l="1"/>
  <c r="I17" i="4"/>
  <c r="I19" i="4" s="1"/>
  <c r="C28" i="5"/>
  <c r="C29" i="5"/>
  <c r="E19" i="5"/>
  <c r="X8" i="5" s="1"/>
  <c r="I29" i="5"/>
  <c r="I28" i="5" s="1"/>
  <c r="E28" i="5"/>
  <c r="C28" i="4"/>
  <c r="C29" i="4"/>
  <c r="E19" i="4"/>
  <c r="X9" i="5" s="1"/>
  <c r="E28" i="4"/>
  <c r="I29" i="4"/>
  <c r="I28" i="4" s="1"/>
  <c r="E24" i="4"/>
  <c r="I21" i="4"/>
  <c r="I20" i="4"/>
  <c r="I13" i="4"/>
  <c r="H35" i="5" l="1"/>
  <c r="H36" i="5" s="1"/>
  <c r="F29" i="5"/>
  <c r="H27" i="5"/>
  <c r="C30" i="5"/>
  <c r="L27" i="5"/>
  <c r="J27" i="5"/>
  <c r="F28" i="5"/>
  <c r="H35" i="4"/>
  <c r="H36" i="4" s="1"/>
  <c r="F29" i="4"/>
  <c r="H27" i="4"/>
  <c r="J27" i="4"/>
  <c r="F28" i="4"/>
  <c r="C30" i="4"/>
  <c r="L27" i="4"/>
  <c r="H28" i="5" l="1"/>
  <c r="N31" i="5"/>
  <c r="H29" i="5"/>
  <c r="J29" i="5"/>
  <c r="J28" i="5"/>
  <c r="F30" i="5"/>
  <c r="C31" i="5"/>
  <c r="J35" i="5"/>
  <c r="J36" i="5" s="1"/>
  <c r="P31" i="5"/>
  <c r="N27" i="5"/>
  <c r="L28" i="5"/>
  <c r="L29" i="5"/>
  <c r="J28" i="4"/>
  <c r="J29" i="4"/>
  <c r="L29" i="4"/>
  <c r="L28" i="4"/>
  <c r="H29" i="4"/>
  <c r="H28" i="4"/>
  <c r="N31" i="4"/>
  <c r="J35" i="4"/>
  <c r="J36" i="4" s="1"/>
  <c r="P31" i="4"/>
  <c r="N27" i="4"/>
  <c r="C31" i="4"/>
  <c r="F30" i="4"/>
  <c r="C33" i="5" l="1"/>
  <c r="F31" i="5"/>
  <c r="F32" i="5" s="1"/>
  <c r="C32" i="5"/>
  <c r="H31" i="5"/>
  <c r="P27" i="5"/>
  <c r="N28" i="5"/>
  <c r="N33" i="5"/>
  <c r="N32" i="5" s="1"/>
  <c r="N29" i="5"/>
  <c r="R31" i="5"/>
  <c r="C32" i="4"/>
  <c r="H31" i="4"/>
  <c r="C33" i="4"/>
  <c r="F31" i="4"/>
  <c r="F32" i="4" s="1"/>
  <c r="P27" i="4"/>
  <c r="R31" i="4"/>
  <c r="N33" i="4"/>
  <c r="N32" i="4" s="1"/>
  <c r="N28" i="4"/>
  <c r="N29" i="4"/>
  <c r="H32" i="5" l="1"/>
  <c r="P33" i="5"/>
  <c r="H33" i="5"/>
  <c r="L31" i="5"/>
  <c r="L32" i="5" s="1"/>
  <c r="J33" i="5"/>
  <c r="F33" i="5"/>
  <c r="J31" i="5"/>
  <c r="P28" i="5"/>
  <c r="P29" i="5"/>
  <c r="H33" i="4"/>
  <c r="L31" i="4"/>
  <c r="L32" i="4" s="1"/>
  <c r="P33" i="4"/>
  <c r="H32" i="4"/>
  <c r="P29" i="4"/>
  <c r="P28" i="4"/>
  <c r="J33" i="4"/>
  <c r="F33" i="4"/>
  <c r="J31" i="4"/>
  <c r="J32" i="5" l="1"/>
  <c r="R33" i="5"/>
  <c r="R32" i="5" s="1"/>
  <c r="P32" i="5"/>
  <c r="R33" i="4"/>
  <c r="R32" i="4" s="1"/>
  <c r="P32" i="4"/>
  <c r="J32" i="4"/>
  <c r="I36" i="3" l="1"/>
  <c r="M32" i="3" s="1"/>
  <c r="I35" i="3"/>
  <c r="K35" i="3" s="1"/>
  <c r="D32" i="3"/>
  <c r="E32" i="3" s="1"/>
  <c r="Q32" i="3"/>
  <c r="Q33" i="3" s="1"/>
  <c r="O31" i="3"/>
  <c r="O32" i="3" s="1"/>
  <c r="M31" i="3"/>
  <c r="G31" i="3"/>
  <c r="D31" i="3"/>
  <c r="G30" i="3"/>
  <c r="D30" i="3"/>
  <c r="Q29" i="3"/>
  <c r="G29" i="3"/>
  <c r="D29" i="3"/>
  <c r="I27" i="3" s="1"/>
  <c r="G28" i="3"/>
  <c r="D28" i="3"/>
  <c r="K27" i="3"/>
  <c r="G27" i="3"/>
  <c r="F27" i="3"/>
  <c r="D27" i="3"/>
  <c r="I9" i="3"/>
  <c r="I10" i="3" s="1"/>
  <c r="I14" i="3" s="1"/>
  <c r="G9" i="3"/>
  <c r="E9" i="3"/>
  <c r="E15" i="3" s="1"/>
  <c r="G32" i="3" l="1"/>
  <c r="K31" i="3"/>
  <c r="K32" i="3" s="1"/>
  <c r="E10" i="3"/>
  <c r="Q27" i="3"/>
  <c r="Q28" i="3" s="1"/>
  <c r="O27" i="3"/>
  <c r="E31" i="3"/>
  <c r="I33" i="3" s="1"/>
  <c r="K33" i="3"/>
  <c r="I31" i="3"/>
  <c r="I12" i="3"/>
  <c r="G15" i="3"/>
  <c r="I16" i="3"/>
  <c r="O33" i="3"/>
  <c r="K36" i="3"/>
  <c r="G10" i="3"/>
  <c r="I11" i="3"/>
  <c r="I15" i="3"/>
  <c r="M27" i="3"/>
  <c r="G33" i="3"/>
  <c r="E12" i="3" l="1"/>
  <c r="E14" i="3"/>
  <c r="E27" i="3" s="1"/>
  <c r="I32" i="3"/>
  <c r="E16" i="3"/>
  <c r="W10" i="5" s="1"/>
  <c r="E11" i="3"/>
  <c r="E20" i="3"/>
  <c r="E21" i="3"/>
  <c r="K29" i="3"/>
  <c r="I21" i="3"/>
  <c r="I20" i="3"/>
  <c r="I13" i="3"/>
  <c r="I17" i="3"/>
  <c r="I19" i="3" s="1"/>
  <c r="G16" i="3"/>
  <c r="G12" i="3"/>
  <c r="G14" i="3"/>
  <c r="G11" i="3"/>
  <c r="I18" i="3"/>
  <c r="E30" i="3"/>
  <c r="O29" i="3" s="1"/>
  <c r="O28" i="3" s="1"/>
  <c r="E13" i="3"/>
  <c r="E18" i="3" l="1"/>
  <c r="E29" i="3"/>
  <c r="E28" i="3" s="1"/>
  <c r="E17" i="3"/>
  <c r="E19" i="3" s="1"/>
  <c r="X10" i="5" s="1"/>
  <c r="G18" i="3"/>
  <c r="G17" i="3"/>
  <c r="G19" i="3" s="1"/>
  <c r="M29" i="3"/>
  <c r="M28" i="3" s="1"/>
  <c r="K28" i="3"/>
  <c r="G20" i="3"/>
  <c r="G21" i="3"/>
  <c r="G13" i="3"/>
  <c r="E24" i="3" l="1"/>
  <c r="C29" i="3"/>
  <c r="H35" i="3" s="1"/>
  <c r="H36" i="3" s="1"/>
  <c r="I29" i="3"/>
  <c r="I28" i="3" s="1"/>
  <c r="C28" i="3"/>
  <c r="C30" i="3" s="1"/>
  <c r="J27" i="3" l="1"/>
  <c r="J29" i="3" s="1"/>
  <c r="H27" i="3"/>
  <c r="H29" i="3" s="1"/>
  <c r="F29" i="3"/>
  <c r="F28" i="3"/>
  <c r="L27" i="3"/>
  <c r="L29" i="3" s="1"/>
  <c r="J28" i="3"/>
  <c r="P31" i="3"/>
  <c r="N27" i="3"/>
  <c r="J35" i="3"/>
  <c r="J36" i="3" s="1"/>
  <c r="C31" i="3"/>
  <c r="F30" i="3"/>
  <c r="H28" i="3" l="1"/>
  <c r="N31" i="3"/>
  <c r="R31" i="3" s="1"/>
  <c r="L28" i="3"/>
  <c r="H31" i="3"/>
  <c r="C32" i="3"/>
  <c r="F31" i="3"/>
  <c r="F32" i="3" s="1"/>
  <c r="P27" i="3"/>
  <c r="C33" i="3"/>
  <c r="N33" i="3"/>
  <c r="N28" i="3"/>
  <c r="N29" i="3"/>
  <c r="N32" i="3" l="1"/>
  <c r="P29" i="3"/>
  <c r="P28" i="3"/>
  <c r="J33" i="3"/>
  <c r="F33" i="3"/>
  <c r="J31" i="3"/>
  <c r="H33" i="3"/>
  <c r="L31" i="3"/>
  <c r="L32" i="3" s="1"/>
  <c r="H32" i="3"/>
  <c r="P33" i="3"/>
  <c r="P32" i="3" l="1"/>
  <c r="R33" i="3"/>
  <c r="R32" i="3" s="1"/>
  <c r="J32" i="3"/>
</calcChain>
</file>

<file path=xl/sharedStrings.xml><?xml version="1.0" encoding="utf-8"?>
<sst xmlns="http://schemas.openxmlformats.org/spreadsheetml/2006/main" count="434" uniqueCount="87">
  <si>
    <t>Caudal de diseño</t>
  </si>
  <si>
    <t>Altura de la caída</t>
  </si>
  <si>
    <t xml:space="preserve">m </t>
  </si>
  <si>
    <t>Ancho superficial</t>
  </si>
  <si>
    <t>m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</si>
  <si>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 s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</si>
  <si>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</si>
  <si>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Caudal medio</t>
  </si>
  <si>
    <t xml:space="preserve">Caudal por unidad de ancho </t>
  </si>
  <si>
    <t>Número de caída</t>
  </si>
  <si>
    <t>Profundidad antes del resalto</t>
  </si>
  <si>
    <t>Profundidad después del resalto</t>
  </si>
  <si>
    <t>Longitud der resalto</t>
  </si>
  <si>
    <t>Longitud del tanque</t>
  </si>
  <si>
    <t>Altura mínima del obstáculo</t>
  </si>
  <si>
    <t>Altura máxima del obstáculo</t>
  </si>
  <si>
    <t>Altura seleccionada del obstáculo</t>
  </si>
  <si>
    <t>Profundidad en la caída</t>
  </si>
  <si>
    <t>=</t>
  </si>
  <si>
    <t>q</t>
  </si>
  <si>
    <t>Qd</t>
  </si>
  <si>
    <t>T</t>
  </si>
  <si>
    <t>Dr</t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</si>
  <si>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</si>
  <si>
    <r>
      <t>y</t>
    </r>
    <r>
      <rPr>
        <vertAlign val="subscript"/>
        <sz val="11"/>
        <color theme="1"/>
        <rFont val="Calibri"/>
        <family val="2"/>
        <scheme val="minor"/>
      </rPr>
      <t>2</t>
    </r>
  </si>
  <si>
    <r>
      <t>h</t>
    </r>
    <r>
      <rPr>
        <vertAlign val="subscript"/>
        <sz val="11"/>
        <color theme="1"/>
        <rFont val="Calibri"/>
        <family val="2"/>
        <scheme val="minor"/>
      </rPr>
      <t>mín</t>
    </r>
  </si>
  <si>
    <r>
      <t>h</t>
    </r>
    <r>
      <rPr>
        <vertAlign val="subscript"/>
        <sz val="11"/>
        <color theme="1"/>
        <rFont val="Calibri"/>
        <family val="2"/>
        <scheme val="minor"/>
      </rPr>
      <t>máx</t>
    </r>
  </si>
  <si>
    <t>h</t>
  </si>
  <si>
    <r>
      <t>y</t>
    </r>
    <r>
      <rPr>
        <vertAlign val="subscript"/>
        <sz val="11"/>
        <color theme="1"/>
        <rFont val="Calibri"/>
        <family val="2"/>
        <scheme val="minor"/>
      </rPr>
      <t>0</t>
    </r>
  </si>
  <si>
    <t>Tr = 50
Evento máximo</t>
  </si>
  <si>
    <t>Tr = 2.33
Caudal dominante</t>
  </si>
  <si>
    <t>Parámetros del Modelo</t>
  </si>
  <si>
    <t>Proyecto:</t>
  </si>
  <si>
    <t>Datos de entrada en color rojo</t>
  </si>
  <si>
    <t>Realineamiento No. 4 Arroyo San Antonio</t>
  </si>
  <si>
    <t>Vert</t>
  </si>
  <si>
    <t>Abscisa</t>
  </si>
  <si>
    <t>Elev</t>
  </si>
  <si>
    <t>Parámetro</t>
  </si>
  <si>
    <t>Y2</t>
  </si>
  <si>
    <t>Final</t>
  </si>
  <si>
    <t>Y1</t>
  </si>
  <si>
    <t>Yo</t>
  </si>
  <si>
    <t>Inicio</t>
  </si>
  <si>
    <t>Fondo</t>
  </si>
  <si>
    <t>grosor (pto)</t>
  </si>
  <si>
    <t>Vertedero</t>
  </si>
  <si>
    <t>EJE</t>
  </si>
  <si>
    <t>Número de Froude antes del resalto</t>
  </si>
  <si>
    <t>NF1</t>
  </si>
  <si>
    <t>adm</t>
  </si>
  <si>
    <t>Nivel en la piscina bajo la Napa</t>
  </si>
  <si>
    <t>Yp</t>
  </si>
  <si>
    <t>Profundidad crítica</t>
  </si>
  <si>
    <t>Yc</t>
  </si>
  <si>
    <t>L</t>
  </si>
  <si>
    <t>Longitud de la caída</t>
  </si>
  <si>
    <t>Ld</t>
  </si>
  <si>
    <t>Lb</t>
  </si>
  <si>
    <t>Distancia a la profundidad secuente</t>
  </si>
  <si>
    <t>DISEÑO DE LAS ESTRUCTURAS ESCALONADAS</t>
  </si>
  <si>
    <t>h'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</si>
  <si>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>B</t>
    </r>
  </si>
  <si>
    <t>LB</t>
  </si>
  <si>
    <r>
      <t>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/m s</t>
    </r>
  </si>
  <si>
    <r>
      <t>m</t>
    </r>
    <r>
      <rPr>
        <vertAlign val="superscript"/>
        <sz val="11"/>
        <rFont val="Calibri"/>
        <family val="2"/>
        <scheme val="minor"/>
      </rPr>
      <t>2</t>
    </r>
  </si>
  <si>
    <r>
      <t>y</t>
    </r>
    <r>
      <rPr>
        <vertAlign val="subscript"/>
        <sz val="11"/>
        <rFont val="Calibri"/>
        <family val="2"/>
        <scheme val="minor"/>
      </rPr>
      <t>1</t>
    </r>
  </si>
  <si>
    <r>
      <t>y</t>
    </r>
    <r>
      <rPr>
        <vertAlign val="subscript"/>
        <sz val="11"/>
        <rFont val="Calibri"/>
        <family val="2"/>
        <scheme val="minor"/>
      </rPr>
      <t>2</t>
    </r>
  </si>
  <si>
    <r>
      <t>L</t>
    </r>
    <r>
      <rPr>
        <b/>
        <vertAlign val="subscript"/>
        <sz val="11"/>
        <rFont val="Calibri"/>
        <family val="2"/>
        <scheme val="minor"/>
      </rPr>
      <t>B</t>
    </r>
  </si>
  <si>
    <r>
      <t>h</t>
    </r>
    <r>
      <rPr>
        <vertAlign val="subscript"/>
        <sz val="11"/>
        <rFont val="Calibri"/>
        <family val="2"/>
        <scheme val="minor"/>
      </rPr>
      <t>mín</t>
    </r>
  </si>
  <si>
    <r>
      <t>h</t>
    </r>
    <r>
      <rPr>
        <vertAlign val="subscript"/>
        <sz val="11"/>
        <rFont val="Calibri"/>
        <family val="2"/>
        <scheme val="minor"/>
      </rPr>
      <t>máx</t>
    </r>
  </si>
  <si>
    <r>
      <t>m</t>
    </r>
    <r>
      <rPr>
        <vertAlign val="superscript"/>
        <sz val="11"/>
        <color theme="3" tint="0.39997558519241921"/>
        <rFont val="Calibri"/>
        <family val="2"/>
        <scheme val="minor"/>
      </rPr>
      <t>3</t>
    </r>
    <r>
      <rPr>
        <sz val="11"/>
        <color theme="3" tint="0.39997558519241921"/>
        <rFont val="Calibri"/>
        <family val="2"/>
        <scheme val="minor"/>
      </rPr>
      <t>/s</t>
    </r>
  </si>
  <si>
    <r>
      <t>y</t>
    </r>
    <r>
      <rPr>
        <vertAlign val="subscript"/>
        <sz val="11"/>
        <color theme="3" tint="0.39997558519241921"/>
        <rFont val="Calibri"/>
        <family val="2"/>
        <scheme val="minor"/>
      </rPr>
      <t>0</t>
    </r>
  </si>
  <si>
    <t>Piscina</t>
  </si>
  <si>
    <t>Huella</t>
  </si>
  <si>
    <t xml:space="preserve">Base </t>
  </si>
  <si>
    <t>Alineamiento</t>
  </si>
  <si>
    <t>h (m)</t>
  </si>
  <si>
    <t>Ld (m)</t>
  </si>
  <si>
    <t>z' (m)</t>
  </si>
  <si>
    <t>b (m)</t>
  </si>
  <si>
    <t>Lb (m)</t>
  </si>
  <si>
    <t>DIFUSA 1</t>
  </si>
  <si>
    <t>CAÑO PLATANAL</t>
  </si>
  <si>
    <t>CAÑO PEREZ</t>
  </si>
  <si>
    <t>Incado mínimo</t>
  </si>
  <si>
    <t>Altura de Escalón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</si>
</sst>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8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0"/>
      <color rgb="FF0070C0"/>
      <name val="Calibri Light"/>
      <family val="2"/>
    </font>
    <font>
      <sz val="10"/>
      <name val="Calibri Light"/>
      <family val="2"/>
    </font>
    <font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vertAlign val="superscript"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0"/>
      <color theme="3" tint="0.39997558519241921"/>
      <name val="Calibri Light"/>
      <family val="2"/>
    </font>
    <font>
      <vertAlign val="subscript"/>
      <sz val="11"/>
      <color theme="3" tint="0.399975585192419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2" fontId="0" fillId="0" borderId="3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2" fontId="0" fillId="0" borderId="0" xfId="0" applyNumberFormat="1" applyBorder="1" applyAlignment="1">
      <alignment vertical="center"/>
    </xf>
    <xf numFmtId="2" fontId="0" fillId="0" borderId="4" xfId="0" applyNumberFormat="1" applyBorder="1" applyAlignment="1">
      <alignment vertical="center"/>
    </xf>
    <xf numFmtId="164" fontId="0" fillId="0" borderId="5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164" fontId="0" fillId="0" borderId="4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2" fontId="0" fillId="0" borderId="10" xfId="0" applyNumberFormat="1" applyBorder="1" applyAlignment="1">
      <alignment vertical="center"/>
    </xf>
    <xf numFmtId="2" fontId="0" fillId="0" borderId="9" xfId="0" applyNumberFormat="1" applyBorder="1" applyAlignment="1">
      <alignment vertical="center"/>
    </xf>
    <xf numFmtId="2" fontId="0" fillId="0" borderId="5" xfId="0" applyNumberFormat="1" applyBorder="1" applyAlignment="1">
      <alignment vertical="center"/>
    </xf>
    <xf numFmtId="2" fontId="0" fillId="0" borderId="2" xfId="0" applyNumberForma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8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164" fontId="0" fillId="0" borderId="10" xfId="0" applyNumberFormat="1" applyBorder="1" applyAlignment="1">
      <alignment vertical="center"/>
    </xf>
    <xf numFmtId="1" fontId="0" fillId="0" borderId="6" xfId="0" applyNumberFormat="1" applyBorder="1" applyAlignment="1">
      <alignment vertical="center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164" fontId="9" fillId="0" borderId="11" xfId="0" applyNumberFormat="1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164" fontId="8" fillId="0" borderId="13" xfId="0" applyNumberFormat="1" applyFont="1" applyBorder="1" applyAlignment="1">
      <alignment horizontal="center" vertical="center" wrapText="1"/>
    </xf>
    <xf numFmtId="164" fontId="16" fillId="0" borderId="13" xfId="0" applyNumberFormat="1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164" fontId="16" fillId="0" borderId="18" xfId="0" applyNumberFormat="1" applyFont="1" applyBorder="1" applyAlignment="1">
      <alignment horizontal="center" vertical="center" wrapText="1"/>
    </xf>
    <xf numFmtId="164" fontId="8" fillId="0" borderId="18" xfId="0" applyNumberFormat="1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165" fontId="0" fillId="2" borderId="13" xfId="0" applyNumberFormat="1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3" fillId="0" borderId="4" xfId="0" applyFont="1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Fondo</c:v>
          </c:tx>
          <c:spPr>
            <a:ln w="101600" cap="flat" cmpd="sng">
              <a:solidFill>
                <a:schemeClr val="bg2">
                  <a:lumMod val="50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'Difusa 1 '!$F$27:$F$33</c:f>
              <c:numCache>
                <c:formatCode>General</c:formatCode>
                <c:ptCount val="7"/>
                <c:pt idx="0">
                  <c:v>0</c:v>
                </c:pt>
                <c:pt idx="1">
                  <c:v>0.41358184577358659</c:v>
                </c:pt>
                <c:pt idx="2">
                  <c:v>0.82716369154717317</c:v>
                </c:pt>
                <c:pt idx="3">
                  <c:v>4.5494003035094526</c:v>
                </c:pt>
                <c:pt idx="4">
                  <c:v>7.4640511264793545</c:v>
                </c:pt>
                <c:pt idx="5">
                  <c:v>7.4640511264793545</c:v>
                </c:pt>
                <c:pt idx="6">
                  <c:v>11.59986958421522</c:v>
                </c:pt>
              </c:numCache>
            </c:numRef>
          </c:xVal>
          <c:yVal>
            <c:numRef>
              <c:f>'Difusa 1 '!$G$27:$G$33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 formatCode="0.00">
                  <c:v>2</c:v>
                </c:pt>
                <c:pt idx="5" formatCode="0.00">
                  <c:v>2.5</c:v>
                </c:pt>
                <c:pt idx="6" formatCode="0.0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F-41BC-9614-DB8D55047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'Difusa 1 '!$E$26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('Difusa 1 '!$C$27,'Difusa 1 '!$C$29:$C$32)</c:f>
              <c:numCache>
                <c:formatCode>General</c:formatCode>
                <c:ptCount val="5"/>
                <c:pt idx="0">
                  <c:v>0</c:v>
                </c:pt>
                <c:pt idx="1">
                  <c:v>0.82716369154717317</c:v>
                </c:pt>
                <c:pt idx="2" formatCode="0.00">
                  <c:v>4.5494003035094526</c:v>
                </c:pt>
                <c:pt idx="3" formatCode="0.00">
                  <c:v>7.4640511264793545</c:v>
                </c:pt>
                <c:pt idx="4">
                  <c:v>11.59986958421522</c:v>
                </c:pt>
              </c:numCache>
            </c:numRef>
          </c:xVal>
          <c:yVal>
            <c:numRef>
              <c:f>('Difusa 1 '!$E$27,'Difusa 1 '!$E$29:$E$32)</c:f>
              <c:numCache>
                <c:formatCode>0.000</c:formatCode>
                <c:ptCount val="5"/>
                <c:pt idx="0">
                  <c:v>3.1814503219619858</c:v>
                </c:pt>
                <c:pt idx="1">
                  <c:v>3.1251907828209391</c:v>
                </c:pt>
                <c:pt idx="2">
                  <c:v>2.435887706531628</c:v>
                </c:pt>
                <c:pt idx="3">
                  <c:v>3.23</c:v>
                </c:pt>
                <c:pt idx="4">
                  <c:v>3.3395000000000001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4F-41BC-9614-DB8D55047AC4}"/>
            </c:ext>
          </c:extLst>
        </c:ser>
        <c:ser>
          <c:idx val="2"/>
          <c:order val="2"/>
          <c:tx>
            <c:strRef>
              <c:f>'Difusa 1 '!$H$26</c:f>
              <c:strCache>
                <c:ptCount val="1"/>
                <c:pt idx="0">
                  <c:v>Y2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'!$H$27:$H$29</c:f>
              <c:numCache>
                <c:formatCode>General</c:formatCode>
                <c:ptCount val="3"/>
                <c:pt idx="0">
                  <c:v>0.82716369154717317</c:v>
                </c:pt>
                <c:pt idx="1">
                  <c:v>0.82716369154717317</c:v>
                </c:pt>
                <c:pt idx="2">
                  <c:v>0.82716369154717317</c:v>
                </c:pt>
              </c:numCache>
            </c:numRef>
          </c:xVal>
          <c:yVal>
            <c:numRef>
              <c:f>'Difusa 1 '!$I$27:$I$29</c:f>
              <c:numCache>
                <c:formatCode>0.00</c:formatCode>
                <c:ptCount val="3"/>
                <c:pt idx="0">
                  <c:v>2.08</c:v>
                </c:pt>
                <c:pt idx="1">
                  <c:v>2.6025953914104694</c:v>
                </c:pt>
                <c:pt idx="2" formatCode="0.000">
                  <c:v>3.1251907828209391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14F-41BC-9614-DB8D55047AC4}"/>
            </c:ext>
          </c:extLst>
        </c:ser>
        <c:ser>
          <c:idx val="5"/>
          <c:order val="3"/>
          <c:tx>
            <c:strRef>
              <c:f>'Difusa 1 '!$N$26</c:f>
              <c:strCache>
                <c:ptCount val="1"/>
                <c:pt idx="0">
                  <c:v>Y1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F-41BC-9614-DB8D55047AC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dir="5400000" algn="ctr" rotWithShape="0">
                    <a:srgbClr val="000000">
                      <a:alpha val="43137"/>
                    </a:srgbClr>
                  </a:outerShdw>
                </a:effectLst>
              </c:spPr>
              <c:txPr>
                <a:bodyPr rot="0" spcFirstLastPara="1" vertOverflow="ellipsis" vert="horz" wrap="square" lIns="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F-41BC-9614-DB8D55047AC4}"/>
                </c:ext>
              </c:extLst>
            </c:dLbl>
            <c:spPr>
              <a:noFill/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'Difusa 1 '!$N$27:$N$29</c:f>
              <c:numCache>
                <c:formatCode>0.00</c:formatCode>
                <c:ptCount val="3"/>
                <c:pt idx="0">
                  <c:v>4.5494003035094526</c:v>
                </c:pt>
                <c:pt idx="1">
                  <c:v>4.5494003035094526</c:v>
                </c:pt>
                <c:pt idx="2">
                  <c:v>4.5494003035094526</c:v>
                </c:pt>
              </c:numCache>
            </c:numRef>
          </c:xVal>
          <c:yVal>
            <c:numRef>
              <c:f>'Difusa 1 '!$O$27:$O$29</c:f>
              <c:numCache>
                <c:formatCode>0.00</c:formatCode>
                <c:ptCount val="3"/>
                <c:pt idx="0">
                  <c:v>2.08</c:v>
                </c:pt>
                <c:pt idx="1">
                  <c:v>2.257943853265814</c:v>
                </c:pt>
                <c:pt idx="2" formatCode="0.000">
                  <c:v>2.435887706531628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14F-41BC-9614-DB8D55047AC4}"/>
            </c:ext>
          </c:extLst>
        </c:ser>
        <c:ser>
          <c:idx val="6"/>
          <c:order val="4"/>
          <c:tx>
            <c:strRef>
              <c:f>'Difusa 1 '!$P$26</c:f>
              <c:strCache>
                <c:ptCount val="1"/>
                <c:pt idx="0">
                  <c:v>h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F-41BC-9614-DB8D55047AC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'!$P$27:$P$29</c:f>
              <c:numCache>
                <c:formatCode>General</c:formatCode>
                <c:ptCount val="3"/>
                <c:pt idx="0">
                  <c:v>7.0908485701553863</c:v>
                </c:pt>
                <c:pt idx="1">
                  <c:v>7.0908485701553863</c:v>
                </c:pt>
                <c:pt idx="2">
                  <c:v>7.0908485701553863</c:v>
                </c:pt>
              </c:numCache>
            </c:numRef>
          </c:xVal>
          <c:yVal>
            <c:numRef>
              <c:f>'Difusa 1 '!$Q$27:$Q$29</c:f>
              <c:numCache>
                <c:formatCode>0.00</c:formatCode>
                <c:ptCount val="3"/>
                <c:pt idx="0">
                  <c:v>2.08</c:v>
                </c:pt>
                <c:pt idx="1">
                  <c:v>2.33</c:v>
                </c:pt>
                <c:pt idx="2" formatCode="General">
                  <c:v>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14F-41BC-9614-DB8D55047AC4}"/>
            </c:ext>
          </c:extLst>
        </c:ser>
        <c:ser>
          <c:idx val="7"/>
          <c:order val="5"/>
          <c:tx>
            <c:strRef>
              <c:f>'Difusa 1 '!$H$30</c:f>
              <c:strCache>
                <c:ptCount val="1"/>
                <c:pt idx="0">
                  <c:v>Yo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'Difusa 1 '!$H$31:$H$33</c:f>
              <c:numCache>
                <c:formatCode>General</c:formatCode>
                <c:ptCount val="3"/>
                <c:pt idx="0">
                  <c:v>7.3840511264793545</c:v>
                </c:pt>
                <c:pt idx="1">
                  <c:v>7.3840511264793545</c:v>
                </c:pt>
                <c:pt idx="2">
                  <c:v>7.3840511264793545</c:v>
                </c:pt>
              </c:numCache>
            </c:numRef>
          </c:xVal>
          <c:yVal>
            <c:numRef>
              <c:f>'Difusa 1 '!$I$31:$I$33</c:f>
              <c:numCache>
                <c:formatCode>0.00</c:formatCode>
                <c:ptCount val="3"/>
                <c:pt idx="0" formatCode="General">
                  <c:v>2.58</c:v>
                </c:pt>
                <c:pt idx="1">
                  <c:v>2.9050000000000002</c:v>
                </c:pt>
                <c:pt idx="2" formatCode="0.000">
                  <c:v>3.23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14F-41BC-9614-DB8D55047AC4}"/>
            </c:ext>
          </c:extLst>
        </c:ser>
        <c:ser>
          <c:idx val="8"/>
          <c:order val="6"/>
          <c:tx>
            <c:strRef>
              <c:f>'Difusa 1 '!$J$30</c:f>
              <c:strCache>
                <c:ptCount val="1"/>
                <c:pt idx="0">
                  <c:v>Qd</c:v>
                </c:pt>
              </c:strCache>
            </c:strRef>
          </c:tx>
          <c:spPr>
            <a:ln w="50800" cap="flat">
              <a:solidFill>
                <a:schemeClr val="bg2">
                  <a:lumMod val="90000"/>
                </a:schemeClr>
              </a:solidFill>
              <a:miter lim="800000"/>
              <a:headEnd type="stealth" w="lg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14F-41BC-9614-DB8D55047AC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'Difusa 1 '!$J$31:$J$33</c:f>
              <c:numCache>
                <c:formatCode>0.00</c:formatCode>
                <c:ptCount val="3"/>
                <c:pt idx="0">
                  <c:v>9.5319603553472874</c:v>
                </c:pt>
                <c:pt idx="1">
                  <c:v>10.152333124007667</c:v>
                </c:pt>
                <c:pt idx="2">
                  <c:v>10.772705892668046</c:v>
                </c:pt>
              </c:numCache>
            </c:numRef>
          </c:xVal>
          <c:yVal>
            <c:numRef>
              <c:f>'Difusa 1 '!$K$31:$K$33</c:f>
              <c:numCache>
                <c:formatCode>0.00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14F-41BC-9614-DB8D55047AC4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14F-41BC-9614-DB8D55047AC4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814F-41BC-9614-DB8D55047AC4}"/>
            </c:ext>
          </c:extLst>
        </c:ser>
        <c:ser>
          <c:idx val="11"/>
          <c:order val="9"/>
          <c:tx>
            <c:strRef>
              <c:f>'Difusa 1 '!$H$34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814F-41BC-9614-DB8D55047AC4}"/>
                </c:ext>
              </c:extLst>
            </c:dLbl>
            <c:spPr>
              <a:solidFill>
                <a:schemeClr val="bg1"/>
              </a:solidFill>
              <a:ln cap="rnd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'!$H$35:$H$36</c:f>
              <c:numCache>
                <c:formatCode>General</c:formatCode>
                <c:ptCount val="2"/>
                <c:pt idx="0">
                  <c:v>0.82716369154717317</c:v>
                </c:pt>
                <c:pt idx="1">
                  <c:v>0.82716369154717317</c:v>
                </c:pt>
              </c:numCache>
            </c:numRef>
          </c:xVal>
          <c:yVal>
            <c:numRef>
              <c:f>'Difusa 1 '!$I$35:$I$36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814F-41BC-9614-DB8D55047AC4}"/>
            </c:ext>
          </c:extLst>
        </c:ser>
        <c:ser>
          <c:idx val="12"/>
          <c:order val="10"/>
          <c:tx>
            <c:strRef>
              <c:f>'Difusa 1 '!$J$34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'!$J$35:$J$36</c:f>
              <c:numCache>
                <c:formatCode>0.00</c:formatCode>
                <c:ptCount val="2"/>
                <c:pt idx="0">
                  <c:v>4.5494003035094526</c:v>
                </c:pt>
                <c:pt idx="1">
                  <c:v>4.5494003035094526</c:v>
                </c:pt>
              </c:numCache>
            </c:numRef>
          </c:xVal>
          <c:yVal>
            <c:numRef>
              <c:f>'Difusa 1 '!$K$35:$K$36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814F-41BC-9614-DB8D55047AC4}"/>
            </c:ext>
          </c:extLst>
        </c:ser>
        <c:ser>
          <c:idx val="13"/>
          <c:order val="11"/>
          <c:tx>
            <c:strRef>
              <c:f>'Difusa 1 '!$L$30</c:f>
              <c:strCache>
                <c:ptCount val="1"/>
                <c:pt idx="0">
                  <c:v>0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'!$L$31:$L$32</c:f>
              <c:numCache>
                <c:formatCode>0.00</c:formatCode>
                <c:ptCount val="2"/>
                <c:pt idx="0">
                  <c:v>7.3840511264793545</c:v>
                </c:pt>
                <c:pt idx="1">
                  <c:v>7.3840511264793545</c:v>
                </c:pt>
              </c:numCache>
            </c:numRef>
          </c:xVal>
          <c:yVal>
            <c:numRef>
              <c:f>'Difusa 1 '!$M$31:$M$32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814F-41BC-9614-DB8D55047AC4}"/>
            </c:ext>
          </c:extLst>
        </c:ser>
        <c:ser>
          <c:idx val="14"/>
          <c:order val="12"/>
          <c:tx>
            <c:strRef>
              <c:f>'Difusa 1 '!$P$30</c:f>
              <c:strCache>
                <c:ptCount val="1"/>
                <c:pt idx="0">
                  <c:v>Ld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0" rIns="38100" bIns="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'!$P$31:$P$33</c:f>
              <c:numCache>
                <c:formatCode>General</c:formatCode>
                <c:ptCount val="3"/>
                <c:pt idx="0" formatCode="0.00">
                  <c:v>4.5494003035094526</c:v>
                </c:pt>
                <c:pt idx="1">
                  <c:v>5.9667257149944035</c:v>
                </c:pt>
                <c:pt idx="2">
                  <c:v>7.3840511264793545</c:v>
                </c:pt>
              </c:numCache>
            </c:numRef>
          </c:xVal>
          <c:yVal>
            <c:numRef>
              <c:f>'Difusa 1 '!$Q$31:$Q$33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814F-41BC-9614-DB8D55047AC4}"/>
            </c:ext>
          </c:extLst>
        </c:ser>
        <c:ser>
          <c:idx val="15"/>
          <c:order val="13"/>
          <c:tx>
            <c:strRef>
              <c:f>'Difusa 1 '!$N$30</c:f>
              <c:strCache>
                <c:ptCount val="1"/>
                <c:pt idx="0">
                  <c:v>L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0" tIns="19050" rIns="0" bIns="19050" anchor="ctr">
                  <a:no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'!$N$31:$N$33</c:f>
              <c:numCache>
                <c:formatCode>General</c:formatCode>
                <c:ptCount val="3"/>
                <c:pt idx="0">
                  <c:v>0.82716369154717317</c:v>
                </c:pt>
                <c:pt idx="1">
                  <c:v>2.6882819975283128</c:v>
                </c:pt>
                <c:pt idx="2" formatCode="0.00">
                  <c:v>4.5494003035094526</c:v>
                </c:pt>
              </c:numCache>
            </c:numRef>
          </c:xVal>
          <c:yVal>
            <c:numRef>
              <c:f>'Difusa 1 '!$O$31:$O$33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814F-41BC-9614-DB8D55047AC4}"/>
            </c:ext>
          </c:extLst>
        </c:ser>
        <c:ser>
          <c:idx val="3"/>
          <c:order val="14"/>
          <c:tx>
            <c:strRef>
              <c:f>'Difusa 1 '!$R$30</c:f>
              <c:strCache>
                <c:ptCount val="1"/>
                <c:pt idx="0">
                  <c:v>LB</c:v>
                </c:pt>
              </c:strCache>
            </c:strRef>
          </c:tx>
          <c:spPr>
            <a:ln w="12700">
              <a:headEnd type="triangle"/>
              <a:tailEnd type="triangle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>
                    <a:lumMod val="50000"/>
                    <a:lumOff val="50000"/>
                  </a:schemeClr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2E-814F-41BC-9614-DB8D55047AC4}"/>
              </c:ext>
            </c:extLst>
          </c:dPt>
          <c:dPt>
            <c:idx val="2"/>
            <c:bubble3D val="0"/>
            <c:spPr>
              <a:ln w="12700">
                <a:solidFill>
                  <a:schemeClr val="tx1">
                    <a:lumMod val="50000"/>
                    <a:lumOff val="50000"/>
                  </a:schemeClr>
                </a:solidFill>
                <a:headEnd type="triangl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30-814F-41BC-9614-DB8D55047AC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814F-41BC-9614-DB8D55047AC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14F-41BC-9614-DB8D55047AC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814F-41BC-9614-DB8D55047AC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'Difusa 1 '!$R$31:$R$33</c:f>
              <c:numCache>
                <c:formatCode>General</c:formatCode>
                <c:ptCount val="3"/>
                <c:pt idx="0" formatCode="0.00">
                  <c:v>0.82716369154717317</c:v>
                </c:pt>
                <c:pt idx="1">
                  <c:v>4.1056074090132642</c:v>
                </c:pt>
                <c:pt idx="2">
                  <c:v>7.3840511264793545</c:v>
                </c:pt>
              </c:numCache>
            </c:numRef>
          </c:xVal>
          <c:yVal>
            <c:numRef>
              <c:f>'Difusa 1 '!$S$31:$S$33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814F-41BC-9614-DB8D55047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2476160"/>
        <c:crosses val="autoZero"/>
        <c:crossBetween val="midCat"/>
      </c:valAx>
      <c:valAx>
        <c:axId val="412476160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24756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Fondo</c:v>
          </c:tx>
          <c:spPr>
            <a:ln w="101600" cap="flat" cmpd="sng">
              <a:solidFill>
                <a:schemeClr val="bg2">
                  <a:lumMod val="50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'Caño Platanal'!$F$27:$F$33</c:f>
              <c:numCache>
                <c:formatCode>General</c:formatCode>
                <c:ptCount val="7"/>
                <c:pt idx="0">
                  <c:v>0</c:v>
                </c:pt>
                <c:pt idx="1">
                  <c:v>0.40774120601392982</c:v>
                </c:pt>
                <c:pt idx="2">
                  <c:v>0.81548241202785965</c:v>
                </c:pt>
                <c:pt idx="3">
                  <c:v>4.4851532661532278</c:v>
                </c:pt>
                <c:pt idx="4">
                  <c:v>7.3358170837683234</c:v>
                </c:pt>
                <c:pt idx="5">
                  <c:v>7.3358170837683234</c:v>
                </c:pt>
                <c:pt idx="6">
                  <c:v>11.413229143907621</c:v>
                </c:pt>
              </c:numCache>
            </c:numRef>
          </c:xVal>
          <c:yVal>
            <c:numRef>
              <c:f>'Caño Platanal'!$G$27:$G$33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 formatCode="0.00">
                  <c:v>2</c:v>
                </c:pt>
                <c:pt idx="5" formatCode="0.00">
                  <c:v>2.5</c:v>
                </c:pt>
                <c:pt idx="6" formatCode="0.0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7-4E3D-BA6D-4F9AE41A8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761184"/>
        <c:axId val="412761744"/>
      </c:scatterChart>
      <c:scatterChart>
        <c:scatterStyle val="smoothMarker"/>
        <c:varyColors val="0"/>
        <c:ser>
          <c:idx val="0"/>
          <c:order val="0"/>
          <c:tx>
            <c:strRef>
              <c:f>'Caño Platanal'!$E$26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('Caño Platanal'!$C$27,'Caño Platanal'!$C$29:$C$32)</c:f>
              <c:numCache>
                <c:formatCode>General</c:formatCode>
                <c:ptCount val="5"/>
                <c:pt idx="0">
                  <c:v>0</c:v>
                </c:pt>
                <c:pt idx="1">
                  <c:v>0.81548241202785965</c:v>
                </c:pt>
                <c:pt idx="2" formatCode="0.00">
                  <c:v>4.4851532661532278</c:v>
                </c:pt>
                <c:pt idx="3" formatCode="0.00">
                  <c:v>7.3358170837683234</c:v>
                </c:pt>
                <c:pt idx="4">
                  <c:v>11.413229143907621</c:v>
                </c:pt>
              </c:numCache>
            </c:numRef>
          </c:xVal>
          <c:yVal>
            <c:numRef>
              <c:f>('Caño Platanal'!$E$27,'Caño Platanal'!$E$29:$E$32)</c:f>
              <c:numCache>
                <c:formatCode>0.000</c:formatCode>
                <c:ptCount val="5"/>
                <c:pt idx="0">
                  <c:v>3.1555132637449095</c:v>
                </c:pt>
                <c:pt idx="1">
                  <c:v>3.1004888226141993</c:v>
                </c:pt>
                <c:pt idx="2">
                  <c:v>2.4209201459243168</c:v>
                </c:pt>
                <c:pt idx="3">
                  <c:v>3.21</c:v>
                </c:pt>
                <c:pt idx="4">
                  <c:v>3.3165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87-4E3D-BA6D-4F9AE41A86E9}"/>
            </c:ext>
          </c:extLst>
        </c:ser>
        <c:ser>
          <c:idx val="2"/>
          <c:order val="2"/>
          <c:tx>
            <c:strRef>
              <c:f>'Caño Platanal'!$H$26</c:f>
              <c:strCache>
                <c:ptCount val="1"/>
                <c:pt idx="0">
                  <c:v>Y2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Platanal'!$H$27:$H$29</c:f>
              <c:numCache>
                <c:formatCode>General</c:formatCode>
                <c:ptCount val="3"/>
                <c:pt idx="0">
                  <c:v>0.81548241202785965</c:v>
                </c:pt>
                <c:pt idx="1">
                  <c:v>0.81548241202785965</c:v>
                </c:pt>
                <c:pt idx="2">
                  <c:v>0.81548241202785965</c:v>
                </c:pt>
              </c:numCache>
            </c:numRef>
          </c:xVal>
          <c:yVal>
            <c:numRef>
              <c:f>'Caño Platanal'!$I$27:$I$29</c:f>
              <c:numCache>
                <c:formatCode>0.00</c:formatCode>
                <c:ptCount val="3"/>
                <c:pt idx="0">
                  <c:v>2.08</c:v>
                </c:pt>
                <c:pt idx="1">
                  <c:v>2.5902444113070997</c:v>
                </c:pt>
                <c:pt idx="2" formatCode="0.000">
                  <c:v>3.1004888226141993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287-4E3D-BA6D-4F9AE41A86E9}"/>
            </c:ext>
          </c:extLst>
        </c:ser>
        <c:ser>
          <c:idx val="5"/>
          <c:order val="3"/>
          <c:tx>
            <c:strRef>
              <c:f>'Caño Platanal'!$N$26</c:f>
              <c:strCache>
                <c:ptCount val="1"/>
                <c:pt idx="0">
                  <c:v>Y1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87-4E3D-BA6D-4F9AE41A86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dir="5400000" algn="ctr" rotWithShape="0">
                    <a:srgbClr val="000000">
                      <a:alpha val="43137"/>
                    </a:srgbClr>
                  </a:outerShdw>
                </a:effectLst>
              </c:spPr>
              <c:txPr>
                <a:bodyPr rot="0" spcFirstLastPara="1" vertOverflow="ellipsis" vert="horz" wrap="square" lIns="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87-4E3D-BA6D-4F9AE41A86E9}"/>
                </c:ext>
              </c:extLst>
            </c:dLbl>
            <c:spPr>
              <a:noFill/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'Caño Platanal'!$N$27:$N$29</c:f>
              <c:numCache>
                <c:formatCode>0.00</c:formatCode>
                <c:ptCount val="3"/>
                <c:pt idx="0">
                  <c:v>4.4851532661532278</c:v>
                </c:pt>
                <c:pt idx="1">
                  <c:v>4.4851532661532278</c:v>
                </c:pt>
                <c:pt idx="2">
                  <c:v>4.4851532661532278</c:v>
                </c:pt>
              </c:numCache>
            </c:numRef>
          </c:xVal>
          <c:yVal>
            <c:numRef>
              <c:f>'Caño Platanal'!$O$27:$O$29</c:f>
              <c:numCache>
                <c:formatCode>0.00</c:formatCode>
                <c:ptCount val="3"/>
                <c:pt idx="0">
                  <c:v>2.08</c:v>
                </c:pt>
                <c:pt idx="1">
                  <c:v>2.2504600729621584</c:v>
                </c:pt>
                <c:pt idx="2" formatCode="0.000">
                  <c:v>2.4209201459243168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87-4E3D-BA6D-4F9AE41A86E9}"/>
            </c:ext>
          </c:extLst>
        </c:ser>
        <c:ser>
          <c:idx val="6"/>
          <c:order val="4"/>
          <c:tx>
            <c:strRef>
              <c:f>'Caño Platanal'!$P$26</c:f>
              <c:strCache>
                <c:ptCount val="1"/>
                <c:pt idx="0">
                  <c:v>h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87-4E3D-BA6D-4F9AE41A86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Platanal'!$P$27:$P$29</c:f>
              <c:numCache>
                <c:formatCode>General</c:formatCode>
                <c:ptCount val="3"/>
                <c:pt idx="0">
                  <c:v>6.9690262295799066</c:v>
                </c:pt>
                <c:pt idx="1">
                  <c:v>6.9690262295799066</c:v>
                </c:pt>
                <c:pt idx="2">
                  <c:v>6.9690262295799066</c:v>
                </c:pt>
              </c:numCache>
            </c:numRef>
          </c:xVal>
          <c:yVal>
            <c:numRef>
              <c:f>'Caño Platanal'!$Q$27:$Q$29</c:f>
              <c:numCache>
                <c:formatCode>0.00</c:formatCode>
                <c:ptCount val="3"/>
                <c:pt idx="0">
                  <c:v>2.08</c:v>
                </c:pt>
                <c:pt idx="1">
                  <c:v>2.33</c:v>
                </c:pt>
                <c:pt idx="2" formatCode="General">
                  <c:v>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87-4E3D-BA6D-4F9AE41A86E9}"/>
            </c:ext>
          </c:extLst>
        </c:ser>
        <c:ser>
          <c:idx val="7"/>
          <c:order val="5"/>
          <c:tx>
            <c:strRef>
              <c:f>'Caño Platanal'!$H$30</c:f>
              <c:strCache>
                <c:ptCount val="1"/>
                <c:pt idx="0">
                  <c:v>Yo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'Caño Platanal'!$H$31:$H$33</c:f>
              <c:numCache>
                <c:formatCode>General</c:formatCode>
                <c:ptCount val="3"/>
                <c:pt idx="0">
                  <c:v>7.2558170837683234</c:v>
                </c:pt>
                <c:pt idx="1">
                  <c:v>7.2558170837683234</c:v>
                </c:pt>
                <c:pt idx="2">
                  <c:v>7.2558170837683234</c:v>
                </c:pt>
              </c:numCache>
            </c:numRef>
          </c:xVal>
          <c:yVal>
            <c:numRef>
              <c:f>'Caño Platanal'!$I$31:$I$33</c:f>
              <c:numCache>
                <c:formatCode>0.00</c:formatCode>
                <c:ptCount val="3"/>
                <c:pt idx="0" formatCode="General">
                  <c:v>2.58</c:v>
                </c:pt>
                <c:pt idx="1">
                  <c:v>2.895</c:v>
                </c:pt>
                <c:pt idx="2" formatCode="0.000">
                  <c:v>3.21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87-4E3D-BA6D-4F9AE41A86E9}"/>
            </c:ext>
          </c:extLst>
        </c:ser>
        <c:ser>
          <c:idx val="8"/>
          <c:order val="6"/>
          <c:tx>
            <c:strRef>
              <c:f>'Caño Platanal'!$J$30</c:f>
              <c:strCache>
                <c:ptCount val="1"/>
                <c:pt idx="0">
                  <c:v>Qd</c:v>
                </c:pt>
              </c:strCache>
            </c:strRef>
          </c:tx>
          <c:spPr>
            <a:ln w="50800" cap="flat">
              <a:solidFill>
                <a:schemeClr val="bg2">
                  <a:lumMod val="90000"/>
                </a:schemeClr>
              </a:solidFill>
              <a:miter lim="800000"/>
              <a:headEnd type="stealth" w="lg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87-4E3D-BA6D-4F9AE41A86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'Caño Platanal'!$J$31:$J$33</c:f>
              <c:numCache>
                <c:formatCode>0.00</c:formatCode>
                <c:ptCount val="3"/>
                <c:pt idx="0">
                  <c:v>9.3745231138379719</c:v>
                </c:pt>
                <c:pt idx="1">
                  <c:v>9.9861349228588665</c:v>
                </c:pt>
                <c:pt idx="2">
                  <c:v>10.597746731879761</c:v>
                </c:pt>
              </c:numCache>
            </c:numRef>
          </c:xVal>
          <c:yVal>
            <c:numRef>
              <c:f>'Caño Platanal'!$K$31:$K$33</c:f>
              <c:numCache>
                <c:formatCode>0.00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87-4E3D-BA6D-4F9AE41A86E9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287-4E3D-BA6D-4F9AE41A86E9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287-4E3D-BA6D-4F9AE41A86E9}"/>
            </c:ext>
          </c:extLst>
        </c:ser>
        <c:ser>
          <c:idx val="11"/>
          <c:order val="9"/>
          <c:tx>
            <c:strRef>
              <c:f>'Caño Platanal'!$H$34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3287-4E3D-BA6D-4F9AE41A86E9}"/>
                </c:ext>
              </c:extLst>
            </c:dLbl>
            <c:spPr>
              <a:solidFill>
                <a:schemeClr val="bg1"/>
              </a:solidFill>
              <a:ln cap="rnd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Platanal'!$H$35:$H$36</c:f>
              <c:numCache>
                <c:formatCode>General</c:formatCode>
                <c:ptCount val="2"/>
                <c:pt idx="0">
                  <c:v>0.81548241202785965</c:v>
                </c:pt>
                <c:pt idx="1">
                  <c:v>0.81548241202785965</c:v>
                </c:pt>
              </c:numCache>
            </c:numRef>
          </c:xVal>
          <c:yVal>
            <c:numRef>
              <c:f>'Caño Platanal'!$I$35:$I$36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287-4E3D-BA6D-4F9AE41A86E9}"/>
            </c:ext>
          </c:extLst>
        </c:ser>
        <c:ser>
          <c:idx val="12"/>
          <c:order val="10"/>
          <c:tx>
            <c:strRef>
              <c:f>'Caño Platanal'!$J$34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Platanal'!$J$35:$J$36</c:f>
              <c:numCache>
                <c:formatCode>0.00</c:formatCode>
                <c:ptCount val="2"/>
                <c:pt idx="0">
                  <c:v>4.4851532661532278</c:v>
                </c:pt>
                <c:pt idx="1">
                  <c:v>4.4851532661532278</c:v>
                </c:pt>
              </c:numCache>
            </c:numRef>
          </c:xVal>
          <c:yVal>
            <c:numRef>
              <c:f>'Caño Platanal'!$K$35:$K$36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287-4E3D-BA6D-4F9AE41A86E9}"/>
            </c:ext>
          </c:extLst>
        </c:ser>
        <c:ser>
          <c:idx val="13"/>
          <c:order val="11"/>
          <c:tx>
            <c:strRef>
              <c:f>'Caño Platanal'!$L$30</c:f>
              <c:strCache>
                <c:ptCount val="1"/>
                <c:pt idx="0">
                  <c:v>0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Platanal'!$L$31:$L$32</c:f>
              <c:numCache>
                <c:formatCode>0.00</c:formatCode>
                <c:ptCount val="2"/>
                <c:pt idx="0">
                  <c:v>7.2558170837683234</c:v>
                </c:pt>
                <c:pt idx="1">
                  <c:v>7.2558170837683234</c:v>
                </c:pt>
              </c:numCache>
            </c:numRef>
          </c:xVal>
          <c:yVal>
            <c:numRef>
              <c:f>'Caño Platanal'!$M$31:$M$32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287-4E3D-BA6D-4F9AE41A86E9}"/>
            </c:ext>
          </c:extLst>
        </c:ser>
        <c:ser>
          <c:idx val="14"/>
          <c:order val="12"/>
          <c:tx>
            <c:strRef>
              <c:f>'Caño Platanal'!$P$30</c:f>
              <c:strCache>
                <c:ptCount val="1"/>
                <c:pt idx="0">
                  <c:v>Ld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0" rIns="38100" bIns="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Platanal'!$P$31:$P$33</c:f>
              <c:numCache>
                <c:formatCode>General</c:formatCode>
                <c:ptCount val="3"/>
                <c:pt idx="0" formatCode="0.00">
                  <c:v>4.4851532661532278</c:v>
                </c:pt>
                <c:pt idx="1">
                  <c:v>5.8704851749607752</c:v>
                </c:pt>
                <c:pt idx="2">
                  <c:v>7.2558170837683234</c:v>
                </c:pt>
              </c:numCache>
            </c:numRef>
          </c:xVal>
          <c:yVal>
            <c:numRef>
              <c:f>'Caño Platanal'!$Q$31:$Q$33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287-4E3D-BA6D-4F9AE41A86E9}"/>
            </c:ext>
          </c:extLst>
        </c:ser>
        <c:ser>
          <c:idx val="15"/>
          <c:order val="13"/>
          <c:tx>
            <c:strRef>
              <c:f>'Caño Platanal'!$N$30</c:f>
              <c:strCache>
                <c:ptCount val="1"/>
                <c:pt idx="0">
                  <c:v>L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0" tIns="19050" rIns="0" bIns="19050" anchor="ctr">
                  <a:no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Platanal'!$N$31:$N$33</c:f>
              <c:numCache>
                <c:formatCode>General</c:formatCode>
                <c:ptCount val="3"/>
                <c:pt idx="0">
                  <c:v>0.81548241202785965</c:v>
                </c:pt>
                <c:pt idx="1">
                  <c:v>2.650317839090544</c:v>
                </c:pt>
                <c:pt idx="2" formatCode="0.00">
                  <c:v>4.4851532661532278</c:v>
                </c:pt>
              </c:numCache>
            </c:numRef>
          </c:xVal>
          <c:yVal>
            <c:numRef>
              <c:f>'Caño Platanal'!$O$31:$O$33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287-4E3D-BA6D-4F9AE41A86E9}"/>
            </c:ext>
          </c:extLst>
        </c:ser>
        <c:ser>
          <c:idx val="3"/>
          <c:order val="14"/>
          <c:tx>
            <c:strRef>
              <c:f>'Caño Platanal'!$R$30</c:f>
              <c:strCache>
                <c:ptCount val="1"/>
                <c:pt idx="0">
                  <c:v>LB</c:v>
                </c:pt>
              </c:strCache>
            </c:strRef>
          </c:tx>
          <c:spPr>
            <a:ln w="12700">
              <a:headEnd type="triangle"/>
              <a:tailEnd type="triangle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>
                    <a:lumMod val="50000"/>
                    <a:lumOff val="50000"/>
                  </a:schemeClr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2E-3287-4E3D-BA6D-4F9AE41A86E9}"/>
              </c:ext>
            </c:extLst>
          </c:dPt>
          <c:dPt>
            <c:idx val="2"/>
            <c:bubble3D val="0"/>
            <c:spPr>
              <a:ln w="12700">
                <a:solidFill>
                  <a:schemeClr val="tx1">
                    <a:lumMod val="50000"/>
                    <a:lumOff val="50000"/>
                  </a:schemeClr>
                </a:solidFill>
                <a:headEnd type="triangl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30-3287-4E3D-BA6D-4F9AE41A86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287-4E3D-BA6D-4F9AE41A86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287-4E3D-BA6D-4F9AE41A86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287-4E3D-BA6D-4F9AE41A86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Platanal'!$R$31:$R$33</c:f>
              <c:numCache>
                <c:formatCode>General</c:formatCode>
                <c:ptCount val="3"/>
                <c:pt idx="0" formatCode="0.00">
                  <c:v>0.81548241202785965</c:v>
                </c:pt>
                <c:pt idx="1">
                  <c:v>4.0356497478980913</c:v>
                </c:pt>
                <c:pt idx="2">
                  <c:v>7.2558170837683234</c:v>
                </c:pt>
              </c:numCache>
            </c:numRef>
          </c:xVal>
          <c:yVal>
            <c:numRef>
              <c:f>'Caño Platanal'!$S$31:$S$33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287-4E3D-BA6D-4F9AE41A8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761184"/>
        <c:axId val="412761744"/>
      </c:scatterChart>
      <c:valAx>
        <c:axId val="41276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2761744"/>
        <c:crosses val="autoZero"/>
        <c:crossBetween val="midCat"/>
      </c:valAx>
      <c:valAx>
        <c:axId val="412761744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276118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Fondo</c:v>
          </c:tx>
          <c:spPr>
            <a:ln w="101600" cap="flat" cmpd="sng">
              <a:solidFill>
                <a:schemeClr val="bg2">
                  <a:lumMod val="50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'Caño Pérez'!$F$27:$F$33</c:f>
              <c:numCache>
                <c:formatCode>General</c:formatCode>
                <c:ptCount val="7"/>
                <c:pt idx="0">
                  <c:v>0</c:v>
                </c:pt>
                <c:pt idx="1">
                  <c:v>0.44356953004116362</c:v>
                </c:pt>
                <c:pt idx="2">
                  <c:v>0.88713906008232724</c:v>
                </c:pt>
                <c:pt idx="3">
                  <c:v>4.8792648304527999</c:v>
                </c:pt>
                <c:pt idx="4">
                  <c:v>8.1442710802042342</c:v>
                </c:pt>
                <c:pt idx="5">
                  <c:v>8.1442710802042342</c:v>
                </c:pt>
                <c:pt idx="6">
                  <c:v>12.57996638061587</c:v>
                </c:pt>
              </c:numCache>
            </c:numRef>
          </c:xVal>
          <c:yVal>
            <c:numRef>
              <c:f>'Caño Pérez'!$G$27:$G$33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 formatCode="0.00">
                  <c:v>2</c:v>
                </c:pt>
                <c:pt idx="5" formatCode="0.00">
                  <c:v>2.5</c:v>
                </c:pt>
                <c:pt idx="6" formatCode="0.0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EE-4E45-8DBF-20C20A711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479216"/>
        <c:axId val="413479776"/>
      </c:scatterChart>
      <c:scatterChart>
        <c:scatterStyle val="smoothMarker"/>
        <c:varyColors val="0"/>
        <c:ser>
          <c:idx val="0"/>
          <c:order val="0"/>
          <c:tx>
            <c:strRef>
              <c:f>'Caño Pérez'!$E$26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('Caño Pérez'!$C$27,'Caño Pérez'!$C$29:$C$32)</c:f>
              <c:numCache>
                <c:formatCode>General</c:formatCode>
                <c:ptCount val="5"/>
                <c:pt idx="0">
                  <c:v>0</c:v>
                </c:pt>
                <c:pt idx="1">
                  <c:v>0.88713906008232724</c:v>
                </c:pt>
                <c:pt idx="2" formatCode="0.00">
                  <c:v>4.8792648304527999</c:v>
                </c:pt>
                <c:pt idx="3" formatCode="0.00">
                  <c:v>8.1442710802042342</c:v>
                </c:pt>
                <c:pt idx="4">
                  <c:v>12.57996638061587</c:v>
                </c:pt>
              </c:numCache>
            </c:numRef>
          </c:xVal>
          <c:yVal>
            <c:numRef>
              <c:f>('Caño Pérez'!$E$27,'Caño Pérez'!$E$29:$E$32)</c:f>
              <c:numCache>
                <c:formatCode>0.000</c:formatCode>
                <c:ptCount val="5"/>
                <c:pt idx="0">
                  <c:v>3.3234664868178485</c:v>
                </c:pt>
                <c:pt idx="1">
                  <c:v>3.2604442731598557</c:v>
                </c:pt>
                <c:pt idx="2">
                  <c:v>2.5211617230912498</c:v>
                </c:pt>
                <c:pt idx="3">
                  <c:v>3.34</c:v>
                </c:pt>
                <c:pt idx="4">
                  <c:v>3.4659999999999997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EE-4E45-8DBF-20C20A711E94}"/>
            </c:ext>
          </c:extLst>
        </c:ser>
        <c:ser>
          <c:idx val="2"/>
          <c:order val="2"/>
          <c:tx>
            <c:strRef>
              <c:f>'Caño Pérez'!$H$26</c:f>
              <c:strCache>
                <c:ptCount val="1"/>
                <c:pt idx="0">
                  <c:v>Y2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Pérez'!$H$27:$H$29</c:f>
              <c:numCache>
                <c:formatCode>General</c:formatCode>
                <c:ptCount val="3"/>
                <c:pt idx="0">
                  <c:v>0.88713906008232724</c:v>
                </c:pt>
                <c:pt idx="1">
                  <c:v>0.88713906008232724</c:v>
                </c:pt>
                <c:pt idx="2">
                  <c:v>0.88713906008232724</c:v>
                </c:pt>
              </c:numCache>
            </c:numRef>
          </c:xVal>
          <c:yVal>
            <c:numRef>
              <c:f>'Caño Pérez'!$I$27:$I$29</c:f>
              <c:numCache>
                <c:formatCode>0.00</c:formatCode>
                <c:ptCount val="3"/>
                <c:pt idx="0">
                  <c:v>2.08</c:v>
                </c:pt>
                <c:pt idx="1">
                  <c:v>2.6702221365799277</c:v>
                </c:pt>
                <c:pt idx="2" formatCode="0.000">
                  <c:v>3.2604442731598557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EE-4E45-8DBF-20C20A711E94}"/>
            </c:ext>
          </c:extLst>
        </c:ser>
        <c:ser>
          <c:idx val="5"/>
          <c:order val="3"/>
          <c:tx>
            <c:strRef>
              <c:f>'Caño Pérez'!$N$26</c:f>
              <c:strCache>
                <c:ptCount val="1"/>
                <c:pt idx="0">
                  <c:v>Y1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DEE-4E45-8DBF-20C20A711E9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dir="5400000" algn="ctr" rotWithShape="0">
                    <a:srgbClr val="000000">
                      <a:alpha val="43137"/>
                    </a:srgbClr>
                  </a:outerShdw>
                </a:effectLst>
              </c:spPr>
              <c:txPr>
                <a:bodyPr rot="0" spcFirstLastPara="1" vertOverflow="ellipsis" vert="horz" wrap="square" lIns="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EE-4E45-8DBF-20C20A711E94}"/>
                </c:ext>
              </c:extLst>
            </c:dLbl>
            <c:spPr>
              <a:noFill/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'Caño Pérez'!$N$27:$N$29</c:f>
              <c:numCache>
                <c:formatCode>0.00</c:formatCode>
                <c:ptCount val="3"/>
                <c:pt idx="0">
                  <c:v>4.8792648304527999</c:v>
                </c:pt>
                <c:pt idx="1">
                  <c:v>4.8792648304527999</c:v>
                </c:pt>
                <c:pt idx="2">
                  <c:v>4.8792648304527999</c:v>
                </c:pt>
              </c:numCache>
            </c:numRef>
          </c:xVal>
          <c:yVal>
            <c:numRef>
              <c:f>'Caño Pérez'!$O$27:$O$29</c:f>
              <c:numCache>
                <c:formatCode>0.00</c:formatCode>
                <c:ptCount val="3"/>
                <c:pt idx="0">
                  <c:v>2.08</c:v>
                </c:pt>
                <c:pt idx="1">
                  <c:v>2.3005808615456251</c:v>
                </c:pt>
                <c:pt idx="2" formatCode="0.000">
                  <c:v>2.5211617230912498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EE-4E45-8DBF-20C20A711E94}"/>
            </c:ext>
          </c:extLst>
        </c:ser>
        <c:ser>
          <c:idx val="6"/>
          <c:order val="4"/>
          <c:tx>
            <c:strRef>
              <c:f>'Caño Pérez'!$P$26</c:f>
              <c:strCache>
                <c:ptCount val="1"/>
                <c:pt idx="0">
                  <c:v>h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DEE-4E45-8DBF-20C20A711E9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Pérez'!$P$27:$P$29</c:f>
              <c:numCache>
                <c:formatCode>General</c:formatCode>
                <c:ptCount val="3"/>
                <c:pt idx="0">
                  <c:v>7.7370575261940218</c:v>
                </c:pt>
                <c:pt idx="1">
                  <c:v>7.7370575261940218</c:v>
                </c:pt>
                <c:pt idx="2">
                  <c:v>7.7370575261940218</c:v>
                </c:pt>
              </c:numCache>
            </c:numRef>
          </c:xVal>
          <c:yVal>
            <c:numRef>
              <c:f>'Caño Pérez'!$Q$27:$Q$29</c:f>
              <c:numCache>
                <c:formatCode>0.00</c:formatCode>
                <c:ptCount val="3"/>
                <c:pt idx="0">
                  <c:v>2.08</c:v>
                </c:pt>
                <c:pt idx="1">
                  <c:v>2.33</c:v>
                </c:pt>
                <c:pt idx="2" formatCode="General">
                  <c:v>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EE-4E45-8DBF-20C20A711E94}"/>
            </c:ext>
          </c:extLst>
        </c:ser>
        <c:ser>
          <c:idx val="7"/>
          <c:order val="5"/>
          <c:tx>
            <c:strRef>
              <c:f>'Caño Pérez'!$H$30</c:f>
              <c:strCache>
                <c:ptCount val="1"/>
                <c:pt idx="0">
                  <c:v>Yo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'Caño Pérez'!$H$31:$H$33</c:f>
              <c:numCache>
                <c:formatCode>General</c:formatCode>
                <c:ptCount val="3"/>
                <c:pt idx="0">
                  <c:v>8.0642710802042341</c:v>
                </c:pt>
                <c:pt idx="1">
                  <c:v>8.0642710802042341</c:v>
                </c:pt>
                <c:pt idx="2">
                  <c:v>8.0642710802042341</c:v>
                </c:pt>
              </c:numCache>
            </c:numRef>
          </c:xVal>
          <c:yVal>
            <c:numRef>
              <c:f>'Caño Pérez'!$I$31:$I$33</c:f>
              <c:numCache>
                <c:formatCode>0.00</c:formatCode>
                <c:ptCount val="3"/>
                <c:pt idx="0" formatCode="General">
                  <c:v>2.58</c:v>
                </c:pt>
                <c:pt idx="1">
                  <c:v>2.96</c:v>
                </c:pt>
                <c:pt idx="2" formatCode="0.000">
                  <c:v>3.34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DEE-4E45-8DBF-20C20A711E94}"/>
            </c:ext>
          </c:extLst>
        </c:ser>
        <c:ser>
          <c:idx val="8"/>
          <c:order val="6"/>
          <c:tx>
            <c:strRef>
              <c:f>'Caño Pérez'!$J$30</c:f>
              <c:strCache>
                <c:ptCount val="1"/>
                <c:pt idx="0">
                  <c:v>Qd</c:v>
                </c:pt>
              </c:strCache>
            </c:strRef>
          </c:tx>
          <c:spPr>
            <a:ln w="50800" cap="flat">
              <a:solidFill>
                <a:schemeClr val="bg2">
                  <a:lumMod val="90000"/>
                </a:schemeClr>
              </a:solidFill>
              <a:miter lim="800000"/>
              <a:headEnd type="stealth" w="lg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DEE-4E45-8DBF-20C20A711E9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'Caño Pérez'!$J$31:$J$33</c:f>
              <c:numCache>
                <c:formatCode>0.00</c:formatCode>
                <c:ptCount val="3"/>
                <c:pt idx="0">
                  <c:v>10.362118730410053</c:v>
                </c:pt>
                <c:pt idx="1">
                  <c:v>11.027473025471798</c:v>
                </c:pt>
                <c:pt idx="2">
                  <c:v>11.692827320533542</c:v>
                </c:pt>
              </c:numCache>
            </c:numRef>
          </c:xVal>
          <c:yVal>
            <c:numRef>
              <c:f>'Caño Pérez'!$K$31:$K$33</c:f>
              <c:numCache>
                <c:formatCode>0.00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DEE-4E45-8DBF-20C20A711E94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ADEE-4E45-8DBF-20C20A711E94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ADEE-4E45-8DBF-20C20A711E94}"/>
            </c:ext>
          </c:extLst>
        </c:ser>
        <c:ser>
          <c:idx val="11"/>
          <c:order val="9"/>
          <c:tx>
            <c:strRef>
              <c:f>'Caño Pérez'!$H$34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ADEE-4E45-8DBF-20C20A711E94}"/>
                </c:ext>
              </c:extLst>
            </c:dLbl>
            <c:spPr>
              <a:solidFill>
                <a:schemeClr val="bg1"/>
              </a:solidFill>
              <a:ln cap="rnd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Pérez'!$H$35:$H$36</c:f>
              <c:numCache>
                <c:formatCode>General</c:formatCode>
                <c:ptCount val="2"/>
                <c:pt idx="0">
                  <c:v>0.88713906008232724</c:v>
                </c:pt>
                <c:pt idx="1">
                  <c:v>0.88713906008232724</c:v>
                </c:pt>
              </c:numCache>
            </c:numRef>
          </c:xVal>
          <c:yVal>
            <c:numRef>
              <c:f>'Caño Pérez'!$I$35:$I$36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ADEE-4E45-8DBF-20C20A711E94}"/>
            </c:ext>
          </c:extLst>
        </c:ser>
        <c:ser>
          <c:idx val="12"/>
          <c:order val="10"/>
          <c:tx>
            <c:strRef>
              <c:f>'Caño Pérez'!$J$34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Pérez'!$J$35:$J$36</c:f>
              <c:numCache>
                <c:formatCode>0.00</c:formatCode>
                <c:ptCount val="2"/>
                <c:pt idx="0">
                  <c:v>4.8792648304527999</c:v>
                </c:pt>
                <c:pt idx="1">
                  <c:v>4.8792648304527999</c:v>
                </c:pt>
              </c:numCache>
            </c:numRef>
          </c:xVal>
          <c:yVal>
            <c:numRef>
              <c:f>'Caño Pérez'!$K$35:$K$36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ADEE-4E45-8DBF-20C20A711E94}"/>
            </c:ext>
          </c:extLst>
        </c:ser>
        <c:ser>
          <c:idx val="13"/>
          <c:order val="11"/>
          <c:tx>
            <c:strRef>
              <c:f>'Caño Pérez'!$L$30</c:f>
              <c:strCache>
                <c:ptCount val="1"/>
                <c:pt idx="0">
                  <c:v>0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Pérez'!$L$31:$L$32</c:f>
              <c:numCache>
                <c:formatCode>0.00</c:formatCode>
                <c:ptCount val="2"/>
                <c:pt idx="0">
                  <c:v>8.0642710802042341</c:v>
                </c:pt>
                <c:pt idx="1">
                  <c:v>8.0642710802042341</c:v>
                </c:pt>
              </c:numCache>
            </c:numRef>
          </c:xVal>
          <c:yVal>
            <c:numRef>
              <c:f>'Caño Pérez'!$M$31:$M$32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ADEE-4E45-8DBF-20C20A711E94}"/>
            </c:ext>
          </c:extLst>
        </c:ser>
        <c:ser>
          <c:idx val="14"/>
          <c:order val="12"/>
          <c:tx>
            <c:strRef>
              <c:f>'Caño Pérez'!$P$30</c:f>
              <c:strCache>
                <c:ptCount val="1"/>
                <c:pt idx="0">
                  <c:v>Ld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0" rIns="38100" bIns="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Pérez'!$P$31:$P$33</c:f>
              <c:numCache>
                <c:formatCode>General</c:formatCode>
                <c:ptCount val="3"/>
                <c:pt idx="0" formatCode="0.00">
                  <c:v>4.8792648304527999</c:v>
                </c:pt>
                <c:pt idx="1">
                  <c:v>6.4717679553285166</c:v>
                </c:pt>
                <c:pt idx="2">
                  <c:v>8.0642710802042341</c:v>
                </c:pt>
              </c:numCache>
            </c:numRef>
          </c:xVal>
          <c:yVal>
            <c:numRef>
              <c:f>'Caño Pérez'!$Q$31:$Q$33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ADEE-4E45-8DBF-20C20A711E94}"/>
            </c:ext>
          </c:extLst>
        </c:ser>
        <c:ser>
          <c:idx val="15"/>
          <c:order val="13"/>
          <c:tx>
            <c:strRef>
              <c:f>'Caño Pérez'!$N$30</c:f>
              <c:strCache>
                <c:ptCount val="1"/>
                <c:pt idx="0">
                  <c:v>L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0" tIns="19050" rIns="0" bIns="19050" anchor="ctr">
                  <a:no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Pérez'!$N$31:$N$33</c:f>
              <c:numCache>
                <c:formatCode>General</c:formatCode>
                <c:ptCount val="3"/>
                <c:pt idx="0">
                  <c:v>0.88713906008232724</c:v>
                </c:pt>
                <c:pt idx="1">
                  <c:v>2.8832019452675635</c:v>
                </c:pt>
                <c:pt idx="2" formatCode="0.00">
                  <c:v>4.8792648304527999</c:v>
                </c:pt>
              </c:numCache>
            </c:numRef>
          </c:xVal>
          <c:yVal>
            <c:numRef>
              <c:f>'Caño Pérez'!$O$31:$O$33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ADEE-4E45-8DBF-20C20A711E94}"/>
            </c:ext>
          </c:extLst>
        </c:ser>
        <c:ser>
          <c:idx val="3"/>
          <c:order val="14"/>
          <c:tx>
            <c:strRef>
              <c:f>'Caño Pérez'!$R$30</c:f>
              <c:strCache>
                <c:ptCount val="1"/>
                <c:pt idx="0">
                  <c:v>LB</c:v>
                </c:pt>
              </c:strCache>
            </c:strRef>
          </c:tx>
          <c:spPr>
            <a:ln w="12700">
              <a:headEnd type="triangle"/>
              <a:tailEnd type="triangle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tx1">
                    <a:lumMod val="50000"/>
                    <a:lumOff val="50000"/>
                  </a:schemeClr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2E-ADEE-4E45-8DBF-20C20A711E94}"/>
              </c:ext>
            </c:extLst>
          </c:dPt>
          <c:dPt>
            <c:idx val="2"/>
            <c:bubble3D val="0"/>
            <c:spPr>
              <a:ln w="12700">
                <a:solidFill>
                  <a:schemeClr val="tx1">
                    <a:lumMod val="50000"/>
                    <a:lumOff val="50000"/>
                  </a:schemeClr>
                </a:solidFill>
                <a:headEnd type="triangl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30-ADEE-4E45-8DBF-20C20A711E9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DEE-4E45-8DBF-20C20A711E94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DEE-4E45-8DBF-20C20A711E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DEE-4E45-8DBF-20C20A711E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'Caño Pérez'!$R$31:$R$33</c:f>
              <c:numCache>
                <c:formatCode>General</c:formatCode>
                <c:ptCount val="3"/>
                <c:pt idx="0" formatCode="0.00">
                  <c:v>0.88713906008232724</c:v>
                </c:pt>
                <c:pt idx="1">
                  <c:v>4.475705070143281</c:v>
                </c:pt>
                <c:pt idx="2">
                  <c:v>8.0642710802042341</c:v>
                </c:pt>
              </c:numCache>
            </c:numRef>
          </c:xVal>
          <c:yVal>
            <c:numRef>
              <c:f>'Caño Pérez'!$S$31:$S$33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ADEE-4E45-8DBF-20C20A711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479216"/>
        <c:axId val="413479776"/>
      </c:scatterChart>
      <c:valAx>
        <c:axId val="413479216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3479776"/>
        <c:crosses val="autoZero"/>
        <c:crossBetween val="midCat"/>
      </c:valAx>
      <c:valAx>
        <c:axId val="413479776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13479216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352425</xdr:colOff>
          <xdr:row>3</xdr:row>
          <xdr:rowOff>23813</xdr:rowOff>
        </xdr:to>
        <xdr:sp macro="" textlink="">
          <xdr:nvSpPr>
            <xdr:cNvPr id="5121" name="Tex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452232</xdr:colOff>
      <xdr:row>9</xdr:row>
      <xdr:rowOff>104691</xdr:rowOff>
    </xdr:from>
    <xdr:to>
      <xdr:col>19</xdr:col>
      <xdr:colOff>127221</xdr:colOff>
      <xdr:row>22</xdr:row>
      <xdr:rowOff>42407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352425</xdr:colOff>
          <xdr:row>3</xdr:row>
          <xdr:rowOff>23813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452232</xdr:colOff>
      <xdr:row>9</xdr:row>
      <xdr:rowOff>104691</xdr:rowOff>
    </xdr:from>
    <xdr:to>
      <xdr:col>19</xdr:col>
      <xdr:colOff>127221</xdr:colOff>
      <xdr:row>22</xdr:row>
      <xdr:rowOff>42407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352425</xdr:colOff>
          <xdr:row>3</xdr:row>
          <xdr:rowOff>23813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452232</xdr:colOff>
      <xdr:row>9</xdr:row>
      <xdr:rowOff>104691</xdr:rowOff>
    </xdr:from>
    <xdr:to>
      <xdr:col>19</xdr:col>
      <xdr:colOff>127221</xdr:colOff>
      <xdr:row>22</xdr:row>
      <xdr:rowOff>42407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2:Z36"/>
  <sheetViews>
    <sheetView showGridLines="0" tabSelected="1" zoomScaleNormal="100" workbookViewId="0">
      <selection activeCell="A27" sqref="A27"/>
    </sheetView>
  </sheetViews>
  <sheetFormatPr defaultColWidth="11.46484375" defaultRowHeight="14.25" x14ac:dyDescent="0.45"/>
  <cols>
    <col min="1" max="1" width="3" style="2" customWidth="1"/>
    <col min="2" max="2" width="32.1328125" style="1" customWidth="1"/>
    <col min="3" max="3" width="6.6640625" style="4" customWidth="1"/>
    <col min="4" max="4" width="7.86328125" style="4" customWidth="1"/>
    <col min="5" max="5" width="8" style="2" customWidth="1"/>
    <col min="6" max="6" width="7.33203125" style="2" bestFit="1" customWidth="1"/>
    <col min="7" max="7" width="10.53125" style="2" customWidth="1"/>
    <col min="8" max="8" width="8" style="2" customWidth="1"/>
    <col min="9" max="9" width="7.46484375" style="2" customWidth="1"/>
    <col min="10" max="10" width="8.33203125" style="2" customWidth="1"/>
    <col min="11" max="20" width="11.46484375" style="2"/>
    <col min="21" max="21" width="14.796875" style="2" bestFit="1" customWidth="1"/>
    <col min="22" max="22" width="15" style="2" bestFit="1" customWidth="1"/>
    <col min="23" max="23" width="8.53125" style="2" customWidth="1"/>
    <col min="24" max="24" width="8.86328125" style="2" customWidth="1"/>
    <col min="25" max="25" width="8.53125" style="2" customWidth="1"/>
    <col min="26" max="26" width="13.19921875" style="2" bestFit="1" customWidth="1"/>
    <col min="27" max="16384" width="11.46484375" style="2"/>
  </cols>
  <sheetData>
    <row r="2" spans="2:26" ht="18" x14ac:dyDescent="0.45">
      <c r="C2" s="61" t="s">
        <v>60</v>
      </c>
      <c r="D2" s="61"/>
      <c r="E2" s="61"/>
      <c r="F2" s="61"/>
      <c r="G2" s="61"/>
      <c r="H2" s="61"/>
      <c r="I2" s="61"/>
      <c r="J2" s="61"/>
    </row>
    <row r="3" spans="2:26" x14ac:dyDescent="0.45">
      <c r="B3" s="11" t="s">
        <v>32</v>
      </c>
      <c r="C3" s="62" t="s">
        <v>34</v>
      </c>
      <c r="D3" s="62"/>
      <c r="E3" s="62"/>
      <c r="F3" s="62"/>
      <c r="G3" s="62"/>
      <c r="H3" s="62"/>
      <c r="I3" s="62"/>
      <c r="J3" s="63"/>
    </row>
    <row r="4" spans="2:26" x14ac:dyDescent="0.45">
      <c r="C4" s="3"/>
      <c r="D4" s="3"/>
    </row>
    <row r="5" spans="2:26" ht="45" customHeight="1" x14ac:dyDescent="0.45">
      <c r="B5" s="54" t="s">
        <v>31</v>
      </c>
      <c r="C5" s="55"/>
      <c r="D5" s="55"/>
      <c r="E5" s="55" t="s">
        <v>29</v>
      </c>
      <c r="F5" s="56"/>
      <c r="G5" s="55" t="s">
        <v>30</v>
      </c>
      <c r="H5" s="55"/>
      <c r="I5" s="55" t="s">
        <v>7</v>
      </c>
      <c r="J5" s="57"/>
    </row>
    <row r="6" spans="2:26" ht="15.75" x14ac:dyDescent="0.45">
      <c r="B6" s="41" t="s">
        <v>0</v>
      </c>
      <c r="C6" s="42" t="s">
        <v>20</v>
      </c>
      <c r="D6" s="42" t="s">
        <v>18</v>
      </c>
      <c r="E6" s="42">
        <v>38.9</v>
      </c>
      <c r="F6" s="43" t="s">
        <v>71</v>
      </c>
      <c r="G6" s="42">
        <v>14.2</v>
      </c>
      <c r="H6" s="43" t="s">
        <v>71</v>
      </c>
      <c r="I6" s="42">
        <v>3.96</v>
      </c>
      <c r="J6" s="44" t="s">
        <v>71</v>
      </c>
      <c r="U6" s="58"/>
      <c r="V6" s="58" t="s">
        <v>86</v>
      </c>
      <c r="W6" s="58" t="s">
        <v>73</v>
      </c>
      <c r="X6" s="36" t="s">
        <v>74</v>
      </c>
      <c r="Y6" s="58" t="s">
        <v>75</v>
      </c>
      <c r="Z6" s="58" t="s">
        <v>85</v>
      </c>
    </row>
    <row r="7" spans="2:26" x14ac:dyDescent="0.45">
      <c r="B7" s="45" t="s">
        <v>1</v>
      </c>
      <c r="C7" s="38" t="s">
        <v>27</v>
      </c>
      <c r="D7" s="38" t="s">
        <v>18</v>
      </c>
      <c r="E7" s="38">
        <v>0.5</v>
      </c>
      <c r="F7" s="37" t="s">
        <v>2</v>
      </c>
      <c r="G7" s="38">
        <v>0.5</v>
      </c>
      <c r="H7" s="38" t="s">
        <v>2</v>
      </c>
      <c r="I7" s="38">
        <v>0.5</v>
      </c>
      <c r="J7" s="46" t="s">
        <v>2</v>
      </c>
      <c r="U7" s="58" t="s">
        <v>76</v>
      </c>
      <c r="V7" s="58" t="s">
        <v>77</v>
      </c>
      <c r="W7" s="58" t="s">
        <v>78</v>
      </c>
      <c r="X7" s="58" t="s">
        <v>81</v>
      </c>
      <c r="Y7" s="58" t="s">
        <v>80</v>
      </c>
      <c r="Z7" s="58" t="s">
        <v>79</v>
      </c>
    </row>
    <row r="8" spans="2:26" x14ac:dyDescent="0.45">
      <c r="B8" s="45" t="s">
        <v>3</v>
      </c>
      <c r="C8" s="38" t="s">
        <v>21</v>
      </c>
      <c r="D8" s="38" t="s">
        <v>18</v>
      </c>
      <c r="E8" s="38">
        <v>20</v>
      </c>
      <c r="F8" s="37" t="s">
        <v>4</v>
      </c>
      <c r="G8" s="38">
        <v>20</v>
      </c>
      <c r="H8" s="38" t="s">
        <v>4</v>
      </c>
      <c r="I8" s="38">
        <v>25.5</v>
      </c>
      <c r="J8" s="46" t="s">
        <v>4</v>
      </c>
      <c r="U8" s="58" t="s">
        <v>82</v>
      </c>
      <c r="V8" s="58">
        <f>hc</f>
        <v>0.5</v>
      </c>
      <c r="W8" s="59">
        <f>lj</f>
        <v>4.1358184577358656</v>
      </c>
      <c r="X8" s="59">
        <f>LB</f>
        <v>7.0504692807057676</v>
      </c>
      <c r="Y8" s="60">
        <f>T</f>
        <v>20</v>
      </c>
      <c r="Z8" s="60">
        <v>2</v>
      </c>
    </row>
    <row r="9" spans="2:26" ht="15.75" x14ac:dyDescent="0.45">
      <c r="B9" s="47" t="s">
        <v>8</v>
      </c>
      <c r="C9" s="40" t="s">
        <v>19</v>
      </c>
      <c r="D9" s="40" t="s">
        <v>18</v>
      </c>
      <c r="E9" s="40">
        <f>+E6/E8</f>
        <v>1.9449999999999998</v>
      </c>
      <c r="F9" s="39" t="s">
        <v>5</v>
      </c>
      <c r="G9" s="40">
        <f>+G6/G8</f>
        <v>0.71</v>
      </c>
      <c r="H9" s="40" t="s">
        <v>5</v>
      </c>
      <c r="I9" s="40">
        <f>+I6/I8</f>
        <v>0.15529411764705883</v>
      </c>
      <c r="J9" s="48" t="s">
        <v>5</v>
      </c>
      <c r="U9" s="58" t="s">
        <v>83</v>
      </c>
      <c r="V9" s="58">
        <f>'Caño Platanal'!hc</f>
        <v>0.5</v>
      </c>
      <c r="W9" s="59">
        <f>'Caño Platanal'!E16</f>
        <v>2.8506638176150956</v>
      </c>
      <c r="X9" s="59">
        <f>'Caño Platanal'!LB</f>
        <v>6.9280758777543934</v>
      </c>
      <c r="Y9" s="60">
        <f>'Caño Platanal'!T</f>
        <v>60</v>
      </c>
      <c r="Z9" s="60">
        <v>2</v>
      </c>
    </row>
    <row r="10" spans="2:26" ht="15.75" x14ac:dyDescent="0.45">
      <c r="B10" s="47" t="s">
        <v>9</v>
      </c>
      <c r="C10" s="40" t="s">
        <v>22</v>
      </c>
      <c r="D10" s="40" t="s">
        <v>18</v>
      </c>
      <c r="E10" s="40">
        <f>+E9^2/9.806/E7^3</f>
        <v>3.086294105649602</v>
      </c>
      <c r="F10" s="39" t="s">
        <v>6</v>
      </c>
      <c r="G10" s="40">
        <f>+G9^2/9.806/G7^3</f>
        <v>0.41125841321639817</v>
      </c>
      <c r="H10" s="40" t="s">
        <v>6</v>
      </c>
      <c r="I10" s="40">
        <f>+I9^2/9.806/I7^3</f>
        <v>1.967469955193029E-2</v>
      </c>
      <c r="J10" s="48" t="s">
        <v>6</v>
      </c>
      <c r="U10" s="58" t="s">
        <v>84</v>
      </c>
      <c r="V10" s="58">
        <f>'Caño Pérez'!hc</f>
        <v>0.5</v>
      </c>
      <c r="W10" s="59">
        <f>'Caño Pérez'!E16</f>
        <v>3.2650062497514334</v>
      </c>
      <c r="X10" s="59">
        <f>'Caño Pérez'!LB</f>
        <v>7.7007015501630693</v>
      </c>
      <c r="Y10" s="60">
        <f>'Caño Pérez'!T</f>
        <v>40</v>
      </c>
      <c r="Z10" s="60">
        <v>2</v>
      </c>
    </row>
    <row r="11" spans="2:26" ht="16.25" customHeight="1" x14ac:dyDescent="0.45">
      <c r="B11" s="47" t="s">
        <v>51</v>
      </c>
      <c r="C11" s="40" t="s">
        <v>52</v>
      </c>
      <c r="D11" s="40" t="s">
        <v>18</v>
      </c>
      <c r="E11" s="40">
        <f>1*Dr^0.22*hc</f>
        <v>0.64068744326630844</v>
      </c>
      <c r="F11" s="39" t="s">
        <v>4</v>
      </c>
      <c r="G11" s="40">
        <f>1*G10^0.22*G7</f>
        <v>0.41122097584855932</v>
      </c>
      <c r="H11" s="40" t="s">
        <v>4</v>
      </c>
      <c r="I11" s="40">
        <f>1*I10^0.22*I7</f>
        <v>0.21068314286995413</v>
      </c>
      <c r="J11" s="48" t="s">
        <v>4</v>
      </c>
    </row>
    <row r="12" spans="2:26" ht="15.75" x14ac:dyDescent="0.45">
      <c r="B12" s="47" t="s">
        <v>10</v>
      </c>
      <c r="C12" s="40" t="s">
        <v>23</v>
      </c>
      <c r="D12" s="40" t="s">
        <v>18</v>
      </c>
      <c r="E12" s="40">
        <f>0.54*E10^0.425*E7</f>
        <v>0.43588770653162817</v>
      </c>
      <c r="F12" s="39" t="s">
        <v>4</v>
      </c>
      <c r="G12" s="40">
        <f>0.54*G10^0.425*G7</f>
        <v>0.18508130466986891</v>
      </c>
      <c r="H12" s="40" t="s">
        <v>4</v>
      </c>
      <c r="I12" s="40">
        <f>0.54*I10^0.425*I7</f>
        <v>5.0848097761595976E-2</v>
      </c>
      <c r="J12" s="48" t="s">
        <v>4</v>
      </c>
    </row>
    <row r="13" spans="2:26" x14ac:dyDescent="0.45">
      <c r="B13" s="47" t="s">
        <v>48</v>
      </c>
      <c r="C13" s="40" t="s">
        <v>49</v>
      </c>
      <c r="D13" s="40" t="s">
        <v>18</v>
      </c>
      <c r="E13" s="40">
        <f>q/(Y.1*SQRT(9.81*Y.1))</f>
        <v>2.157859534728618</v>
      </c>
      <c r="F13" s="39" t="s">
        <v>50</v>
      </c>
      <c r="G13" s="40">
        <f>G9/(G12*SQRT(9.81*G12))</f>
        <v>2.8469511589640808</v>
      </c>
      <c r="H13" s="40" t="s">
        <v>50</v>
      </c>
      <c r="I13" s="40">
        <f>I9/(I12*SQRT(9.81*I12))</f>
        <v>4.3242265210280619</v>
      </c>
      <c r="J13" s="48" t="s">
        <v>50</v>
      </c>
    </row>
    <row r="14" spans="2:26" ht="15.75" x14ac:dyDescent="0.45">
      <c r="B14" s="47" t="s">
        <v>11</v>
      </c>
      <c r="C14" s="40" t="s">
        <v>24</v>
      </c>
      <c r="D14" s="40" t="s">
        <v>18</v>
      </c>
      <c r="E14" s="40">
        <f>1.66*Dr^0.27*hc</f>
        <v>1.1251907828209391</v>
      </c>
      <c r="F14" s="39" t="s">
        <v>4</v>
      </c>
      <c r="G14" s="40">
        <f>1.66*G10^0.27*G7</f>
        <v>0.65296377339074074</v>
      </c>
      <c r="H14" s="40" t="s">
        <v>4</v>
      </c>
      <c r="I14" s="40">
        <f>1.66*I10^0.27*I7</f>
        <v>0.28736460978954398</v>
      </c>
      <c r="J14" s="48" t="s">
        <v>4</v>
      </c>
    </row>
    <row r="15" spans="2:26" x14ac:dyDescent="0.45">
      <c r="B15" s="47" t="s">
        <v>53</v>
      </c>
      <c r="C15" s="40" t="s">
        <v>54</v>
      </c>
      <c r="D15" s="40" t="s">
        <v>18</v>
      </c>
      <c r="E15" s="40">
        <f>(q^2/9.81)^(1/3)</f>
        <v>0.72787488524762967</v>
      </c>
      <c r="F15" s="39" t="s">
        <v>4</v>
      </c>
      <c r="G15" s="40">
        <f>(G9^2/9.81)^(1/3)</f>
        <v>0.3717770382931731</v>
      </c>
      <c r="H15" s="40" t="s">
        <v>4</v>
      </c>
      <c r="I15" s="40">
        <f>(I9^2/9.81)^(1/3)</f>
        <v>0.13496267200321987</v>
      </c>
      <c r="J15" s="48" t="s">
        <v>4</v>
      </c>
    </row>
    <row r="16" spans="2:26" x14ac:dyDescent="0.45">
      <c r="B16" s="47" t="s">
        <v>56</v>
      </c>
      <c r="C16" s="40" t="s">
        <v>57</v>
      </c>
      <c r="D16" s="40" t="s">
        <v>18</v>
      </c>
      <c r="E16" s="40">
        <f>4.3*Dr^0.27*hc</f>
        <v>2.9146508229699024</v>
      </c>
      <c r="F16" s="39" t="s">
        <v>4</v>
      </c>
      <c r="G16" s="40">
        <f>4.3*G10^0.27*G7</f>
        <v>1.6914121840844487</v>
      </c>
      <c r="H16" s="40" t="s">
        <v>4</v>
      </c>
      <c r="I16" s="40">
        <f>4.3*I10^0.27*I7</f>
        <v>0.74437820608134886</v>
      </c>
      <c r="J16" s="48" t="s">
        <v>4</v>
      </c>
    </row>
    <row r="17" spans="2:19" ht="15.6" customHeight="1" x14ac:dyDescent="0.45">
      <c r="B17" s="47" t="s">
        <v>12</v>
      </c>
      <c r="C17" s="40" t="s">
        <v>55</v>
      </c>
      <c r="D17" s="40" t="s">
        <v>18</v>
      </c>
      <c r="E17" s="40">
        <f>6*(E14-E12)</f>
        <v>4.1358184577358656</v>
      </c>
      <c r="F17" s="39" t="s">
        <v>4</v>
      </c>
      <c r="G17" s="40">
        <f>6*(G14-G12)</f>
        <v>2.8072948123252308</v>
      </c>
      <c r="H17" s="40" t="s">
        <v>4</v>
      </c>
      <c r="I17" s="40">
        <f>6*(I14-I12)</f>
        <v>1.4190990721676879</v>
      </c>
      <c r="J17" s="48" t="s">
        <v>4</v>
      </c>
    </row>
    <row r="18" spans="2:19" ht="15.6" customHeight="1" x14ac:dyDescent="0.45">
      <c r="B18" s="47" t="s">
        <v>59</v>
      </c>
      <c r="C18" s="40" t="s">
        <v>58</v>
      </c>
      <c r="D18" s="40" t="s">
        <v>18</v>
      </c>
      <c r="E18" s="40">
        <f>E16+6*(y.2-Y.1)</f>
        <v>7.0504692807057676</v>
      </c>
      <c r="F18" s="39" t="s">
        <v>4</v>
      </c>
      <c r="G18" s="40">
        <f>G16+6*(G14-G12)</f>
        <v>4.4987069964096795</v>
      </c>
      <c r="H18" s="40" t="s">
        <v>4</v>
      </c>
      <c r="I18" s="40">
        <f>I16+6*(I14-I12)</f>
        <v>2.1634772782490366</v>
      </c>
      <c r="J18" s="48" t="s">
        <v>4</v>
      </c>
    </row>
    <row r="19" spans="2:19" ht="15.75" x14ac:dyDescent="0.45">
      <c r="B19" s="47" t="s">
        <v>13</v>
      </c>
      <c r="C19" s="40" t="s">
        <v>62</v>
      </c>
      <c r="D19" s="40" t="s">
        <v>18</v>
      </c>
      <c r="E19" s="40">
        <f>E7*(4.3*E10^0.27)+E17</f>
        <v>7.0504692807057676</v>
      </c>
      <c r="F19" s="39" t="s">
        <v>4</v>
      </c>
      <c r="G19" s="40">
        <f>G7*(4.3*G10^0.27)+G17</f>
        <v>4.4987069964096795</v>
      </c>
      <c r="H19" s="40" t="s">
        <v>4</v>
      </c>
      <c r="I19" s="40">
        <f>I7*(4.3*I10^0.27)+I17</f>
        <v>2.1634772782490366</v>
      </c>
      <c r="J19" s="48" t="s">
        <v>4</v>
      </c>
    </row>
    <row r="20" spans="2:19" ht="15.75" x14ac:dyDescent="0.45">
      <c r="B20" s="47" t="s">
        <v>14</v>
      </c>
      <c r="C20" s="40" t="s">
        <v>25</v>
      </c>
      <c r="D20" s="40" t="s">
        <v>18</v>
      </c>
      <c r="E20" s="40">
        <f>0.5*E12</f>
        <v>0.21794385326581409</v>
      </c>
      <c r="F20" s="39" t="s">
        <v>4</v>
      </c>
      <c r="G20" s="40">
        <f>0.5*G12</f>
        <v>9.2540652334934456E-2</v>
      </c>
      <c r="H20" s="40" t="s">
        <v>4</v>
      </c>
      <c r="I20" s="40">
        <f>0.5*I12</f>
        <v>2.5424048880797988E-2</v>
      </c>
      <c r="J20" s="48" t="s">
        <v>4</v>
      </c>
    </row>
    <row r="21" spans="2:19" ht="15.75" x14ac:dyDescent="0.45">
      <c r="B21" s="47" t="s">
        <v>15</v>
      </c>
      <c r="C21" s="40" t="s">
        <v>26</v>
      </c>
      <c r="D21" s="40" t="s">
        <v>18</v>
      </c>
      <c r="E21" s="40">
        <f>4*E12</f>
        <v>1.7435508261265127</v>
      </c>
      <c r="F21" s="39" t="s">
        <v>4</v>
      </c>
      <c r="G21" s="40">
        <f>4*G12</f>
        <v>0.74032521867947565</v>
      </c>
      <c r="H21" s="40" t="s">
        <v>4</v>
      </c>
      <c r="I21" s="40">
        <f>4*I12</f>
        <v>0.2033923910463839</v>
      </c>
      <c r="J21" s="48" t="s">
        <v>4</v>
      </c>
    </row>
    <row r="22" spans="2:19" x14ac:dyDescent="0.45">
      <c r="B22" s="45" t="s">
        <v>16</v>
      </c>
      <c r="C22" s="38" t="s">
        <v>61</v>
      </c>
      <c r="D22" s="38" t="s">
        <v>18</v>
      </c>
      <c r="E22" s="38">
        <v>0.35</v>
      </c>
      <c r="F22" s="37" t="s">
        <v>4</v>
      </c>
      <c r="G22" s="38">
        <v>0.35</v>
      </c>
      <c r="H22" s="38" t="s">
        <v>4</v>
      </c>
      <c r="I22" s="38">
        <v>0.35</v>
      </c>
      <c r="J22" s="46" t="s">
        <v>4</v>
      </c>
    </row>
    <row r="23" spans="2:19" ht="15.75" x14ac:dyDescent="0.45">
      <c r="B23" s="49" t="s">
        <v>17</v>
      </c>
      <c r="C23" s="50" t="s">
        <v>28</v>
      </c>
      <c r="D23" s="51" t="s">
        <v>18</v>
      </c>
      <c r="E23" s="51">
        <v>0.73</v>
      </c>
      <c r="F23" s="52" t="s">
        <v>4</v>
      </c>
      <c r="G23" s="51">
        <v>0.37</v>
      </c>
      <c r="H23" s="51" t="s">
        <v>4</v>
      </c>
      <c r="I23" s="51">
        <v>0.13</v>
      </c>
      <c r="J23" s="53" t="s">
        <v>4</v>
      </c>
    </row>
    <row r="24" spans="2:19" x14ac:dyDescent="0.45">
      <c r="B24" s="12" t="s">
        <v>33</v>
      </c>
      <c r="E24" s="35">
        <f>E16+lj</f>
        <v>7.0504692807057676</v>
      </c>
    </row>
    <row r="25" spans="2:19" ht="14.45" customHeight="1" x14ac:dyDescent="0.45">
      <c r="C25" s="2" t="s">
        <v>47</v>
      </c>
      <c r="D25" s="2">
        <v>2</v>
      </c>
      <c r="H25" s="2" t="s">
        <v>45</v>
      </c>
      <c r="I25" s="2">
        <v>8</v>
      </c>
    </row>
    <row r="26" spans="2:19" x14ac:dyDescent="0.45">
      <c r="B26" s="2" t="s">
        <v>38</v>
      </c>
      <c r="C26" s="22" t="s">
        <v>36</v>
      </c>
      <c r="D26" s="24" t="s">
        <v>44</v>
      </c>
      <c r="E26" s="24" t="s">
        <v>37</v>
      </c>
      <c r="F26" s="22" t="s">
        <v>36</v>
      </c>
      <c r="G26" s="23" t="s">
        <v>44</v>
      </c>
      <c r="H26" s="29" t="s">
        <v>39</v>
      </c>
      <c r="I26" s="23"/>
      <c r="J26" s="22" t="s">
        <v>46</v>
      </c>
      <c r="K26" s="23"/>
      <c r="L26" s="22" t="s">
        <v>61</v>
      </c>
      <c r="M26" s="23"/>
      <c r="N26" s="22" t="s">
        <v>41</v>
      </c>
      <c r="O26" s="23"/>
      <c r="P26" s="22" t="s">
        <v>27</v>
      </c>
      <c r="Q26" s="23"/>
    </row>
    <row r="27" spans="2:19" x14ac:dyDescent="0.45">
      <c r="B27" s="1" t="s">
        <v>40</v>
      </c>
      <c r="C27" s="9">
        <v>0</v>
      </c>
      <c r="D27" s="17">
        <f>D25</f>
        <v>2</v>
      </c>
      <c r="E27" s="20">
        <f>D27+1.05*E14</f>
        <v>3.1814503219619858</v>
      </c>
      <c r="F27" s="9">
        <f>C27</f>
        <v>0</v>
      </c>
      <c r="G27" s="5">
        <f>D25</f>
        <v>2</v>
      </c>
      <c r="H27" s="15">
        <f>C29</f>
        <v>0.82716369154717317</v>
      </c>
      <c r="I27" s="25">
        <f>D29+I25/100</f>
        <v>2.08</v>
      </c>
      <c r="J27" s="15">
        <f>C28</f>
        <v>0.41358184577358659</v>
      </c>
      <c r="K27" s="16">
        <f>D25-0.7</f>
        <v>1.3</v>
      </c>
      <c r="L27" s="15">
        <f>0.6*C28</f>
        <v>0.24814910746415195</v>
      </c>
      <c r="M27" s="25">
        <f>I27</f>
        <v>2.08</v>
      </c>
      <c r="N27" s="26">
        <f>C30</f>
        <v>4.5494003035094526</v>
      </c>
      <c r="O27" s="25">
        <f>I27</f>
        <v>2.08</v>
      </c>
      <c r="P27" s="15">
        <f>C31*0.95</f>
        <v>7.0908485701553863</v>
      </c>
      <c r="Q27" s="25">
        <f>I27</f>
        <v>2.08</v>
      </c>
    </row>
    <row r="28" spans="2:19" x14ac:dyDescent="0.45">
      <c r="B28" s="1" t="s">
        <v>35</v>
      </c>
      <c r="C28" s="9">
        <f>0.1*lj</f>
        <v>0.41358184577358659</v>
      </c>
      <c r="D28" s="17">
        <f>D25</f>
        <v>2</v>
      </c>
      <c r="E28" s="20">
        <f>E29+0.05*E29</f>
        <v>3.2814503219619859</v>
      </c>
      <c r="F28" s="9">
        <f>C28</f>
        <v>0.41358184577358659</v>
      </c>
      <c r="G28" s="5">
        <f>D25</f>
        <v>2</v>
      </c>
      <c r="H28" s="9">
        <f>H27</f>
        <v>0.82716369154717317</v>
      </c>
      <c r="I28" s="28">
        <f>(I27+I29)/2</f>
        <v>2.6025953914104694</v>
      </c>
      <c r="J28" s="9">
        <f>J27</f>
        <v>0.41358184577358659</v>
      </c>
      <c r="K28" s="28">
        <f>(K27+K29)/2</f>
        <v>1.8650000000000002</v>
      </c>
      <c r="L28" s="9">
        <f>L27</f>
        <v>0.24814910746415195</v>
      </c>
      <c r="M28" s="28">
        <f>(M27+M29)/2</f>
        <v>2.2549999999999999</v>
      </c>
      <c r="N28" s="6">
        <f>N27</f>
        <v>4.5494003035094526</v>
      </c>
      <c r="O28" s="28">
        <f>(O27+O29)/2</f>
        <v>2.257943853265814</v>
      </c>
      <c r="P28" s="9">
        <f>P27</f>
        <v>7.0908485701553863</v>
      </c>
      <c r="Q28" s="28">
        <f>(Q27+Q29)/2</f>
        <v>2.33</v>
      </c>
    </row>
    <row r="29" spans="2:19" x14ac:dyDescent="0.45">
      <c r="B29" s="1" t="s">
        <v>39</v>
      </c>
      <c r="C29" s="9">
        <f>0.2*lj</f>
        <v>0.82716369154717317</v>
      </c>
      <c r="D29" s="17">
        <f>D25</f>
        <v>2</v>
      </c>
      <c r="E29" s="20">
        <f>D29+E14</f>
        <v>3.1251907828209391</v>
      </c>
      <c r="F29" s="9">
        <f t="shared" ref="F29" si="0">C29</f>
        <v>0.82716369154717317</v>
      </c>
      <c r="G29" s="5">
        <f>D25</f>
        <v>2</v>
      </c>
      <c r="H29" s="10">
        <f>H27</f>
        <v>0.82716369154717317</v>
      </c>
      <c r="I29" s="19">
        <f>E29</f>
        <v>3.1251907828209391</v>
      </c>
      <c r="J29" s="10">
        <f>J27</f>
        <v>0.41358184577358659</v>
      </c>
      <c r="K29" s="8">
        <f>D28+I25/100+E22</f>
        <v>2.4300000000000002</v>
      </c>
      <c r="L29" s="10">
        <f>L27</f>
        <v>0.24814910746415195</v>
      </c>
      <c r="M29" s="8">
        <f>K29</f>
        <v>2.4300000000000002</v>
      </c>
      <c r="N29" s="7">
        <f>N27</f>
        <v>4.5494003035094526</v>
      </c>
      <c r="O29" s="19">
        <f>E30</f>
        <v>2.435887706531628</v>
      </c>
      <c r="P29" s="10">
        <f>P27</f>
        <v>7.0908485701553863</v>
      </c>
      <c r="Q29" s="8">
        <f>D25+hc+I25/100</f>
        <v>2.58</v>
      </c>
    </row>
    <row r="30" spans="2:19" x14ac:dyDescent="0.45">
      <c r="B30" s="1" t="s">
        <v>41</v>
      </c>
      <c r="C30" s="6">
        <f>+C28+E17</f>
        <v>4.5494003035094526</v>
      </c>
      <c r="D30" s="17">
        <f>D25</f>
        <v>2</v>
      </c>
      <c r="E30" s="20">
        <f>D30+E12</f>
        <v>2.435887706531628</v>
      </c>
      <c r="F30" s="9">
        <f>C30</f>
        <v>4.5494003035094526</v>
      </c>
      <c r="G30" s="5">
        <f>D25</f>
        <v>2</v>
      </c>
      <c r="H30" s="22" t="s">
        <v>42</v>
      </c>
      <c r="I30" s="23"/>
      <c r="J30" s="22" t="s">
        <v>20</v>
      </c>
      <c r="K30" s="23"/>
      <c r="L30" s="34">
        <v>0</v>
      </c>
      <c r="M30" s="31"/>
      <c r="N30" s="22" t="s">
        <v>55</v>
      </c>
      <c r="O30" s="23"/>
      <c r="P30" s="22" t="s">
        <v>57</v>
      </c>
      <c r="Q30" s="23"/>
      <c r="R30" s="22" t="s">
        <v>63</v>
      </c>
      <c r="S30" s="23"/>
    </row>
    <row r="31" spans="2:19" x14ac:dyDescent="0.45">
      <c r="B31" s="1" t="s">
        <v>42</v>
      </c>
      <c r="C31" s="6">
        <f>+C30+E16</f>
        <v>7.4640511264793545</v>
      </c>
      <c r="D31" s="17">
        <f>D25+hc</f>
        <v>2.5</v>
      </c>
      <c r="E31" s="20">
        <f>D31+E23</f>
        <v>3.23</v>
      </c>
      <c r="F31" s="9">
        <f>C31</f>
        <v>7.4640511264793545</v>
      </c>
      <c r="G31" s="28">
        <f>D25</f>
        <v>2</v>
      </c>
      <c r="H31" s="15">
        <f>C31-I25/100</f>
        <v>7.3840511264793545</v>
      </c>
      <c r="I31" s="16">
        <f>D31+I25/100</f>
        <v>2.58</v>
      </c>
      <c r="J31" s="26">
        <f>C32-0.5*(C32-C31)</f>
        <v>9.5319603553472874</v>
      </c>
      <c r="K31" s="25">
        <f>D31+0.5</f>
        <v>3</v>
      </c>
      <c r="L31" s="26">
        <f>H31</f>
        <v>7.3840511264793545</v>
      </c>
      <c r="M31" s="33">
        <f>I35</f>
        <v>1.92</v>
      </c>
      <c r="N31" s="9">
        <f>H27</f>
        <v>0.82716369154717317</v>
      </c>
      <c r="O31" s="5">
        <f>D25-0.5</f>
        <v>1.5</v>
      </c>
      <c r="P31" s="6">
        <f>C30</f>
        <v>4.5494003035094526</v>
      </c>
      <c r="Q31" s="5">
        <f>D25-0.5</f>
        <v>1.5</v>
      </c>
      <c r="R31" s="6">
        <f>N31</f>
        <v>0.82716369154717317</v>
      </c>
      <c r="S31" s="5">
        <f>D25-1</f>
        <v>1</v>
      </c>
    </row>
    <row r="32" spans="2:19" x14ac:dyDescent="0.45">
      <c r="B32" s="1" t="s">
        <v>43</v>
      </c>
      <c r="C32" s="10">
        <f>+C31+1*lj</f>
        <v>11.59986958421522</v>
      </c>
      <c r="D32" s="18">
        <f>D25+hc</f>
        <v>2.5</v>
      </c>
      <c r="E32" s="21">
        <f>D32+E23*1.15</f>
        <v>3.3395000000000001</v>
      </c>
      <c r="F32" s="9">
        <f>F31</f>
        <v>7.4640511264793545</v>
      </c>
      <c r="G32" s="28">
        <f>D31</f>
        <v>2.5</v>
      </c>
      <c r="H32" s="9">
        <f>H31</f>
        <v>7.3840511264793545</v>
      </c>
      <c r="I32" s="28">
        <f>(I31+I33)/2</f>
        <v>2.9050000000000002</v>
      </c>
      <c r="J32" s="28">
        <f>(J31+J33)/2</f>
        <v>10.152333124007667</v>
      </c>
      <c r="K32" s="28">
        <f>K31</f>
        <v>3</v>
      </c>
      <c r="L32" s="7">
        <f>L31</f>
        <v>7.3840511264793545</v>
      </c>
      <c r="M32" s="19">
        <f>I36</f>
        <v>0.5</v>
      </c>
      <c r="N32" s="9">
        <f>(N31+N33)/2</f>
        <v>2.6882819975283128</v>
      </c>
      <c r="O32" s="5">
        <f>O31</f>
        <v>1.5</v>
      </c>
      <c r="P32" s="9">
        <f>(P31+P33)/2</f>
        <v>5.9667257149944035</v>
      </c>
      <c r="Q32" s="5">
        <f>Q31</f>
        <v>1.5</v>
      </c>
      <c r="R32" s="9">
        <f>(R31+R33)/2</f>
        <v>4.1056074090132642</v>
      </c>
      <c r="S32" s="5">
        <f>S31</f>
        <v>1</v>
      </c>
    </row>
    <row r="33" spans="3:19" x14ac:dyDescent="0.45">
      <c r="C33" s="13">
        <f>C31</f>
        <v>7.4640511264793545</v>
      </c>
      <c r="D33" s="14">
        <v>1</v>
      </c>
      <c r="F33" s="10">
        <f>C32</f>
        <v>11.59986958421522</v>
      </c>
      <c r="G33" s="27">
        <f>D32</f>
        <v>2.5</v>
      </c>
      <c r="H33" s="10">
        <f>H31</f>
        <v>7.3840511264793545</v>
      </c>
      <c r="I33" s="19">
        <f>E31</f>
        <v>3.23</v>
      </c>
      <c r="J33" s="7">
        <f>C32-0.2*(C32-C31)</f>
        <v>10.772705892668046</v>
      </c>
      <c r="K33" s="27">
        <f>K31</f>
        <v>3</v>
      </c>
      <c r="N33" s="7">
        <f>N27</f>
        <v>4.5494003035094526</v>
      </c>
      <c r="O33" s="8">
        <f>O31</f>
        <v>1.5</v>
      </c>
      <c r="P33" s="10">
        <f>H31</f>
        <v>7.3840511264793545</v>
      </c>
      <c r="Q33" s="8">
        <f>Q32</f>
        <v>1.5</v>
      </c>
      <c r="R33" s="10">
        <f>P33</f>
        <v>7.3840511264793545</v>
      </c>
      <c r="S33" s="8">
        <f>S31</f>
        <v>1</v>
      </c>
    </row>
    <row r="34" spans="3:19" x14ac:dyDescent="0.45">
      <c r="C34" s="13"/>
      <c r="D34" s="14"/>
      <c r="F34" s="30"/>
      <c r="G34" s="17"/>
      <c r="H34" s="22">
        <v>2</v>
      </c>
      <c r="I34" s="31"/>
      <c r="J34" s="34">
        <v>1</v>
      </c>
      <c r="K34" s="32"/>
    </row>
    <row r="35" spans="3:19" x14ac:dyDescent="0.45">
      <c r="C35" s="13"/>
      <c r="D35" s="14"/>
      <c r="F35" s="30"/>
      <c r="G35" s="17"/>
      <c r="H35" s="15">
        <f>C29</f>
        <v>0.82716369154717317</v>
      </c>
      <c r="I35" s="33">
        <f>D25-8/100</f>
        <v>1.92</v>
      </c>
      <c r="J35" s="26">
        <f>C30</f>
        <v>4.5494003035094526</v>
      </c>
      <c r="K35" s="25">
        <f>I35</f>
        <v>1.92</v>
      </c>
    </row>
    <row r="36" spans="3:19" x14ac:dyDescent="0.45">
      <c r="C36" s="13"/>
      <c r="D36" s="14"/>
      <c r="F36" s="30"/>
      <c r="G36" s="17"/>
      <c r="H36" s="10">
        <f>H35</f>
        <v>0.82716369154717317</v>
      </c>
      <c r="I36" s="19">
        <f>D25-1.5</f>
        <v>0.5</v>
      </c>
      <c r="J36" s="7">
        <f>J35</f>
        <v>4.5494003035094526</v>
      </c>
      <c r="K36" s="27">
        <f>I36</f>
        <v>0.5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314325</xdr:colOff>
                <xdr:row>3</xdr:row>
                <xdr:rowOff>28575</xdr:rowOff>
              </to>
            </anchor>
          </controlPr>
        </control>
      </mc:Choice>
      <mc:Fallback>
        <control shapeId="5121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2:S36"/>
  <sheetViews>
    <sheetView showGridLines="0" zoomScaleNormal="100" workbookViewId="0"/>
  </sheetViews>
  <sheetFormatPr defaultColWidth="11.46484375" defaultRowHeight="14.25" x14ac:dyDescent="0.45"/>
  <cols>
    <col min="1" max="1" width="3" style="2" customWidth="1"/>
    <col min="2" max="2" width="32.1328125" style="1" customWidth="1"/>
    <col min="3" max="3" width="6.6640625" style="4" customWidth="1"/>
    <col min="4" max="4" width="7.86328125" style="4" customWidth="1"/>
    <col min="5" max="5" width="8" style="2" customWidth="1"/>
    <col min="6" max="6" width="7.33203125" style="2" bestFit="1" customWidth="1"/>
    <col min="7" max="7" width="10.796875" style="2" customWidth="1"/>
    <col min="8" max="8" width="8" style="2" customWidth="1"/>
    <col min="9" max="9" width="7.46484375" style="2" customWidth="1"/>
    <col min="10" max="10" width="8.33203125" style="2" customWidth="1"/>
    <col min="11" max="16384" width="11.46484375" style="2"/>
  </cols>
  <sheetData>
    <row r="2" spans="2:10" ht="18" x14ac:dyDescent="0.45">
      <c r="C2" s="61" t="s">
        <v>60</v>
      </c>
      <c r="D2" s="61"/>
      <c r="E2" s="61"/>
      <c r="F2" s="61"/>
      <c r="G2" s="61"/>
      <c r="H2" s="61"/>
      <c r="I2" s="61"/>
      <c r="J2" s="61"/>
    </row>
    <row r="3" spans="2:10" x14ac:dyDescent="0.45">
      <c r="B3" s="11" t="s">
        <v>32</v>
      </c>
      <c r="C3" s="62" t="s">
        <v>34</v>
      </c>
      <c r="D3" s="62"/>
      <c r="E3" s="62"/>
      <c r="F3" s="62"/>
      <c r="G3" s="62"/>
      <c r="H3" s="62"/>
      <c r="I3" s="62"/>
      <c r="J3" s="63"/>
    </row>
    <row r="4" spans="2:10" x14ac:dyDescent="0.45">
      <c r="C4" s="3"/>
      <c r="D4" s="3"/>
    </row>
    <row r="5" spans="2:10" ht="45" customHeight="1" x14ac:dyDescent="0.45">
      <c r="B5" s="54" t="s">
        <v>31</v>
      </c>
      <c r="C5" s="55"/>
      <c r="D5" s="55"/>
      <c r="E5" s="55" t="s">
        <v>29</v>
      </c>
      <c r="F5" s="56"/>
      <c r="G5" s="55" t="s">
        <v>30</v>
      </c>
      <c r="H5" s="55"/>
      <c r="I5" s="55" t="s">
        <v>7</v>
      </c>
      <c r="J5" s="57"/>
    </row>
    <row r="6" spans="2:10" ht="15.75" x14ac:dyDescent="0.45">
      <c r="B6" s="41" t="s">
        <v>0</v>
      </c>
      <c r="C6" s="42" t="s">
        <v>20</v>
      </c>
      <c r="D6" s="42" t="s">
        <v>18</v>
      </c>
      <c r="E6" s="42">
        <v>112</v>
      </c>
      <c r="F6" s="43" t="s">
        <v>71</v>
      </c>
      <c r="G6" s="43">
        <v>43</v>
      </c>
      <c r="H6" s="43" t="s">
        <v>71</v>
      </c>
      <c r="I6" s="43">
        <v>3.96</v>
      </c>
      <c r="J6" s="44" t="s">
        <v>71</v>
      </c>
    </row>
    <row r="7" spans="2:10" x14ac:dyDescent="0.45">
      <c r="B7" s="45" t="s">
        <v>1</v>
      </c>
      <c r="C7" s="38" t="s">
        <v>27</v>
      </c>
      <c r="D7" s="38" t="s">
        <v>18</v>
      </c>
      <c r="E7" s="38">
        <v>0.5</v>
      </c>
      <c r="F7" s="37" t="s">
        <v>2</v>
      </c>
      <c r="G7" s="38">
        <v>0.5</v>
      </c>
      <c r="H7" s="38" t="s">
        <v>2</v>
      </c>
      <c r="I7" s="38">
        <v>0.5</v>
      </c>
      <c r="J7" s="46" t="s">
        <v>2</v>
      </c>
    </row>
    <row r="8" spans="2:10" x14ac:dyDescent="0.45">
      <c r="B8" s="45" t="s">
        <v>3</v>
      </c>
      <c r="C8" s="38" t="s">
        <v>21</v>
      </c>
      <c r="D8" s="38" t="s">
        <v>18</v>
      </c>
      <c r="E8" s="38">
        <v>60</v>
      </c>
      <c r="F8" s="37" t="s">
        <v>4</v>
      </c>
      <c r="G8" s="38">
        <v>60</v>
      </c>
      <c r="H8" s="38" t="s">
        <v>4</v>
      </c>
      <c r="I8" s="38">
        <v>25.5</v>
      </c>
      <c r="J8" s="46" t="s">
        <v>4</v>
      </c>
    </row>
    <row r="9" spans="2:10" ht="15.75" x14ac:dyDescent="0.45">
      <c r="B9" s="47" t="s">
        <v>8</v>
      </c>
      <c r="C9" s="40" t="s">
        <v>19</v>
      </c>
      <c r="D9" s="40" t="s">
        <v>18</v>
      </c>
      <c r="E9" s="40">
        <f>+E6/E8</f>
        <v>1.8666666666666667</v>
      </c>
      <c r="F9" s="39" t="s">
        <v>5</v>
      </c>
      <c r="G9" s="40">
        <f>+G6/G8</f>
        <v>0.71666666666666667</v>
      </c>
      <c r="H9" s="40" t="s">
        <v>5</v>
      </c>
      <c r="I9" s="40">
        <f>+I6/I8</f>
        <v>0.15529411764705883</v>
      </c>
      <c r="J9" s="48" t="s">
        <v>5</v>
      </c>
    </row>
    <row r="10" spans="2:10" ht="15.75" x14ac:dyDescent="0.45">
      <c r="B10" s="47" t="s">
        <v>9</v>
      </c>
      <c r="C10" s="40" t="s">
        <v>22</v>
      </c>
      <c r="D10" s="40" t="s">
        <v>18</v>
      </c>
      <c r="E10" s="40">
        <f>+E9^2/9.806/E7^3</f>
        <v>2.842704013415823</v>
      </c>
      <c r="F10" s="39" t="s">
        <v>6</v>
      </c>
      <c r="G10" s="40">
        <f>+G9^2/9.806/G7^3</f>
        <v>0.41901783488567096</v>
      </c>
      <c r="H10" s="40" t="s">
        <v>6</v>
      </c>
      <c r="I10" s="40">
        <f>+I9^2/9.806/I7^3</f>
        <v>1.967469955193029E-2</v>
      </c>
      <c r="J10" s="48" t="s">
        <v>6</v>
      </c>
    </row>
    <row r="11" spans="2:10" ht="16.25" customHeight="1" x14ac:dyDescent="0.45">
      <c r="B11" s="47" t="s">
        <v>51</v>
      </c>
      <c r="C11" s="40" t="s">
        <v>52</v>
      </c>
      <c r="D11" s="40" t="s">
        <v>18</v>
      </c>
      <c r="E11" s="40">
        <f>1*Dr^0.22*hc</f>
        <v>0.62920326234084345</v>
      </c>
      <c r="F11" s="39" t="s">
        <v>4</v>
      </c>
      <c r="G11" s="40">
        <f>1*G10^0.22*G7</f>
        <v>0.412915471948823</v>
      </c>
      <c r="H11" s="40" t="s">
        <v>4</v>
      </c>
      <c r="I11" s="40">
        <f>1*I10^0.22*I7</f>
        <v>0.21068314286995413</v>
      </c>
      <c r="J11" s="48" t="s">
        <v>4</v>
      </c>
    </row>
    <row r="12" spans="2:10" ht="15.75" x14ac:dyDescent="0.45">
      <c r="B12" s="47" t="s">
        <v>10</v>
      </c>
      <c r="C12" s="40" t="s">
        <v>23</v>
      </c>
      <c r="D12" s="40" t="s">
        <v>18</v>
      </c>
      <c r="E12" s="40">
        <f>0.54*E10^0.425*E7</f>
        <v>0.42092014592431659</v>
      </c>
      <c r="F12" s="39" t="s">
        <v>4</v>
      </c>
      <c r="G12" s="40">
        <f>0.54*G10^0.425*G7</f>
        <v>0.1865574428635926</v>
      </c>
      <c r="H12" s="40" t="s">
        <v>4</v>
      </c>
      <c r="I12" s="40">
        <f>0.54*I10^0.425*I7</f>
        <v>5.0848097761595976E-2</v>
      </c>
      <c r="J12" s="48" t="s">
        <v>4</v>
      </c>
    </row>
    <row r="13" spans="2:10" x14ac:dyDescent="0.45">
      <c r="B13" s="47" t="s">
        <v>48</v>
      </c>
      <c r="C13" s="40" t="s">
        <v>49</v>
      </c>
      <c r="D13" s="40" t="s">
        <v>18</v>
      </c>
      <c r="E13" s="40">
        <f>q/(Y.1*SQRT(9.81*Y.1))</f>
        <v>2.1823916943743868</v>
      </c>
      <c r="F13" s="39" t="s">
        <v>50</v>
      </c>
      <c r="G13" s="40">
        <f>G9/(G12*SQRT(9.81*G12))</f>
        <v>2.8396435698415821</v>
      </c>
      <c r="H13" s="40" t="s">
        <v>50</v>
      </c>
      <c r="I13" s="40">
        <f>I9/(I12*SQRT(9.81*I12))</f>
        <v>4.3242265210280619</v>
      </c>
      <c r="J13" s="48" t="s">
        <v>50</v>
      </c>
    </row>
    <row r="14" spans="2:10" ht="15.75" x14ac:dyDescent="0.45">
      <c r="B14" s="47" t="s">
        <v>11</v>
      </c>
      <c r="C14" s="40" t="s">
        <v>24</v>
      </c>
      <c r="D14" s="40" t="s">
        <v>18</v>
      </c>
      <c r="E14" s="40">
        <f>1.66*Dr^0.27*hc</f>
        <v>1.1004888226141996</v>
      </c>
      <c r="F14" s="39" t="s">
        <v>4</v>
      </c>
      <c r="G14" s="40">
        <f>1.66*G10^0.27*G7</f>
        <v>0.65626745801856701</v>
      </c>
      <c r="H14" s="40" t="s">
        <v>4</v>
      </c>
      <c r="I14" s="40">
        <f>1.66*I10^0.27*I7</f>
        <v>0.28736460978954398</v>
      </c>
      <c r="J14" s="48" t="s">
        <v>4</v>
      </c>
    </row>
    <row r="15" spans="2:10" x14ac:dyDescent="0.45">
      <c r="B15" s="47" t="s">
        <v>53</v>
      </c>
      <c r="C15" s="40" t="s">
        <v>54</v>
      </c>
      <c r="D15" s="40" t="s">
        <v>18</v>
      </c>
      <c r="E15" s="40">
        <f>(q^2/9.81)^(1/3)</f>
        <v>0.70819824425202715</v>
      </c>
      <c r="F15" s="39" t="s">
        <v>4</v>
      </c>
      <c r="G15" s="40">
        <f>(G9^2/9.81)^(1/3)</f>
        <v>0.37410065420791733</v>
      </c>
      <c r="H15" s="40" t="s">
        <v>4</v>
      </c>
      <c r="I15" s="40">
        <f>(I9^2/9.81)^(1/3)</f>
        <v>0.13496267200321987</v>
      </c>
      <c r="J15" s="48" t="s">
        <v>4</v>
      </c>
    </row>
    <row r="16" spans="2:10" x14ac:dyDescent="0.45">
      <c r="B16" s="47" t="s">
        <v>56</v>
      </c>
      <c r="C16" s="40" t="s">
        <v>57</v>
      </c>
      <c r="D16" s="40" t="s">
        <v>18</v>
      </c>
      <c r="E16" s="40">
        <f>4.3*Dr^0.27*hc</f>
        <v>2.8506638176150956</v>
      </c>
      <c r="F16" s="39" t="s">
        <v>4</v>
      </c>
      <c r="G16" s="40">
        <f>4.3*G10^0.27*G7</f>
        <v>1.6999699213733965</v>
      </c>
      <c r="H16" s="40" t="s">
        <v>4</v>
      </c>
      <c r="I16" s="40">
        <f>4.3*I10^0.27*I7</f>
        <v>0.74437820608134886</v>
      </c>
      <c r="J16" s="48" t="s">
        <v>4</v>
      </c>
    </row>
    <row r="17" spans="2:19" ht="15.6" customHeight="1" x14ac:dyDescent="0.45">
      <c r="B17" s="47" t="s">
        <v>12</v>
      </c>
      <c r="C17" s="40" t="s">
        <v>55</v>
      </c>
      <c r="D17" s="40" t="s">
        <v>18</v>
      </c>
      <c r="E17" s="40">
        <f>6*(E14-E12)</f>
        <v>4.0774120601392978</v>
      </c>
      <c r="F17" s="39" t="s">
        <v>4</v>
      </c>
      <c r="G17" s="40">
        <f>6*(G14-G12)</f>
        <v>2.8182600909298463</v>
      </c>
      <c r="H17" s="40" t="s">
        <v>4</v>
      </c>
      <c r="I17" s="40">
        <f>6*(I14-I12)</f>
        <v>1.4190990721676879</v>
      </c>
      <c r="J17" s="48" t="s">
        <v>4</v>
      </c>
    </row>
    <row r="18" spans="2:19" ht="15.6" customHeight="1" x14ac:dyDescent="0.45">
      <c r="B18" s="47" t="s">
        <v>59</v>
      </c>
      <c r="C18" s="40" t="s">
        <v>58</v>
      </c>
      <c r="D18" s="40" t="s">
        <v>18</v>
      </c>
      <c r="E18" s="40">
        <f>E16+6*(y.2-Y.1)</f>
        <v>6.9280758777543934</v>
      </c>
      <c r="F18" s="39" t="s">
        <v>4</v>
      </c>
      <c r="G18" s="40">
        <f>G16+6*(G14-G12)</f>
        <v>4.5182300123032428</v>
      </c>
      <c r="H18" s="40" t="s">
        <v>4</v>
      </c>
      <c r="I18" s="40">
        <f>I16+6*(I14-I12)</f>
        <v>2.1634772782490366</v>
      </c>
      <c r="J18" s="48" t="s">
        <v>4</v>
      </c>
    </row>
    <row r="19" spans="2:19" ht="15.75" x14ac:dyDescent="0.45">
      <c r="B19" s="47" t="s">
        <v>13</v>
      </c>
      <c r="C19" s="40" t="s">
        <v>62</v>
      </c>
      <c r="D19" s="40" t="s">
        <v>18</v>
      </c>
      <c r="E19" s="40">
        <f>E7*(4.3*E10^0.27)+E17</f>
        <v>6.9280758777543934</v>
      </c>
      <c r="F19" s="39" t="s">
        <v>4</v>
      </c>
      <c r="G19" s="40">
        <f>G7*(4.3*G10^0.27)+G17</f>
        <v>4.5182300123032428</v>
      </c>
      <c r="H19" s="40" t="s">
        <v>4</v>
      </c>
      <c r="I19" s="40">
        <f>I7*(4.3*I10^0.27)+I17</f>
        <v>2.1634772782490366</v>
      </c>
      <c r="J19" s="48" t="s">
        <v>4</v>
      </c>
    </row>
    <row r="20" spans="2:19" ht="15.75" x14ac:dyDescent="0.45">
      <c r="B20" s="47" t="s">
        <v>14</v>
      </c>
      <c r="C20" s="40" t="s">
        <v>25</v>
      </c>
      <c r="D20" s="40" t="s">
        <v>18</v>
      </c>
      <c r="E20" s="40">
        <f>0.5*E12</f>
        <v>0.2104600729621583</v>
      </c>
      <c r="F20" s="39" t="s">
        <v>4</v>
      </c>
      <c r="G20" s="40">
        <f>0.5*G12</f>
        <v>9.3278721431796302E-2</v>
      </c>
      <c r="H20" s="40" t="s">
        <v>4</v>
      </c>
      <c r="I20" s="40">
        <f>0.5*I12</f>
        <v>2.5424048880797988E-2</v>
      </c>
      <c r="J20" s="48" t="s">
        <v>4</v>
      </c>
    </row>
    <row r="21" spans="2:19" ht="15.75" x14ac:dyDescent="0.45">
      <c r="B21" s="47" t="s">
        <v>15</v>
      </c>
      <c r="C21" s="40" t="s">
        <v>26</v>
      </c>
      <c r="D21" s="40" t="s">
        <v>18</v>
      </c>
      <c r="E21" s="40">
        <f>4*E12</f>
        <v>1.6836805836972664</v>
      </c>
      <c r="F21" s="39" t="s">
        <v>4</v>
      </c>
      <c r="G21" s="40">
        <f>4*G12</f>
        <v>0.74622977145437042</v>
      </c>
      <c r="H21" s="40" t="s">
        <v>4</v>
      </c>
      <c r="I21" s="40">
        <f>4*I12</f>
        <v>0.2033923910463839</v>
      </c>
      <c r="J21" s="48" t="s">
        <v>4</v>
      </c>
    </row>
    <row r="22" spans="2:19" x14ac:dyDescent="0.45">
      <c r="B22" s="45" t="s">
        <v>16</v>
      </c>
      <c r="C22" s="38" t="s">
        <v>61</v>
      </c>
      <c r="D22" s="38" t="s">
        <v>18</v>
      </c>
      <c r="E22" s="38">
        <v>0.35</v>
      </c>
      <c r="F22" s="37" t="s">
        <v>4</v>
      </c>
      <c r="G22" s="38">
        <v>0.35</v>
      </c>
      <c r="H22" s="38" t="s">
        <v>4</v>
      </c>
      <c r="I22" s="38">
        <v>0.35</v>
      </c>
      <c r="J22" s="46" t="s">
        <v>4</v>
      </c>
    </row>
    <row r="23" spans="2:19" ht="15.75" x14ac:dyDescent="0.45">
      <c r="B23" s="49" t="s">
        <v>17</v>
      </c>
      <c r="C23" s="50" t="s">
        <v>28</v>
      </c>
      <c r="D23" s="51" t="s">
        <v>18</v>
      </c>
      <c r="E23" s="51">
        <v>0.71</v>
      </c>
      <c r="F23" s="52" t="s">
        <v>4</v>
      </c>
      <c r="G23" s="51">
        <v>0.37</v>
      </c>
      <c r="H23" s="51" t="s">
        <v>4</v>
      </c>
      <c r="I23" s="51">
        <v>0.13</v>
      </c>
      <c r="J23" s="53" t="s">
        <v>4</v>
      </c>
    </row>
    <row r="24" spans="2:19" x14ac:dyDescent="0.45">
      <c r="B24" s="12" t="s">
        <v>33</v>
      </c>
      <c r="E24" s="35">
        <f>E16+lj</f>
        <v>6.9280758777543934</v>
      </c>
    </row>
    <row r="25" spans="2:19" ht="14.45" customHeight="1" x14ac:dyDescent="0.45">
      <c r="C25" s="2" t="s">
        <v>47</v>
      </c>
      <c r="D25" s="2">
        <v>2</v>
      </c>
      <c r="H25" s="2" t="s">
        <v>45</v>
      </c>
      <c r="I25" s="2">
        <v>8</v>
      </c>
    </row>
    <row r="26" spans="2:19" x14ac:dyDescent="0.45">
      <c r="B26" s="2" t="s">
        <v>38</v>
      </c>
      <c r="C26" s="22" t="s">
        <v>36</v>
      </c>
      <c r="D26" s="24" t="s">
        <v>44</v>
      </c>
      <c r="E26" s="24" t="s">
        <v>37</v>
      </c>
      <c r="F26" s="22" t="s">
        <v>36</v>
      </c>
      <c r="G26" s="23" t="s">
        <v>44</v>
      </c>
      <c r="H26" s="29" t="s">
        <v>39</v>
      </c>
      <c r="I26" s="23"/>
      <c r="J26" s="22" t="s">
        <v>46</v>
      </c>
      <c r="K26" s="23"/>
      <c r="L26" s="22" t="s">
        <v>61</v>
      </c>
      <c r="M26" s="23"/>
      <c r="N26" s="22" t="s">
        <v>41</v>
      </c>
      <c r="O26" s="23"/>
      <c r="P26" s="22" t="s">
        <v>27</v>
      </c>
      <c r="Q26" s="23"/>
    </row>
    <row r="27" spans="2:19" x14ac:dyDescent="0.45">
      <c r="B27" s="1" t="s">
        <v>40</v>
      </c>
      <c r="C27" s="9">
        <v>0</v>
      </c>
      <c r="D27" s="17">
        <f>D25</f>
        <v>2</v>
      </c>
      <c r="E27" s="20">
        <f>D27+1.05*E14</f>
        <v>3.1555132637449095</v>
      </c>
      <c r="F27" s="9">
        <f>C27</f>
        <v>0</v>
      </c>
      <c r="G27" s="5">
        <f>D25</f>
        <v>2</v>
      </c>
      <c r="H27" s="15">
        <f>C29</f>
        <v>0.81548241202785965</v>
      </c>
      <c r="I27" s="25">
        <f>D29+I25/100</f>
        <v>2.08</v>
      </c>
      <c r="J27" s="15">
        <f>C28</f>
        <v>0.40774120601392982</v>
      </c>
      <c r="K27" s="16">
        <f>D25-0.7</f>
        <v>1.3</v>
      </c>
      <c r="L27" s="15">
        <f>0.6*C28</f>
        <v>0.24464472360835787</v>
      </c>
      <c r="M27" s="25">
        <f>I27</f>
        <v>2.08</v>
      </c>
      <c r="N27" s="26">
        <f>C30</f>
        <v>4.4851532661532278</v>
      </c>
      <c r="O27" s="25">
        <f>I27</f>
        <v>2.08</v>
      </c>
      <c r="P27" s="15">
        <f>C31*0.95</f>
        <v>6.9690262295799066</v>
      </c>
      <c r="Q27" s="25">
        <f>I27</f>
        <v>2.08</v>
      </c>
    </row>
    <row r="28" spans="2:19" x14ac:dyDescent="0.45">
      <c r="B28" s="1" t="s">
        <v>35</v>
      </c>
      <c r="C28" s="9">
        <f>0.1*lj</f>
        <v>0.40774120601392982</v>
      </c>
      <c r="D28" s="17">
        <f>D25</f>
        <v>2</v>
      </c>
      <c r="E28" s="20">
        <f>E29+0.05*E29</f>
        <v>3.2555132637449091</v>
      </c>
      <c r="F28" s="9">
        <f>C28</f>
        <v>0.40774120601392982</v>
      </c>
      <c r="G28" s="5">
        <f>D25</f>
        <v>2</v>
      </c>
      <c r="H28" s="9">
        <f>H27</f>
        <v>0.81548241202785965</v>
      </c>
      <c r="I28" s="28">
        <f>(I27+I29)/2</f>
        <v>2.5902444113070997</v>
      </c>
      <c r="J28" s="9">
        <f>J27</f>
        <v>0.40774120601392982</v>
      </c>
      <c r="K28" s="28">
        <f>(K27+K29)/2</f>
        <v>1.8650000000000002</v>
      </c>
      <c r="L28" s="9">
        <f>L27</f>
        <v>0.24464472360835787</v>
      </c>
      <c r="M28" s="28">
        <f>(M27+M29)/2</f>
        <v>2.2549999999999999</v>
      </c>
      <c r="N28" s="6">
        <f>N27</f>
        <v>4.4851532661532278</v>
      </c>
      <c r="O28" s="28">
        <f>(O27+O29)/2</f>
        <v>2.2504600729621584</v>
      </c>
      <c r="P28" s="9">
        <f>P27</f>
        <v>6.9690262295799066</v>
      </c>
      <c r="Q28" s="28">
        <f>(Q27+Q29)/2</f>
        <v>2.33</v>
      </c>
    </row>
    <row r="29" spans="2:19" x14ac:dyDescent="0.45">
      <c r="B29" s="1" t="s">
        <v>39</v>
      </c>
      <c r="C29" s="9">
        <f>0.2*lj</f>
        <v>0.81548241202785965</v>
      </c>
      <c r="D29" s="17">
        <f>D25</f>
        <v>2</v>
      </c>
      <c r="E29" s="20">
        <f>D29+E14</f>
        <v>3.1004888226141993</v>
      </c>
      <c r="F29" s="9">
        <f t="shared" ref="F29" si="0">C29</f>
        <v>0.81548241202785965</v>
      </c>
      <c r="G29" s="5">
        <f>D25</f>
        <v>2</v>
      </c>
      <c r="H29" s="10">
        <f>H27</f>
        <v>0.81548241202785965</v>
      </c>
      <c r="I29" s="19">
        <f>E29</f>
        <v>3.1004888226141993</v>
      </c>
      <c r="J29" s="10">
        <f>J27</f>
        <v>0.40774120601392982</v>
      </c>
      <c r="K29" s="8">
        <f>D28+I25/100+E22</f>
        <v>2.4300000000000002</v>
      </c>
      <c r="L29" s="10">
        <f>L27</f>
        <v>0.24464472360835787</v>
      </c>
      <c r="M29" s="8">
        <f>K29</f>
        <v>2.4300000000000002</v>
      </c>
      <c r="N29" s="7">
        <f>N27</f>
        <v>4.4851532661532278</v>
      </c>
      <c r="O29" s="19">
        <f>E30</f>
        <v>2.4209201459243168</v>
      </c>
      <c r="P29" s="10">
        <f>P27</f>
        <v>6.9690262295799066</v>
      </c>
      <c r="Q29" s="8">
        <f>D25+hc+I25/100</f>
        <v>2.58</v>
      </c>
    </row>
    <row r="30" spans="2:19" x14ac:dyDescent="0.45">
      <c r="B30" s="1" t="s">
        <v>41</v>
      </c>
      <c r="C30" s="6">
        <f>+C28+E17</f>
        <v>4.4851532661532278</v>
      </c>
      <c r="D30" s="17">
        <f>D25</f>
        <v>2</v>
      </c>
      <c r="E30" s="20">
        <f>D30+E12</f>
        <v>2.4209201459243168</v>
      </c>
      <c r="F30" s="9">
        <f>C30</f>
        <v>4.4851532661532278</v>
      </c>
      <c r="G30" s="5">
        <f>D25</f>
        <v>2</v>
      </c>
      <c r="H30" s="22" t="s">
        <v>42</v>
      </c>
      <c r="I30" s="23"/>
      <c r="J30" s="22" t="s">
        <v>20</v>
      </c>
      <c r="K30" s="23"/>
      <c r="L30" s="34">
        <v>0</v>
      </c>
      <c r="M30" s="31"/>
      <c r="N30" s="22" t="s">
        <v>55</v>
      </c>
      <c r="O30" s="23"/>
      <c r="P30" s="22" t="s">
        <v>57</v>
      </c>
      <c r="Q30" s="23"/>
      <c r="R30" s="22" t="s">
        <v>63</v>
      </c>
      <c r="S30" s="23"/>
    </row>
    <row r="31" spans="2:19" x14ac:dyDescent="0.45">
      <c r="B31" s="1" t="s">
        <v>42</v>
      </c>
      <c r="C31" s="6">
        <f>+C30+E16</f>
        <v>7.3358170837683234</v>
      </c>
      <c r="D31" s="17">
        <f>D25+hc</f>
        <v>2.5</v>
      </c>
      <c r="E31" s="20">
        <f>D31+E23</f>
        <v>3.21</v>
      </c>
      <c r="F31" s="9">
        <f>C31</f>
        <v>7.3358170837683234</v>
      </c>
      <c r="G31" s="28">
        <f>D25</f>
        <v>2</v>
      </c>
      <c r="H31" s="15">
        <f>C31-I25/100</f>
        <v>7.2558170837683234</v>
      </c>
      <c r="I31" s="16">
        <f>D31+I25/100</f>
        <v>2.58</v>
      </c>
      <c r="J31" s="26">
        <f>C32-0.5*(C32-C31)</f>
        <v>9.3745231138379719</v>
      </c>
      <c r="K31" s="25">
        <f>D31+0.5</f>
        <v>3</v>
      </c>
      <c r="L31" s="26">
        <f>H31</f>
        <v>7.2558170837683234</v>
      </c>
      <c r="M31" s="33">
        <f>I35</f>
        <v>1.92</v>
      </c>
      <c r="N31" s="9">
        <f>H27</f>
        <v>0.81548241202785965</v>
      </c>
      <c r="O31" s="5">
        <f>D25-0.5</f>
        <v>1.5</v>
      </c>
      <c r="P31" s="6">
        <f>C30</f>
        <v>4.4851532661532278</v>
      </c>
      <c r="Q31" s="5">
        <f>D25-0.5</f>
        <v>1.5</v>
      </c>
      <c r="R31" s="6">
        <f>N31</f>
        <v>0.81548241202785965</v>
      </c>
      <c r="S31" s="5">
        <f>D25-1</f>
        <v>1</v>
      </c>
    </row>
    <row r="32" spans="2:19" x14ac:dyDescent="0.45">
      <c r="B32" s="1" t="s">
        <v>43</v>
      </c>
      <c r="C32" s="10">
        <f>+C31+1*lj</f>
        <v>11.413229143907621</v>
      </c>
      <c r="D32" s="18">
        <f>D25+hc</f>
        <v>2.5</v>
      </c>
      <c r="E32" s="21">
        <f>D32+E23*1.15</f>
        <v>3.3165</v>
      </c>
      <c r="F32" s="9">
        <f>F31</f>
        <v>7.3358170837683234</v>
      </c>
      <c r="G32" s="28">
        <f>D31</f>
        <v>2.5</v>
      </c>
      <c r="H32" s="9">
        <f>H31</f>
        <v>7.2558170837683234</v>
      </c>
      <c r="I32" s="28">
        <f>(I31+I33)/2</f>
        <v>2.895</v>
      </c>
      <c r="J32" s="28">
        <f>(J31+J33)/2</f>
        <v>9.9861349228588665</v>
      </c>
      <c r="K32" s="28">
        <f>K31</f>
        <v>3</v>
      </c>
      <c r="L32" s="7">
        <f>L31</f>
        <v>7.2558170837683234</v>
      </c>
      <c r="M32" s="19">
        <f>I36</f>
        <v>0.5</v>
      </c>
      <c r="N32" s="9">
        <f>(N31+N33)/2</f>
        <v>2.650317839090544</v>
      </c>
      <c r="O32" s="5">
        <f>O31</f>
        <v>1.5</v>
      </c>
      <c r="P32" s="9">
        <f>(P31+P33)/2</f>
        <v>5.8704851749607752</v>
      </c>
      <c r="Q32" s="5">
        <f>Q31</f>
        <v>1.5</v>
      </c>
      <c r="R32" s="9">
        <f>(R31+R33)/2</f>
        <v>4.0356497478980913</v>
      </c>
      <c r="S32" s="5">
        <f>S31</f>
        <v>1</v>
      </c>
    </row>
    <row r="33" spans="3:19" x14ac:dyDescent="0.45">
      <c r="C33" s="13">
        <f>C31</f>
        <v>7.3358170837683234</v>
      </c>
      <c r="D33" s="14">
        <v>1</v>
      </c>
      <c r="F33" s="10">
        <f>C32</f>
        <v>11.413229143907621</v>
      </c>
      <c r="G33" s="27">
        <f>D32</f>
        <v>2.5</v>
      </c>
      <c r="H33" s="10">
        <f>H31</f>
        <v>7.2558170837683234</v>
      </c>
      <c r="I33" s="19">
        <f>E31</f>
        <v>3.21</v>
      </c>
      <c r="J33" s="7">
        <f>C32-0.2*(C32-C31)</f>
        <v>10.597746731879761</v>
      </c>
      <c r="K33" s="27">
        <f>K31</f>
        <v>3</v>
      </c>
      <c r="N33" s="7">
        <f>N27</f>
        <v>4.4851532661532278</v>
      </c>
      <c r="O33" s="8">
        <f>O31</f>
        <v>1.5</v>
      </c>
      <c r="P33" s="10">
        <f>H31</f>
        <v>7.2558170837683234</v>
      </c>
      <c r="Q33" s="8">
        <f>Q32</f>
        <v>1.5</v>
      </c>
      <c r="R33" s="10">
        <f>P33</f>
        <v>7.2558170837683234</v>
      </c>
      <c r="S33" s="8">
        <f>S31</f>
        <v>1</v>
      </c>
    </row>
    <row r="34" spans="3:19" x14ac:dyDescent="0.45">
      <c r="C34" s="13"/>
      <c r="D34" s="14"/>
      <c r="F34" s="30"/>
      <c r="G34" s="17"/>
      <c r="H34" s="22">
        <v>2</v>
      </c>
      <c r="I34" s="31"/>
      <c r="J34" s="34">
        <v>1</v>
      </c>
      <c r="K34" s="32"/>
    </row>
    <row r="35" spans="3:19" x14ac:dyDescent="0.45">
      <c r="C35" s="13"/>
      <c r="D35" s="14"/>
      <c r="F35" s="30"/>
      <c r="G35" s="17"/>
      <c r="H35" s="15">
        <f>C29</f>
        <v>0.81548241202785965</v>
      </c>
      <c r="I35" s="33">
        <f>D25-8/100</f>
        <v>1.92</v>
      </c>
      <c r="J35" s="26">
        <f>C30</f>
        <v>4.4851532661532278</v>
      </c>
      <c r="K35" s="25">
        <f>I35</f>
        <v>1.92</v>
      </c>
    </row>
    <row r="36" spans="3:19" x14ac:dyDescent="0.45">
      <c r="C36" s="13"/>
      <c r="D36" s="14"/>
      <c r="F36" s="30"/>
      <c r="G36" s="17"/>
      <c r="H36" s="10">
        <f>H35</f>
        <v>0.81548241202785965</v>
      </c>
      <c r="I36" s="19">
        <f>D25-1.5</f>
        <v>0.5</v>
      </c>
      <c r="J36" s="7">
        <f>J35</f>
        <v>4.4851532661532278</v>
      </c>
      <c r="K36" s="27">
        <f>I36</f>
        <v>0.5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314325</xdr:colOff>
                <xdr:row>3</xdr:row>
                <xdr:rowOff>28575</xdr:rowOff>
              </to>
            </anchor>
          </controlPr>
        </control>
      </mc:Choice>
      <mc:Fallback>
        <control shapeId="4097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S36"/>
  <sheetViews>
    <sheetView showGridLines="0" zoomScaleNormal="100" workbookViewId="0"/>
  </sheetViews>
  <sheetFormatPr defaultColWidth="11.46484375" defaultRowHeight="14.25" x14ac:dyDescent="0.45"/>
  <cols>
    <col min="1" max="1" width="3" style="2" customWidth="1"/>
    <col min="2" max="2" width="32.1328125" style="1" customWidth="1"/>
    <col min="3" max="3" width="6.6640625" style="4" customWidth="1"/>
    <col min="4" max="4" width="7.86328125" style="4" customWidth="1"/>
    <col min="5" max="5" width="8" style="2" customWidth="1"/>
    <col min="6" max="6" width="7.33203125" style="2" bestFit="1" customWidth="1"/>
    <col min="7" max="7" width="9.86328125" style="2" customWidth="1"/>
    <col min="8" max="8" width="8" style="2" customWidth="1"/>
    <col min="9" max="9" width="7.46484375" style="2" customWidth="1"/>
    <col min="10" max="10" width="8.33203125" style="2" customWidth="1"/>
    <col min="11" max="16384" width="11.46484375" style="2"/>
  </cols>
  <sheetData>
    <row r="2" spans="2:10" ht="18" x14ac:dyDescent="0.45">
      <c r="C2" s="61" t="s">
        <v>60</v>
      </c>
      <c r="D2" s="61"/>
      <c r="E2" s="61"/>
      <c r="F2" s="61"/>
      <c r="G2" s="61"/>
      <c r="H2" s="61"/>
      <c r="I2" s="61"/>
      <c r="J2" s="61"/>
    </row>
    <row r="3" spans="2:10" x14ac:dyDescent="0.45">
      <c r="B3" s="11" t="s">
        <v>32</v>
      </c>
      <c r="C3" s="62" t="s">
        <v>34</v>
      </c>
      <c r="D3" s="62"/>
      <c r="E3" s="62"/>
      <c r="F3" s="62"/>
      <c r="G3" s="62"/>
      <c r="H3" s="62"/>
      <c r="I3" s="62"/>
      <c r="J3" s="63"/>
    </row>
    <row r="4" spans="2:10" x14ac:dyDescent="0.45">
      <c r="C4" s="3"/>
      <c r="D4" s="3"/>
    </row>
    <row r="5" spans="2:10" ht="45" customHeight="1" x14ac:dyDescent="0.45">
      <c r="B5" s="54" t="s">
        <v>31</v>
      </c>
      <c r="C5" s="55"/>
      <c r="D5" s="55"/>
      <c r="E5" s="55" t="s">
        <v>29</v>
      </c>
      <c r="F5" s="56"/>
      <c r="G5" s="55" t="s">
        <v>30</v>
      </c>
      <c r="H5" s="55"/>
      <c r="I5" s="55" t="s">
        <v>7</v>
      </c>
      <c r="J5" s="57"/>
    </row>
    <row r="6" spans="2:10" ht="15.75" x14ac:dyDescent="0.45">
      <c r="B6" s="41" t="s">
        <v>0</v>
      </c>
      <c r="C6" s="42" t="s">
        <v>20</v>
      </c>
      <c r="D6" s="42" t="s">
        <v>18</v>
      </c>
      <c r="E6" s="42">
        <v>96</v>
      </c>
      <c r="F6" s="42" t="s">
        <v>71</v>
      </c>
      <c r="G6" s="42">
        <v>34</v>
      </c>
      <c r="H6" s="43" t="s">
        <v>71</v>
      </c>
      <c r="I6" s="42">
        <v>3.96</v>
      </c>
      <c r="J6" s="44" t="s">
        <v>71</v>
      </c>
    </row>
    <row r="7" spans="2:10" x14ac:dyDescent="0.45">
      <c r="B7" s="45" t="s">
        <v>1</v>
      </c>
      <c r="C7" s="38" t="s">
        <v>27</v>
      </c>
      <c r="D7" s="38" t="s">
        <v>18</v>
      </c>
      <c r="E7" s="38">
        <v>0.5</v>
      </c>
      <c r="F7" s="37" t="s">
        <v>2</v>
      </c>
      <c r="G7" s="38">
        <v>0.5</v>
      </c>
      <c r="H7" s="38" t="s">
        <v>2</v>
      </c>
      <c r="I7" s="38">
        <v>0.5</v>
      </c>
      <c r="J7" s="46" t="s">
        <v>2</v>
      </c>
    </row>
    <row r="8" spans="2:10" x14ac:dyDescent="0.45">
      <c r="B8" s="45" t="s">
        <v>3</v>
      </c>
      <c r="C8" s="38" t="s">
        <v>21</v>
      </c>
      <c r="D8" s="38" t="s">
        <v>18</v>
      </c>
      <c r="E8" s="38">
        <v>40</v>
      </c>
      <c r="F8" s="37" t="s">
        <v>4</v>
      </c>
      <c r="G8" s="38">
        <v>40</v>
      </c>
      <c r="H8" s="38" t="s">
        <v>4</v>
      </c>
      <c r="I8" s="38">
        <v>25.5</v>
      </c>
      <c r="J8" s="46" t="s">
        <v>4</v>
      </c>
    </row>
    <row r="9" spans="2:10" ht="15.75" x14ac:dyDescent="0.45">
      <c r="B9" s="47" t="s">
        <v>8</v>
      </c>
      <c r="C9" s="40" t="s">
        <v>19</v>
      </c>
      <c r="D9" s="40" t="s">
        <v>18</v>
      </c>
      <c r="E9" s="40">
        <f>+E6/E8</f>
        <v>2.4</v>
      </c>
      <c r="F9" s="39" t="s">
        <v>64</v>
      </c>
      <c r="G9" s="40">
        <f>+G6/G8</f>
        <v>0.85</v>
      </c>
      <c r="H9" s="40" t="s">
        <v>64</v>
      </c>
      <c r="I9" s="40">
        <f>+I6/I8</f>
        <v>0.15529411764705883</v>
      </c>
      <c r="J9" s="48" t="s">
        <v>64</v>
      </c>
    </row>
    <row r="10" spans="2:10" ht="15.75" x14ac:dyDescent="0.45">
      <c r="B10" s="47" t="s">
        <v>9</v>
      </c>
      <c r="C10" s="40" t="s">
        <v>22</v>
      </c>
      <c r="D10" s="40" t="s">
        <v>18</v>
      </c>
      <c r="E10" s="40">
        <f>+E9^2/9.806/E7^3</f>
        <v>4.6991637772792174</v>
      </c>
      <c r="F10" s="39" t="s">
        <v>65</v>
      </c>
      <c r="G10" s="40">
        <f>+G9^2/9.806/G7^3</f>
        <v>0.58943503977156841</v>
      </c>
      <c r="H10" s="40" t="s">
        <v>65</v>
      </c>
      <c r="I10" s="40">
        <f>+I9^2/9.806/I7^3</f>
        <v>1.967469955193029E-2</v>
      </c>
      <c r="J10" s="48" t="s">
        <v>65</v>
      </c>
    </row>
    <row r="11" spans="2:10" ht="16.25" customHeight="1" x14ac:dyDescent="0.45">
      <c r="B11" s="47" t="s">
        <v>51</v>
      </c>
      <c r="C11" s="40" t="s">
        <v>52</v>
      </c>
      <c r="D11" s="40" t="s">
        <v>18</v>
      </c>
      <c r="E11" s="40">
        <f>1*Dr^0.22*hc</f>
        <v>0.70277213327035648</v>
      </c>
      <c r="F11" s="39" t="s">
        <v>4</v>
      </c>
      <c r="G11" s="40">
        <f>1*G10^0.22*G7</f>
        <v>0.44510852600800493</v>
      </c>
      <c r="H11" s="40" t="s">
        <v>4</v>
      </c>
      <c r="I11" s="40">
        <f>1*I10^0.22*I7</f>
        <v>0.21068314286995413</v>
      </c>
      <c r="J11" s="48" t="s">
        <v>4</v>
      </c>
    </row>
    <row r="12" spans="2:10" ht="15.75" x14ac:dyDescent="0.45">
      <c r="B12" s="47" t="s">
        <v>10</v>
      </c>
      <c r="C12" s="40" t="s">
        <v>66</v>
      </c>
      <c r="D12" s="40" t="s">
        <v>18</v>
      </c>
      <c r="E12" s="40">
        <f>0.54*E10^0.425*E7</f>
        <v>0.52116172309124975</v>
      </c>
      <c r="F12" s="39" t="s">
        <v>4</v>
      </c>
      <c r="G12" s="40">
        <f>0.54*G10^0.425*G7</f>
        <v>0.21567462058578199</v>
      </c>
      <c r="H12" s="40" t="s">
        <v>4</v>
      </c>
      <c r="I12" s="40">
        <f>0.54*I10^0.425*I7</f>
        <v>5.0848097761595976E-2</v>
      </c>
      <c r="J12" s="48" t="s">
        <v>4</v>
      </c>
    </row>
    <row r="13" spans="2:10" x14ac:dyDescent="0.45">
      <c r="B13" s="47" t="s">
        <v>48</v>
      </c>
      <c r="C13" s="40" t="s">
        <v>49</v>
      </c>
      <c r="D13" s="40" t="s">
        <v>18</v>
      </c>
      <c r="E13" s="40">
        <f>q/(Y.1*SQRT(9.81*Y.1))</f>
        <v>2.0366573604184337</v>
      </c>
      <c r="F13" s="39" t="s">
        <v>50</v>
      </c>
      <c r="G13" s="40">
        <f>G9/(G12*SQRT(9.81*G12))</f>
        <v>2.7094794282331662</v>
      </c>
      <c r="H13" s="40" t="s">
        <v>50</v>
      </c>
      <c r="I13" s="40">
        <f>I9/(I12*SQRT(9.81*I12))</f>
        <v>4.3242265210280619</v>
      </c>
      <c r="J13" s="48" t="s">
        <v>50</v>
      </c>
    </row>
    <row r="14" spans="2:10" ht="15.75" x14ac:dyDescent="0.45">
      <c r="B14" s="47" t="s">
        <v>11</v>
      </c>
      <c r="C14" s="40" t="s">
        <v>67</v>
      </c>
      <c r="D14" s="40" t="s">
        <v>18</v>
      </c>
      <c r="E14" s="40">
        <f>1.66*Dr^0.27*hc</f>
        <v>1.2604442731598557</v>
      </c>
      <c r="F14" s="39" t="s">
        <v>4</v>
      </c>
      <c r="G14" s="40">
        <f>1.66*G10^0.27*G7</f>
        <v>0.71960769498816635</v>
      </c>
      <c r="H14" s="40" t="s">
        <v>4</v>
      </c>
      <c r="I14" s="40">
        <f>1.66*I10^0.27*I7</f>
        <v>0.28736460978954398</v>
      </c>
      <c r="J14" s="48" t="s">
        <v>4</v>
      </c>
    </row>
    <row r="15" spans="2:10" x14ac:dyDescent="0.45">
      <c r="B15" s="47" t="s">
        <v>53</v>
      </c>
      <c r="C15" s="40" t="s">
        <v>54</v>
      </c>
      <c r="D15" s="40" t="s">
        <v>18</v>
      </c>
      <c r="E15" s="40">
        <f>(q^2/9.81)^(1/3)</f>
        <v>0.83737082474467694</v>
      </c>
      <c r="F15" s="39" t="s">
        <v>4</v>
      </c>
      <c r="G15" s="40">
        <f>(G9^2/9.81)^(1/3)</f>
        <v>0.41916944218182417</v>
      </c>
      <c r="H15" s="40" t="s">
        <v>4</v>
      </c>
      <c r="I15" s="40">
        <f>(I9^2/9.81)^(1/3)</f>
        <v>0.13496267200321987</v>
      </c>
      <c r="J15" s="48" t="s">
        <v>4</v>
      </c>
    </row>
    <row r="16" spans="2:10" x14ac:dyDescent="0.45">
      <c r="B16" s="47" t="s">
        <v>56</v>
      </c>
      <c r="C16" s="40" t="s">
        <v>57</v>
      </c>
      <c r="D16" s="40" t="s">
        <v>18</v>
      </c>
      <c r="E16" s="40">
        <f>4.3*Dr^0.27*hc</f>
        <v>3.2650062497514334</v>
      </c>
      <c r="F16" s="39" t="s">
        <v>4</v>
      </c>
      <c r="G16" s="40">
        <f>4.3*G10^0.27*G7</f>
        <v>1.8640440291862141</v>
      </c>
      <c r="H16" s="40" t="s">
        <v>4</v>
      </c>
      <c r="I16" s="40">
        <f>4.3*I10^0.27*I7</f>
        <v>0.74437820608134886</v>
      </c>
      <c r="J16" s="48" t="s">
        <v>4</v>
      </c>
    </row>
    <row r="17" spans="2:19" ht="15.6" customHeight="1" x14ac:dyDescent="0.45">
      <c r="B17" s="47" t="s">
        <v>12</v>
      </c>
      <c r="C17" s="40" t="s">
        <v>55</v>
      </c>
      <c r="D17" s="40" t="s">
        <v>18</v>
      </c>
      <c r="E17" s="40">
        <f>6*(E14-E12)</f>
        <v>4.435695300411636</v>
      </c>
      <c r="F17" s="39" t="s">
        <v>4</v>
      </c>
      <c r="G17" s="40">
        <f>6*(G14-G12)</f>
        <v>3.0235984464143062</v>
      </c>
      <c r="H17" s="40" t="s">
        <v>4</v>
      </c>
      <c r="I17" s="40">
        <f>6*(I14-I12)</f>
        <v>1.4190990721676879</v>
      </c>
      <c r="J17" s="48" t="s">
        <v>4</v>
      </c>
    </row>
    <row r="18" spans="2:19" ht="15.6" customHeight="1" x14ac:dyDescent="0.45">
      <c r="B18" s="47" t="s">
        <v>59</v>
      </c>
      <c r="C18" s="40" t="s">
        <v>58</v>
      </c>
      <c r="D18" s="40" t="s">
        <v>18</v>
      </c>
      <c r="E18" s="40">
        <f>E16+6*(y.2-Y.1)</f>
        <v>7.7007015501630693</v>
      </c>
      <c r="F18" s="39" t="s">
        <v>4</v>
      </c>
      <c r="G18" s="40">
        <f>G16+6*(G14-G12)</f>
        <v>4.8876424756005203</v>
      </c>
      <c r="H18" s="40" t="s">
        <v>4</v>
      </c>
      <c r="I18" s="40">
        <f>I16+6*(I14-I12)</f>
        <v>2.1634772782490366</v>
      </c>
      <c r="J18" s="48" t="s">
        <v>4</v>
      </c>
    </row>
    <row r="19" spans="2:19" ht="15.75" x14ac:dyDescent="0.45">
      <c r="B19" s="47" t="s">
        <v>13</v>
      </c>
      <c r="C19" s="40" t="s">
        <v>68</v>
      </c>
      <c r="D19" s="40" t="s">
        <v>18</v>
      </c>
      <c r="E19" s="40">
        <f>E7*(4.3*E10^0.27)+E17</f>
        <v>7.7007015501630693</v>
      </c>
      <c r="F19" s="39" t="s">
        <v>4</v>
      </c>
      <c r="G19" s="40">
        <f>G7*(4.3*G10^0.27)+G17</f>
        <v>4.8876424756005203</v>
      </c>
      <c r="H19" s="40" t="s">
        <v>4</v>
      </c>
      <c r="I19" s="40">
        <f>I7*(4.3*I10^0.27)+I17</f>
        <v>2.1634772782490366</v>
      </c>
      <c r="J19" s="48" t="s">
        <v>4</v>
      </c>
    </row>
    <row r="20" spans="2:19" ht="15.75" x14ac:dyDescent="0.45">
      <c r="B20" s="47" t="s">
        <v>14</v>
      </c>
      <c r="C20" s="40" t="s">
        <v>69</v>
      </c>
      <c r="D20" s="40" t="s">
        <v>18</v>
      </c>
      <c r="E20" s="40">
        <f>0.5*E12</f>
        <v>0.26058086154562488</v>
      </c>
      <c r="F20" s="39" t="s">
        <v>4</v>
      </c>
      <c r="G20" s="40">
        <f>0.5*G12</f>
        <v>0.10783731029289099</v>
      </c>
      <c r="H20" s="40" t="s">
        <v>4</v>
      </c>
      <c r="I20" s="40">
        <f>0.5*I12</f>
        <v>2.5424048880797988E-2</v>
      </c>
      <c r="J20" s="48" t="s">
        <v>4</v>
      </c>
    </row>
    <row r="21" spans="2:19" ht="15.75" x14ac:dyDescent="0.45">
      <c r="B21" s="47" t="s">
        <v>15</v>
      </c>
      <c r="C21" s="40" t="s">
        <v>70</v>
      </c>
      <c r="D21" s="40" t="s">
        <v>18</v>
      </c>
      <c r="E21" s="40">
        <f>4*E12</f>
        <v>2.084646892364999</v>
      </c>
      <c r="F21" s="39" t="s">
        <v>4</v>
      </c>
      <c r="G21" s="40">
        <f>4*G12</f>
        <v>0.86269848234312796</v>
      </c>
      <c r="H21" s="40" t="s">
        <v>4</v>
      </c>
      <c r="I21" s="40">
        <f>4*I12</f>
        <v>0.2033923910463839</v>
      </c>
      <c r="J21" s="48" t="s">
        <v>4</v>
      </c>
    </row>
    <row r="22" spans="2:19" x14ac:dyDescent="0.45">
      <c r="B22" s="45" t="s">
        <v>16</v>
      </c>
      <c r="C22" s="38" t="s">
        <v>61</v>
      </c>
      <c r="D22" s="38" t="s">
        <v>18</v>
      </c>
      <c r="E22" s="38">
        <v>0.35</v>
      </c>
      <c r="F22" s="37" t="s">
        <v>4</v>
      </c>
      <c r="G22" s="38">
        <v>0.35</v>
      </c>
      <c r="H22" s="38" t="s">
        <v>4</v>
      </c>
      <c r="I22" s="38">
        <v>0.35</v>
      </c>
      <c r="J22" s="46" t="s">
        <v>4</v>
      </c>
    </row>
    <row r="23" spans="2:19" ht="15.75" x14ac:dyDescent="0.45">
      <c r="B23" s="49" t="s">
        <v>17</v>
      </c>
      <c r="C23" s="50" t="s">
        <v>72</v>
      </c>
      <c r="D23" s="51" t="s">
        <v>18</v>
      </c>
      <c r="E23" s="51">
        <v>0.84</v>
      </c>
      <c r="F23" s="52" t="s">
        <v>4</v>
      </c>
      <c r="G23" s="51">
        <v>0.42</v>
      </c>
      <c r="H23" s="51" t="s">
        <v>4</v>
      </c>
      <c r="I23" s="51">
        <v>0.13</v>
      </c>
      <c r="J23" s="53" t="s">
        <v>4</v>
      </c>
    </row>
    <row r="24" spans="2:19" x14ac:dyDescent="0.45">
      <c r="B24" s="12" t="s">
        <v>33</v>
      </c>
      <c r="E24" s="35">
        <f>E16+lj</f>
        <v>7.7007015501630693</v>
      </c>
    </row>
    <row r="25" spans="2:19" ht="14.45" customHeight="1" x14ac:dyDescent="0.45">
      <c r="C25" s="2" t="s">
        <v>47</v>
      </c>
      <c r="D25" s="2">
        <v>2</v>
      </c>
      <c r="H25" s="2" t="s">
        <v>45</v>
      </c>
      <c r="I25" s="2">
        <v>8</v>
      </c>
    </row>
    <row r="26" spans="2:19" x14ac:dyDescent="0.45">
      <c r="B26" s="2" t="s">
        <v>38</v>
      </c>
      <c r="C26" s="22" t="s">
        <v>36</v>
      </c>
      <c r="D26" s="24" t="s">
        <v>44</v>
      </c>
      <c r="E26" s="24" t="s">
        <v>37</v>
      </c>
      <c r="F26" s="22" t="s">
        <v>36</v>
      </c>
      <c r="G26" s="23" t="s">
        <v>44</v>
      </c>
      <c r="H26" s="29" t="s">
        <v>39</v>
      </c>
      <c r="I26" s="23"/>
      <c r="J26" s="22" t="s">
        <v>46</v>
      </c>
      <c r="K26" s="23"/>
      <c r="L26" s="22" t="s">
        <v>61</v>
      </c>
      <c r="M26" s="23"/>
      <c r="N26" s="22" t="s">
        <v>41</v>
      </c>
      <c r="O26" s="23"/>
      <c r="P26" s="22" t="s">
        <v>27</v>
      </c>
      <c r="Q26" s="23"/>
    </row>
    <row r="27" spans="2:19" x14ac:dyDescent="0.45">
      <c r="B27" s="1" t="s">
        <v>40</v>
      </c>
      <c r="C27" s="9">
        <v>0</v>
      </c>
      <c r="D27" s="17">
        <f>D25</f>
        <v>2</v>
      </c>
      <c r="E27" s="20">
        <f>D27+1.05*E14</f>
        <v>3.3234664868178485</v>
      </c>
      <c r="F27" s="9">
        <f>C27</f>
        <v>0</v>
      </c>
      <c r="G27" s="5">
        <f>D25</f>
        <v>2</v>
      </c>
      <c r="H27" s="15">
        <f>C29</f>
        <v>0.88713906008232724</v>
      </c>
      <c r="I27" s="25">
        <f>D29+I25/100</f>
        <v>2.08</v>
      </c>
      <c r="J27" s="15">
        <f>C28</f>
        <v>0.44356953004116362</v>
      </c>
      <c r="K27" s="16">
        <f>D25-0.7</f>
        <v>1.3</v>
      </c>
      <c r="L27" s="15">
        <f>0.6*C28</f>
        <v>0.26614171802469816</v>
      </c>
      <c r="M27" s="25">
        <f>I27</f>
        <v>2.08</v>
      </c>
      <c r="N27" s="26">
        <f>C30</f>
        <v>4.8792648304527999</v>
      </c>
      <c r="O27" s="25">
        <f>I27</f>
        <v>2.08</v>
      </c>
      <c r="P27" s="15">
        <f>C31*0.95</f>
        <v>7.7370575261940218</v>
      </c>
      <c r="Q27" s="25">
        <f>I27</f>
        <v>2.08</v>
      </c>
    </row>
    <row r="28" spans="2:19" x14ac:dyDescent="0.45">
      <c r="B28" s="1" t="s">
        <v>35</v>
      </c>
      <c r="C28" s="9">
        <f>0.1*lj</f>
        <v>0.44356953004116362</v>
      </c>
      <c r="D28" s="17">
        <f>D25</f>
        <v>2</v>
      </c>
      <c r="E28" s="20">
        <f>E29+0.05*E29</f>
        <v>3.4234664868178486</v>
      </c>
      <c r="F28" s="9">
        <f>C28</f>
        <v>0.44356953004116362</v>
      </c>
      <c r="G28" s="5">
        <f>D25</f>
        <v>2</v>
      </c>
      <c r="H28" s="9">
        <f>H27</f>
        <v>0.88713906008232724</v>
      </c>
      <c r="I28" s="28">
        <f>(I27+I29)/2</f>
        <v>2.6702221365799277</v>
      </c>
      <c r="J28" s="9">
        <f>J27</f>
        <v>0.44356953004116362</v>
      </c>
      <c r="K28" s="28">
        <f>(K27+K29)/2</f>
        <v>1.8650000000000002</v>
      </c>
      <c r="L28" s="9">
        <f>L27</f>
        <v>0.26614171802469816</v>
      </c>
      <c r="M28" s="28">
        <f>(M27+M29)/2</f>
        <v>2.2549999999999999</v>
      </c>
      <c r="N28" s="6">
        <f>N27</f>
        <v>4.8792648304527999</v>
      </c>
      <c r="O28" s="28">
        <f>(O27+O29)/2</f>
        <v>2.3005808615456251</v>
      </c>
      <c r="P28" s="9">
        <f>P27</f>
        <v>7.7370575261940218</v>
      </c>
      <c r="Q28" s="28">
        <f>(Q27+Q29)/2</f>
        <v>2.33</v>
      </c>
    </row>
    <row r="29" spans="2:19" x14ac:dyDescent="0.45">
      <c r="B29" s="1" t="s">
        <v>39</v>
      </c>
      <c r="C29" s="9">
        <f>0.2*lj</f>
        <v>0.88713906008232724</v>
      </c>
      <c r="D29" s="17">
        <f>D25</f>
        <v>2</v>
      </c>
      <c r="E29" s="20">
        <f>D29+E14</f>
        <v>3.2604442731598557</v>
      </c>
      <c r="F29" s="9">
        <f t="shared" ref="F29" si="0">C29</f>
        <v>0.88713906008232724</v>
      </c>
      <c r="G29" s="5">
        <f>D25</f>
        <v>2</v>
      </c>
      <c r="H29" s="10">
        <f>H27</f>
        <v>0.88713906008232724</v>
      </c>
      <c r="I29" s="19">
        <f>E29</f>
        <v>3.2604442731598557</v>
      </c>
      <c r="J29" s="10">
        <f>J27</f>
        <v>0.44356953004116362</v>
      </c>
      <c r="K29" s="8">
        <f>D28+I25/100+E22</f>
        <v>2.4300000000000002</v>
      </c>
      <c r="L29" s="10">
        <f>L27</f>
        <v>0.26614171802469816</v>
      </c>
      <c r="M29" s="8">
        <f>K29</f>
        <v>2.4300000000000002</v>
      </c>
      <c r="N29" s="7">
        <f>N27</f>
        <v>4.8792648304527999</v>
      </c>
      <c r="O29" s="19">
        <f>E30</f>
        <v>2.5211617230912498</v>
      </c>
      <c r="P29" s="10">
        <f>P27</f>
        <v>7.7370575261940218</v>
      </c>
      <c r="Q29" s="8">
        <f>D25+hc+I25/100</f>
        <v>2.58</v>
      </c>
    </row>
    <row r="30" spans="2:19" x14ac:dyDescent="0.45">
      <c r="B30" s="1" t="s">
        <v>41</v>
      </c>
      <c r="C30" s="6">
        <f>+C28+E17</f>
        <v>4.8792648304527999</v>
      </c>
      <c r="D30" s="17">
        <f>D25</f>
        <v>2</v>
      </c>
      <c r="E30" s="20">
        <f>D30+E12</f>
        <v>2.5211617230912498</v>
      </c>
      <c r="F30" s="9">
        <f>C30</f>
        <v>4.8792648304527999</v>
      </c>
      <c r="G30" s="5">
        <f>D25</f>
        <v>2</v>
      </c>
      <c r="H30" s="22" t="s">
        <v>42</v>
      </c>
      <c r="I30" s="23"/>
      <c r="J30" s="22" t="s">
        <v>20</v>
      </c>
      <c r="K30" s="23"/>
      <c r="L30" s="34">
        <v>0</v>
      </c>
      <c r="M30" s="31"/>
      <c r="N30" s="22" t="s">
        <v>55</v>
      </c>
      <c r="O30" s="23"/>
      <c r="P30" s="22" t="s">
        <v>57</v>
      </c>
      <c r="Q30" s="23"/>
      <c r="R30" s="22" t="s">
        <v>63</v>
      </c>
      <c r="S30" s="23"/>
    </row>
    <row r="31" spans="2:19" x14ac:dyDescent="0.45">
      <c r="B31" s="1" t="s">
        <v>42</v>
      </c>
      <c r="C31" s="6">
        <f>+C30+E16</f>
        <v>8.1442710802042342</v>
      </c>
      <c r="D31" s="17">
        <f>D25+hc</f>
        <v>2.5</v>
      </c>
      <c r="E31" s="20">
        <f>D31+E23</f>
        <v>3.34</v>
      </c>
      <c r="F31" s="9">
        <f>C31</f>
        <v>8.1442710802042342</v>
      </c>
      <c r="G31" s="28">
        <f>D25</f>
        <v>2</v>
      </c>
      <c r="H31" s="15">
        <f>C31-I25/100</f>
        <v>8.0642710802042341</v>
      </c>
      <c r="I31" s="16">
        <f>D31+I25/100</f>
        <v>2.58</v>
      </c>
      <c r="J31" s="26">
        <f>C32-0.5*(C32-C31)</f>
        <v>10.362118730410053</v>
      </c>
      <c r="K31" s="25">
        <f>D31+0.5</f>
        <v>3</v>
      </c>
      <c r="L31" s="26">
        <f>H31</f>
        <v>8.0642710802042341</v>
      </c>
      <c r="M31" s="33">
        <f>I35</f>
        <v>1.92</v>
      </c>
      <c r="N31" s="9">
        <f>H27</f>
        <v>0.88713906008232724</v>
      </c>
      <c r="O31" s="5">
        <f>D25-0.5</f>
        <v>1.5</v>
      </c>
      <c r="P31" s="6">
        <f>C30</f>
        <v>4.8792648304527999</v>
      </c>
      <c r="Q31" s="5">
        <f>D25-0.5</f>
        <v>1.5</v>
      </c>
      <c r="R31" s="6">
        <f>N31</f>
        <v>0.88713906008232724</v>
      </c>
      <c r="S31" s="5">
        <f>D25-1</f>
        <v>1</v>
      </c>
    </row>
    <row r="32" spans="2:19" x14ac:dyDescent="0.45">
      <c r="B32" s="1" t="s">
        <v>43</v>
      </c>
      <c r="C32" s="10">
        <f>+C31+1*lj</f>
        <v>12.57996638061587</v>
      </c>
      <c r="D32" s="18">
        <f>D25+hc</f>
        <v>2.5</v>
      </c>
      <c r="E32" s="21">
        <f>D32+E23*1.15</f>
        <v>3.4659999999999997</v>
      </c>
      <c r="F32" s="9">
        <f>F31</f>
        <v>8.1442710802042342</v>
      </c>
      <c r="G32" s="28">
        <f>D31</f>
        <v>2.5</v>
      </c>
      <c r="H32" s="9">
        <f>H31</f>
        <v>8.0642710802042341</v>
      </c>
      <c r="I32" s="28">
        <f>(I31+I33)/2</f>
        <v>2.96</v>
      </c>
      <c r="J32" s="28">
        <f>(J31+J33)/2</f>
        <v>11.027473025471798</v>
      </c>
      <c r="K32" s="28">
        <f>K31</f>
        <v>3</v>
      </c>
      <c r="L32" s="7">
        <f>L31</f>
        <v>8.0642710802042341</v>
      </c>
      <c r="M32" s="19">
        <f>I36</f>
        <v>0.5</v>
      </c>
      <c r="N32" s="9">
        <f>(N31+N33)/2</f>
        <v>2.8832019452675635</v>
      </c>
      <c r="O32" s="5">
        <f>O31</f>
        <v>1.5</v>
      </c>
      <c r="P32" s="9">
        <f>(P31+P33)/2</f>
        <v>6.4717679553285166</v>
      </c>
      <c r="Q32" s="5">
        <f>Q31</f>
        <v>1.5</v>
      </c>
      <c r="R32" s="9">
        <f>(R31+R33)/2</f>
        <v>4.475705070143281</v>
      </c>
      <c r="S32" s="5">
        <f>S31</f>
        <v>1</v>
      </c>
    </row>
    <row r="33" spans="3:19" x14ac:dyDescent="0.45">
      <c r="C33" s="13">
        <f>C31</f>
        <v>8.1442710802042342</v>
      </c>
      <c r="D33" s="14">
        <v>1</v>
      </c>
      <c r="F33" s="10">
        <f>C32</f>
        <v>12.57996638061587</v>
      </c>
      <c r="G33" s="27">
        <f>D32</f>
        <v>2.5</v>
      </c>
      <c r="H33" s="10">
        <f>H31</f>
        <v>8.0642710802042341</v>
      </c>
      <c r="I33" s="19">
        <f>E31</f>
        <v>3.34</v>
      </c>
      <c r="J33" s="7">
        <f>C32-0.2*(C32-C31)</f>
        <v>11.692827320533542</v>
      </c>
      <c r="K33" s="27">
        <f>K31</f>
        <v>3</v>
      </c>
      <c r="N33" s="7">
        <f>N27</f>
        <v>4.8792648304527999</v>
      </c>
      <c r="O33" s="8">
        <f>O31</f>
        <v>1.5</v>
      </c>
      <c r="P33" s="10">
        <f>H31</f>
        <v>8.0642710802042341</v>
      </c>
      <c r="Q33" s="8">
        <f>Q32</f>
        <v>1.5</v>
      </c>
      <c r="R33" s="10">
        <f>P33</f>
        <v>8.0642710802042341</v>
      </c>
      <c r="S33" s="8">
        <f>S31</f>
        <v>1</v>
      </c>
    </row>
    <row r="34" spans="3:19" x14ac:dyDescent="0.45">
      <c r="C34" s="13"/>
      <c r="D34" s="14"/>
      <c r="F34" s="30"/>
      <c r="G34" s="17"/>
      <c r="H34" s="22">
        <v>2</v>
      </c>
      <c r="I34" s="31"/>
      <c r="J34" s="34">
        <v>1</v>
      </c>
      <c r="K34" s="32"/>
    </row>
    <row r="35" spans="3:19" x14ac:dyDescent="0.45">
      <c r="C35" s="13"/>
      <c r="D35" s="14"/>
      <c r="F35" s="30"/>
      <c r="G35" s="17"/>
      <c r="H35" s="15">
        <f>C29</f>
        <v>0.88713906008232724</v>
      </c>
      <c r="I35" s="33">
        <f>D25-8/100</f>
        <v>1.92</v>
      </c>
      <c r="J35" s="26">
        <f>C30</f>
        <v>4.8792648304527999</v>
      </c>
      <c r="K35" s="25">
        <f>I35</f>
        <v>1.92</v>
      </c>
    </row>
    <row r="36" spans="3:19" x14ac:dyDescent="0.45">
      <c r="C36" s="13"/>
      <c r="D36" s="14"/>
      <c r="F36" s="30"/>
      <c r="G36" s="17"/>
      <c r="H36" s="10">
        <f>H35</f>
        <v>0.88713906008232724</v>
      </c>
      <c r="I36" s="19">
        <f>D25-1.5</f>
        <v>0.5</v>
      </c>
      <c r="J36" s="7">
        <f>J35</f>
        <v>4.8792648304527999</v>
      </c>
      <c r="K36" s="27">
        <f>I36</f>
        <v>0.5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314325</xdr:colOff>
                <xdr:row>3</xdr:row>
                <xdr:rowOff>28575</xdr:rowOff>
              </to>
            </anchor>
          </controlPr>
        </control>
      </mc:Choice>
      <mc:Fallback>
        <control shapeId="3073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Difusa 1 </vt:lpstr>
      <vt:lpstr>Caño Platanal</vt:lpstr>
      <vt:lpstr>Caño Pérez</vt:lpstr>
      <vt:lpstr>'Caño Pérez'!Dr</vt:lpstr>
      <vt:lpstr>'Caño Platanal'!Dr</vt:lpstr>
      <vt:lpstr>'Difusa 1 '!Dr</vt:lpstr>
      <vt:lpstr>'Caño Pérez'!h</vt:lpstr>
      <vt:lpstr>'Caño Platanal'!h</vt:lpstr>
      <vt:lpstr>'Difusa 1 '!h</vt:lpstr>
      <vt:lpstr>'Caño Pérez'!h´</vt:lpstr>
      <vt:lpstr>'Caño Platanal'!h´</vt:lpstr>
      <vt:lpstr>'Difusa 1 '!h´</vt:lpstr>
      <vt:lpstr>'Caño Pérez'!hc</vt:lpstr>
      <vt:lpstr>'Caño Platanal'!hc</vt:lpstr>
      <vt:lpstr>'Difusa 1 '!hc</vt:lpstr>
      <vt:lpstr>'Caño Pérez'!hmax</vt:lpstr>
      <vt:lpstr>'Caño Platanal'!hmax</vt:lpstr>
      <vt:lpstr>'Difusa 1 '!hmax</vt:lpstr>
      <vt:lpstr>'Caño Pérez'!hmin</vt:lpstr>
      <vt:lpstr>'Caño Platanal'!hmin</vt:lpstr>
      <vt:lpstr>'Difusa 1 '!hmin</vt:lpstr>
      <vt:lpstr>'Caño Pérez'!hola</vt:lpstr>
      <vt:lpstr>'Caño Platanal'!hola</vt:lpstr>
      <vt:lpstr>'Difusa 1 '!hola</vt:lpstr>
      <vt:lpstr>'Caño Pérez'!LB</vt:lpstr>
      <vt:lpstr>'Caño Platanal'!LB</vt:lpstr>
      <vt:lpstr>'Difusa 1 '!LB</vt:lpstr>
      <vt:lpstr>'Caño Pérez'!lj</vt:lpstr>
      <vt:lpstr>'Caño Platanal'!lj</vt:lpstr>
      <vt:lpstr>'Difusa 1 '!lj</vt:lpstr>
      <vt:lpstr>'Caño Pérez'!Print_Area</vt:lpstr>
      <vt:lpstr>'Caño Platanal'!Print_Area</vt:lpstr>
      <vt:lpstr>'Difusa 1 '!Print_Area</vt:lpstr>
      <vt:lpstr>'Caño Pérez'!q</vt:lpstr>
      <vt:lpstr>'Caño Platanal'!q</vt:lpstr>
      <vt:lpstr>'Difusa 1 '!q</vt:lpstr>
      <vt:lpstr>'Caño Pérez'!Qd</vt:lpstr>
      <vt:lpstr>'Caño Platanal'!Qd</vt:lpstr>
      <vt:lpstr>'Difusa 1 '!Qd</vt:lpstr>
      <vt:lpstr>'Caño Pérez'!T</vt:lpstr>
      <vt:lpstr>'Caño Platanal'!T</vt:lpstr>
      <vt:lpstr>'Difusa 1 '!T</vt:lpstr>
      <vt:lpstr>'Caño Pérez'!y.0</vt:lpstr>
      <vt:lpstr>'Caño Platanal'!y.0</vt:lpstr>
      <vt:lpstr>'Difusa 1 '!y.0</vt:lpstr>
      <vt:lpstr>'Caño Pérez'!Y.1</vt:lpstr>
      <vt:lpstr>'Caño Platanal'!Y.1</vt:lpstr>
      <vt:lpstr>'Difusa 1 '!Y.1</vt:lpstr>
      <vt:lpstr>'Caño Pérez'!y.2</vt:lpstr>
      <vt:lpstr>'Caño Platanal'!y.2</vt:lpstr>
      <vt:lpstr>'Difusa 1 '!y.2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2022-07-25T15:25:45Z</dcterms:modified>
</cp:coreProperties>
</file>