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R.HydroTools\DisenoSinuosoCanal\.old\"/>
    </mc:Choice>
  </mc:AlternateContent>
  <xr:revisionPtr revIDLastSave="0" documentId="13_ncr:1_{300688B3-11A7-4E9C-9288-381C171F3BFF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INICIO" sheetId="5" r:id="rId1"/>
    <sheet name="DiseñoSinuoso" sheetId="4" r:id="rId2"/>
    <sheet name="CALCULOSINUOSIDAD" sheetId="1" r:id="rId3"/>
    <sheet name="y=sin(x)" sheetId="3" r:id="rId4"/>
  </sheets>
  <definedNames>
    <definedName name="_xlnm._FilterDatabase" localSheetId="2" hidden="1">CALCULOSINUOSIDAD!$B$4:$V$30</definedName>
    <definedName name="alpha">DiseñoSinuoso!$E$11</definedName>
    <definedName name="alphagrados">DiseñoSinuoso!$E$14</definedName>
    <definedName name="alphaSemilla">DiseñoSinuoso!$E$12</definedName>
    <definedName name="alphaVal">DiseñoSinuoso!$E$13</definedName>
    <definedName name="B">DiseñoSinuoso!$E$8</definedName>
    <definedName name="b_anchocanaldominante">DiseñoSinuoso!$E$22</definedName>
    <definedName name="Bprima">DiseñoSinuoso!$E$9</definedName>
    <definedName name="ch">DiseñoSinuoso!$E$24</definedName>
    <definedName name="_xlnm.Database">CALCULOSINUOSIDAD!$C$4:$R$30</definedName>
    <definedName name="FactSinuosidad">DiseñoSinuoso!$E$6</definedName>
    <definedName name="H">DiseñoSinuoso!$E$16</definedName>
    <definedName name="Lb">DiseñoSinuoso!$E$19</definedName>
    <definedName name="Lc">DiseñoSinuoso!$E$5</definedName>
    <definedName name="Lm">DiseñoSinuoso!$E$17</definedName>
    <definedName name="Lr">DiseñoSinuoso!$E$7</definedName>
    <definedName name="n">DiseñoSinuoso!$E$15</definedName>
    <definedName name="Rcurv">DiseñoSinuoso!$E$10</definedName>
    <definedName name="solver_adj" localSheetId="1" hidden="1">DiseñoSinuoso!$E$12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DiseñoSinuoso!$E$11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DiseñoSinuoso!$E$13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hs1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3" i="4" l="1"/>
  <c r="P30" i="4" l="1"/>
  <c r="O32" i="4"/>
  <c r="O30" i="4"/>
  <c r="N32" i="4"/>
  <c r="N31" i="4"/>
  <c r="N30" i="4"/>
  <c r="M32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30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31" i="4"/>
  <c r="D30" i="4"/>
  <c r="L32" i="4"/>
  <c r="L30" i="4"/>
  <c r="E24" i="4" l="1"/>
  <c r="E9" i="4" s="1"/>
  <c r="E25" i="4"/>
  <c r="Q30" i="1" l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5" i="1"/>
  <c r="O6" i="1"/>
  <c r="W6" i="1" s="1"/>
  <c r="C30" i="4" l="1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30" i="4"/>
  <c r="E6" i="4"/>
  <c r="E7" i="4" s="1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4" i="3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5" i="1"/>
  <c r="O7" i="1"/>
  <c r="W7" i="1" s="1"/>
  <c r="O8" i="1"/>
  <c r="W8" i="1" s="1"/>
  <c r="O9" i="1"/>
  <c r="W9" i="1" s="1"/>
  <c r="O10" i="1"/>
  <c r="W10" i="1" s="1"/>
  <c r="O11" i="1"/>
  <c r="W11" i="1" s="1"/>
  <c r="O12" i="1"/>
  <c r="W12" i="1" s="1"/>
  <c r="O13" i="1"/>
  <c r="W13" i="1" s="1"/>
  <c r="O14" i="1"/>
  <c r="W14" i="1" s="1"/>
  <c r="O16" i="1"/>
  <c r="W16" i="1" s="1"/>
  <c r="O17" i="1"/>
  <c r="W17" i="1" s="1"/>
  <c r="O18" i="1"/>
  <c r="W18" i="1" s="1"/>
  <c r="O19" i="1"/>
  <c r="W19" i="1" s="1"/>
  <c r="O20" i="1"/>
  <c r="W20" i="1" s="1"/>
  <c r="O21" i="1"/>
  <c r="W21" i="1" s="1"/>
  <c r="O22" i="1"/>
  <c r="W22" i="1" s="1"/>
  <c r="O23" i="1"/>
  <c r="W23" i="1" s="1"/>
  <c r="O24" i="1"/>
  <c r="W24" i="1" s="1"/>
  <c r="O26" i="1"/>
  <c r="W26" i="1" s="1"/>
  <c r="O27" i="1"/>
  <c r="W27" i="1" s="1"/>
  <c r="O28" i="1"/>
  <c r="W28" i="1" s="1"/>
  <c r="O29" i="1"/>
  <c r="W29" i="1" s="1"/>
  <c r="O25" i="1"/>
  <c r="W25" i="1" s="1"/>
  <c r="O30" i="1"/>
  <c r="W30" i="1" s="1"/>
  <c r="O15" i="1"/>
  <c r="W15" i="1" s="1"/>
  <c r="O5" i="1"/>
  <c r="W5" i="1" s="1"/>
  <c r="Q30" i="4"/>
  <c r="Q32" i="4" s="1"/>
  <c r="E79" i="4" l="1"/>
  <c r="E61" i="4"/>
  <c r="E71" i="4"/>
  <c r="E15" i="4"/>
  <c r="E19" i="4" s="1"/>
  <c r="E21" i="4" s="1"/>
  <c r="E53" i="4"/>
  <c r="F117" i="4"/>
  <c r="E69" i="4"/>
  <c r="E82" i="4"/>
  <c r="F82" i="4"/>
  <c r="M30" i="4"/>
  <c r="M31" i="4" s="1"/>
  <c r="E11" i="4"/>
  <c r="E18" i="4" s="1"/>
  <c r="F53" i="4" l="1"/>
  <c r="F71" i="4"/>
  <c r="F79" i="4"/>
  <c r="B31" i="4"/>
  <c r="B32" i="4" s="1"/>
  <c r="F69" i="4"/>
  <c r="F61" i="4"/>
  <c r="E17" i="4"/>
  <c r="E117" i="4"/>
  <c r="E110" i="4"/>
  <c r="F110" i="4"/>
  <c r="E88" i="4"/>
  <c r="F88" i="4"/>
  <c r="E95" i="4"/>
  <c r="F95" i="4"/>
  <c r="F128" i="4"/>
  <c r="E128" i="4"/>
  <c r="F113" i="4"/>
  <c r="E113" i="4"/>
  <c r="E75" i="4"/>
  <c r="F75" i="4"/>
  <c r="F39" i="4"/>
  <c r="E39" i="4"/>
  <c r="F35" i="4"/>
  <c r="E35" i="4"/>
  <c r="E87" i="4"/>
  <c r="F87" i="4"/>
  <c r="E126" i="4"/>
  <c r="F126" i="4"/>
  <c r="E31" i="4"/>
  <c r="F31" i="4"/>
  <c r="F116" i="4"/>
  <c r="E116" i="4"/>
  <c r="E49" i="4"/>
  <c r="F49" i="4"/>
  <c r="F98" i="4"/>
  <c r="E98" i="4"/>
  <c r="E32" i="4"/>
  <c r="F32" i="4"/>
  <c r="E86" i="4"/>
  <c r="F86" i="4"/>
  <c r="F40" i="4"/>
  <c r="E40" i="4"/>
  <c r="E44" i="4"/>
  <c r="F44" i="4"/>
  <c r="F59" i="4"/>
  <c r="E59" i="4"/>
  <c r="E115" i="4"/>
  <c r="F115" i="4"/>
  <c r="F34" i="4"/>
  <c r="E34" i="4"/>
  <c r="E114" i="4"/>
  <c r="F114" i="4"/>
  <c r="E66" i="4"/>
  <c r="F66" i="4"/>
  <c r="E123" i="4"/>
  <c r="F123" i="4"/>
  <c r="F47" i="4"/>
  <c r="E47" i="4"/>
  <c r="E111" i="4"/>
  <c r="F111" i="4"/>
  <c r="E62" i="4"/>
  <c r="F62" i="4"/>
  <c r="F96" i="4"/>
  <c r="E96" i="4"/>
  <c r="E81" i="4"/>
  <c r="F81" i="4"/>
  <c r="E54" i="4"/>
  <c r="F54" i="4"/>
  <c r="F50" i="4"/>
  <c r="E50" i="4"/>
  <c r="F106" i="4"/>
  <c r="E106" i="4"/>
  <c r="F77" i="4"/>
  <c r="E77" i="4"/>
  <c r="E60" i="4"/>
  <c r="F60" i="4"/>
  <c r="E89" i="4"/>
  <c r="F89" i="4"/>
  <c r="E13" i="4"/>
  <c r="E14" i="4"/>
  <c r="F119" i="4"/>
  <c r="E119" i="4"/>
  <c r="E93" i="4"/>
  <c r="F93" i="4"/>
  <c r="F73" i="4"/>
  <c r="E73" i="4"/>
  <c r="E101" i="4"/>
  <c r="F101" i="4"/>
  <c r="E92" i="4"/>
  <c r="F92" i="4"/>
  <c r="F52" i="4"/>
  <c r="E52" i="4"/>
  <c r="F68" i="4"/>
  <c r="E68" i="4"/>
  <c r="F103" i="4"/>
  <c r="E103" i="4"/>
  <c r="F85" i="4"/>
  <c r="E85" i="4"/>
  <c r="F125" i="4"/>
  <c r="E125" i="4"/>
  <c r="F63" i="4"/>
  <c r="E63" i="4"/>
  <c r="P32" i="4"/>
  <c r="P31" i="4"/>
  <c r="F51" i="4"/>
  <c r="E51" i="4"/>
  <c r="E72" i="4"/>
  <c r="F72" i="4"/>
  <c r="F36" i="4"/>
  <c r="E36" i="4"/>
  <c r="E120" i="4"/>
  <c r="F120" i="4"/>
  <c r="E46" i="4"/>
  <c r="F46" i="4"/>
  <c r="E104" i="4"/>
  <c r="F104" i="4"/>
  <c r="F107" i="4"/>
  <c r="E107" i="4"/>
  <c r="E129" i="4"/>
  <c r="F129" i="4"/>
  <c r="E118" i="4"/>
  <c r="F118" i="4"/>
  <c r="E16" i="4"/>
  <c r="E20" i="4" s="1"/>
  <c r="E124" i="4"/>
  <c r="F124" i="4"/>
  <c r="E94" i="4"/>
  <c r="F94" i="4"/>
  <c r="F33" i="4"/>
  <c r="E33" i="4"/>
  <c r="F58" i="4"/>
  <c r="E58" i="4"/>
  <c r="E74" i="4"/>
  <c r="F74" i="4"/>
  <c r="F37" i="4"/>
  <c r="E37" i="4"/>
  <c r="F122" i="4"/>
  <c r="E122" i="4"/>
  <c r="E30" i="4"/>
  <c r="F30" i="4"/>
  <c r="F108" i="4"/>
  <c r="E108" i="4"/>
  <c r="E76" i="4"/>
  <c r="F76" i="4"/>
  <c r="F97" i="4"/>
  <c r="E97" i="4"/>
  <c r="E48" i="4"/>
  <c r="F48" i="4"/>
  <c r="F67" i="4"/>
  <c r="E67" i="4"/>
  <c r="E84" i="4"/>
  <c r="F84" i="4"/>
  <c r="F99" i="4"/>
  <c r="E99" i="4"/>
  <c r="F109" i="4"/>
  <c r="E109" i="4"/>
  <c r="F42" i="4"/>
  <c r="E42" i="4"/>
  <c r="E121" i="4"/>
  <c r="F121" i="4"/>
  <c r="F56" i="4"/>
  <c r="E56" i="4"/>
  <c r="E70" i="4"/>
  <c r="F70" i="4"/>
  <c r="F112" i="4"/>
  <c r="E112" i="4"/>
  <c r="E55" i="4"/>
  <c r="F55" i="4"/>
  <c r="F91" i="4"/>
  <c r="E91" i="4"/>
  <c r="E38" i="4"/>
  <c r="F38" i="4"/>
  <c r="F102" i="4"/>
  <c r="E102" i="4"/>
  <c r="E100" i="4"/>
  <c r="F100" i="4"/>
  <c r="F57" i="4"/>
  <c r="E57" i="4"/>
  <c r="E64" i="4"/>
  <c r="F64" i="4"/>
  <c r="E130" i="4"/>
  <c r="F130" i="4"/>
  <c r="F65" i="4"/>
  <c r="E65" i="4"/>
  <c r="F80" i="4"/>
  <c r="E80" i="4"/>
  <c r="F105" i="4"/>
  <c r="E105" i="4"/>
  <c r="F83" i="4"/>
  <c r="E83" i="4"/>
  <c r="E78" i="4"/>
  <c r="F78" i="4"/>
  <c r="E41" i="4"/>
  <c r="F41" i="4"/>
  <c r="E127" i="4"/>
  <c r="F127" i="4"/>
  <c r="F90" i="4"/>
  <c r="E90" i="4"/>
  <c r="E43" i="4"/>
  <c r="F43" i="4"/>
  <c r="F45" i="4"/>
  <c r="E45" i="4"/>
  <c r="C31" i="4" l="1"/>
  <c r="B33" i="4"/>
  <c r="C32" i="4"/>
  <c r="C33" i="4" l="1"/>
  <c r="B34" i="4"/>
  <c r="C34" i="4" l="1"/>
  <c r="B35" i="4"/>
  <c r="C35" i="4" l="1"/>
  <c r="B36" i="4"/>
  <c r="C36" i="4" l="1"/>
  <c r="B37" i="4"/>
  <c r="C37" i="4" l="1"/>
  <c r="B38" i="4"/>
  <c r="C38" i="4" l="1"/>
  <c r="B39" i="4"/>
  <c r="B40" i="4" l="1"/>
  <c r="C39" i="4"/>
  <c r="C40" i="4" l="1"/>
  <c r="B41" i="4"/>
  <c r="C41" i="4" l="1"/>
  <c r="B42" i="4"/>
  <c r="C42" i="4" l="1"/>
  <c r="B43" i="4"/>
  <c r="B44" i="4" l="1"/>
  <c r="C43" i="4"/>
  <c r="B45" i="4" l="1"/>
  <c r="C44" i="4"/>
  <c r="C45" i="4" l="1"/>
  <c r="B46" i="4"/>
  <c r="B47" i="4" l="1"/>
  <c r="C46" i="4"/>
  <c r="C47" i="4" l="1"/>
  <c r="B48" i="4"/>
  <c r="C48" i="4" l="1"/>
  <c r="B49" i="4"/>
  <c r="C49" i="4" l="1"/>
  <c r="B50" i="4"/>
  <c r="C50" i="4" l="1"/>
  <c r="B51" i="4"/>
  <c r="C51" i="4" l="1"/>
  <c r="B52" i="4"/>
  <c r="C52" i="4" l="1"/>
  <c r="B53" i="4"/>
  <c r="C53" i="4" l="1"/>
  <c r="B54" i="4"/>
  <c r="C54" i="4" l="1"/>
  <c r="B55" i="4"/>
  <c r="C55" i="4" l="1"/>
  <c r="B56" i="4"/>
  <c r="C56" i="4" l="1"/>
  <c r="B57" i="4"/>
  <c r="C57" i="4" l="1"/>
  <c r="B58" i="4"/>
  <c r="C58" i="4" l="1"/>
  <c r="B59" i="4"/>
  <c r="B60" i="4" l="1"/>
  <c r="C59" i="4"/>
  <c r="C60" i="4" l="1"/>
  <c r="B61" i="4"/>
  <c r="C61" i="4" l="1"/>
  <c r="B62" i="4"/>
  <c r="B63" i="4" l="1"/>
  <c r="C62" i="4"/>
  <c r="C63" i="4" l="1"/>
  <c r="B64" i="4"/>
  <c r="C64" i="4" l="1"/>
  <c r="B65" i="4"/>
  <c r="C65" i="4" l="1"/>
  <c r="B66" i="4"/>
  <c r="C66" i="4" l="1"/>
  <c r="B67" i="4"/>
  <c r="C67" i="4" l="1"/>
  <c r="B68" i="4"/>
  <c r="C68" i="4" l="1"/>
  <c r="B69" i="4"/>
  <c r="B70" i="4" l="1"/>
  <c r="C69" i="4"/>
  <c r="C70" i="4" l="1"/>
  <c r="B71" i="4"/>
  <c r="B72" i="4" l="1"/>
  <c r="C71" i="4"/>
  <c r="C72" i="4" l="1"/>
  <c r="B73" i="4"/>
  <c r="C73" i="4" l="1"/>
  <c r="B74" i="4"/>
  <c r="C74" i="4" l="1"/>
  <c r="B75" i="4"/>
  <c r="C75" i="4" l="1"/>
  <c r="B76" i="4"/>
  <c r="B77" i="4" l="1"/>
  <c r="C76" i="4"/>
  <c r="C77" i="4" l="1"/>
  <c r="B78" i="4"/>
  <c r="C78" i="4" l="1"/>
  <c r="B79" i="4"/>
  <c r="B80" i="4" l="1"/>
  <c r="C79" i="4"/>
  <c r="C80" i="4" l="1"/>
  <c r="B81" i="4"/>
  <c r="C81" i="4" l="1"/>
  <c r="B82" i="4"/>
  <c r="C82" i="4" l="1"/>
  <c r="B83" i="4"/>
  <c r="B84" i="4" l="1"/>
  <c r="C83" i="4"/>
  <c r="C84" i="4" l="1"/>
  <c r="B85" i="4"/>
  <c r="C85" i="4" l="1"/>
  <c r="B86" i="4"/>
  <c r="C86" i="4" l="1"/>
  <c r="B87" i="4"/>
  <c r="C87" i="4" l="1"/>
  <c r="B88" i="4"/>
  <c r="C88" i="4" l="1"/>
  <c r="B89" i="4"/>
  <c r="C89" i="4" l="1"/>
  <c r="B90" i="4"/>
  <c r="C90" i="4" l="1"/>
  <c r="B91" i="4"/>
  <c r="C91" i="4" l="1"/>
  <c r="B92" i="4"/>
  <c r="B93" i="4" l="1"/>
  <c r="C92" i="4"/>
  <c r="C93" i="4" l="1"/>
  <c r="B94" i="4"/>
  <c r="C94" i="4" l="1"/>
  <c r="B95" i="4"/>
  <c r="C95" i="4" l="1"/>
  <c r="B96" i="4"/>
  <c r="C96" i="4" l="1"/>
  <c r="B97" i="4"/>
  <c r="C97" i="4" l="1"/>
  <c r="B98" i="4"/>
  <c r="C98" i="4" l="1"/>
  <c r="B99" i="4"/>
  <c r="C99" i="4" l="1"/>
  <c r="B100" i="4"/>
  <c r="C100" i="4" l="1"/>
  <c r="B101" i="4"/>
  <c r="C101" i="4" l="1"/>
  <c r="B102" i="4"/>
  <c r="C102" i="4" l="1"/>
  <c r="B103" i="4"/>
  <c r="C103" i="4" l="1"/>
  <c r="B104" i="4"/>
  <c r="C104" i="4" l="1"/>
  <c r="B105" i="4"/>
  <c r="B106" i="4" l="1"/>
  <c r="C105" i="4"/>
  <c r="C106" i="4" l="1"/>
  <c r="B107" i="4"/>
  <c r="C107" i="4" l="1"/>
  <c r="B108" i="4"/>
  <c r="B109" i="4" l="1"/>
  <c r="C108" i="4"/>
  <c r="C109" i="4" l="1"/>
  <c r="B110" i="4"/>
  <c r="C110" i="4" l="1"/>
  <c r="B111" i="4"/>
  <c r="C111" i="4" l="1"/>
  <c r="B112" i="4"/>
  <c r="C112" i="4" l="1"/>
  <c r="B113" i="4"/>
  <c r="C113" i="4" l="1"/>
  <c r="B114" i="4"/>
  <c r="C114" i="4" l="1"/>
  <c r="B115" i="4"/>
  <c r="C115" i="4" l="1"/>
  <c r="B116" i="4"/>
  <c r="C116" i="4" l="1"/>
  <c r="B117" i="4"/>
  <c r="C117" i="4" l="1"/>
  <c r="B118" i="4"/>
  <c r="C118" i="4" l="1"/>
  <c r="B119" i="4"/>
  <c r="B120" i="4" l="1"/>
  <c r="C119" i="4"/>
  <c r="C120" i="4" l="1"/>
  <c r="B121" i="4"/>
  <c r="C121" i="4" l="1"/>
  <c r="B122" i="4"/>
  <c r="C122" i="4" l="1"/>
  <c r="B123" i="4"/>
  <c r="C123" i="4" l="1"/>
  <c r="B124" i="4"/>
  <c r="C124" i="4" l="1"/>
  <c r="B125" i="4"/>
  <c r="B126" i="4" l="1"/>
  <c r="C125" i="4"/>
  <c r="C126" i="4" l="1"/>
  <c r="B127" i="4"/>
  <c r="C127" i="4" l="1"/>
  <c r="B128" i="4"/>
  <c r="C128" i="4" l="1"/>
  <c r="B129" i="4"/>
  <c r="B130" i="4" l="1"/>
  <c r="C130" i="4" s="1"/>
  <c r="C12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E6" authorId="0" shapeId="0" xr:uid="{00000000-0006-0000-0100-000001000000}">
      <text>
        <r>
          <rPr>
            <sz val="9"/>
            <color indexed="81"/>
            <rFont val="Tahoma"/>
            <family val="2"/>
          </rPr>
          <t>Ecuación de la caracterización de factores de sinuosidad de la Cuenca Arroyo El Zorro</t>
        </r>
      </text>
    </comment>
    <comment ref="E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william.aguilar:</t>
        </r>
        <r>
          <rPr>
            <sz val="9"/>
            <color indexed="81"/>
            <rFont val="Tahoma"/>
            <family val="2"/>
          </rPr>
          <t xml:space="preserve">
Limitada por el ancho máximo del confinamiento de la llanura de inundación. 
Al ancho de llanura se le debe descontar el ancho b del río para el caudal dominante y el ancho previsto para las obras de protección.</t>
        </r>
      </text>
    </comment>
    <comment ref="F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william.aguilar:</t>
        </r>
        <r>
          <rPr>
            <sz val="9"/>
            <color indexed="81"/>
            <rFont val="Tahoma"/>
            <family val="2"/>
          </rPr>
          <t xml:space="preserve">
=B+Rcurv-(b_anchocanaldominante/2)
=B-Rcurv+b_anchocanaldominante+(ch^2+Rcurv^2)^0.5
=B+Rcurv-(((ch^2+Rcurv^2)^0.5)-Rcurv)/2</t>
        </r>
      </text>
    </comment>
    <comment ref="E12" authorId="0" shapeId="0" xr:uid="{00000000-0006-0000-0100-000004000000}">
      <text>
        <r>
          <rPr>
            <sz val="9"/>
            <color indexed="81"/>
            <rFont val="Tahoma"/>
            <family val="2"/>
          </rPr>
          <t>Ingrese cero para calcular la primer raíz de la ecuación implícita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B3" authorId="0" shapeId="0" xr:uid="{00000000-0006-0000-0200-000001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C3" authorId="0" shapeId="0" xr:uid="{00000000-0006-0000-0200-000002000000}">
      <text>
        <r>
          <rPr>
            <sz val="9"/>
            <color indexed="81"/>
            <rFont val="Tahoma"/>
            <family val="2"/>
          </rPr>
          <t>Identificador hidráulico del drenaje en HecGEOHMS</t>
        </r>
      </text>
    </comment>
    <comment ref="D3" authorId="0" shapeId="0" xr:uid="{00000000-0006-0000-0200-000003000000}">
      <text>
        <r>
          <rPr>
            <sz val="9"/>
            <color indexed="81"/>
            <rFont val="Tahoma"/>
            <family val="2"/>
          </rPr>
          <t>Longitud del drenaje en HecGEOHMS</t>
        </r>
      </text>
    </comment>
    <comment ref="E3" authorId="0" shapeId="0" xr:uid="{00000000-0006-0000-0200-000004000000}">
      <text>
        <r>
          <rPr>
            <sz val="9"/>
            <color indexed="81"/>
            <rFont val="Tahoma"/>
            <family val="2"/>
          </rPr>
          <t>Longitud del valle calculado a partir del suavizado en ArcGIS del drenaje de HecGEOHMS usando tangentes de 2km</t>
        </r>
      </text>
    </comment>
    <comment ref="F3" authorId="0" shapeId="0" xr:uid="{00000000-0006-0000-0200-000005000000}">
      <text>
        <r>
          <rPr>
            <sz val="9"/>
            <color indexed="81"/>
            <rFont val="Tahoma"/>
            <family val="2"/>
          </rPr>
          <t>Localización del centroide de los tramos de drenaje en Valle. Para la cueca El Zorro se utilizó la cota 80 hacia abajo.</t>
        </r>
      </text>
    </comment>
    <comment ref="K3" authorId="0" shapeId="0" xr:uid="{00000000-0006-0000-0200-000006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L3" authorId="0" shapeId="0" xr:uid="{00000000-0006-0000-0200-000007000000}">
      <text>
        <r>
          <rPr>
            <sz val="9"/>
            <color indexed="81"/>
            <rFont val="Tahoma"/>
            <family val="2"/>
          </rPr>
          <t>Identificador hidráulico del conector en HecHMS</t>
        </r>
      </text>
    </comment>
    <comment ref="M3" authorId="0" shapeId="0" xr:uid="{00000000-0006-0000-0200-000008000000}">
      <text>
        <r>
          <rPr>
            <sz val="9"/>
            <color indexed="81"/>
            <rFont val="Tahoma"/>
            <family val="2"/>
          </rPr>
          <t>Longitud del drenaje en HecGEOHMS</t>
        </r>
      </text>
    </comment>
    <comment ref="N3" authorId="0" shapeId="0" xr:uid="{00000000-0006-0000-0200-000009000000}">
      <text>
        <r>
          <rPr>
            <sz val="9"/>
            <color indexed="81"/>
            <rFont val="Tahoma"/>
            <family val="2"/>
          </rPr>
          <t>Longitud de la línea de tránsito de HecHMS</t>
        </r>
      </text>
    </comment>
    <comment ref="Q3" authorId="0" shapeId="0" xr:uid="{00000000-0006-0000-0200-00000A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R3" authorId="0" shapeId="0" xr:uid="{00000000-0006-0000-0200-00000B000000}">
      <text>
        <r>
          <rPr>
            <sz val="9"/>
            <color indexed="81"/>
            <rFont val="Tahoma"/>
            <family val="2"/>
          </rPr>
          <t>Código del Punto donde se realiza la lectura del caudal medio acumulado</t>
        </r>
      </text>
    </comment>
    <comment ref="U3" authorId="0" shapeId="0" xr:uid="{00000000-0006-0000-0200-00000C000000}">
      <text>
        <r>
          <rPr>
            <sz val="9"/>
            <color indexed="81"/>
            <rFont val="Tahoma"/>
            <family val="2"/>
          </rPr>
          <t>Caudal calculado por balance hidrológico de largo plazo a partir de la precipitación media y la evapotranspiración real de Cenicafé</t>
        </r>
      </text>
    </comment>
    <comment ref="V3" authorId="0" shapeId="0" xr:uid="{00000000-0006-0000-0200-00000D000000}">
      <text>
        <r>
          <rPr>
            <sz val="9"/>
            <color indexed="81"/>
            <rFont val="Tahoma"/>
            <family val="2"/>
          </rPr>
          <t>Caudal calculado por balance hidrológico de largo plazo a partir de la precipitación media y la evapotranspiración real de Turc</t>
        </r>
      </text>
    </comment>
    <comment ref="H4" authorId="0" shapeId="0" xr:uid="{00000000-0006-0000-0200-00000E000000}">
      <text>
        <r>
          <rPr>
            <sz val="9"/>
            <color indexed="81"/>
            <rFont val="Tahoma"/>
            <family val="2"/>
          </rPr>
          <t>Obtenido a partir de información Lidar o de las cotas del modelo digital de terreno ASTER GDEM de la NASA</t>
        </r>
      </text>
    </comment>
  </commentList>
</comments>
</file>

<file path=xl/sharedStrings.xml><?xml version="1.0" encoding="utf-8"?>
<sst xmlns="http://schemas.openxmlformats.org/spreadsheetml/2006/main" count="148" uniqueCount="132">
  <si>
    <t>HydroID</t>
  </si>
  <si>
    <t>Name</t>
  </si>
  <si>
    <t>CX</t>
  </si>
  <si>
    <t>CY</t>
  </si>
  <si>
    <t>CZ</t>
  </si>
  <si>
    <t>FeatureID</t>
  </si>
  <si>
    <t>R18630</t>
  </si>
  <si>
    <t>R18710</t>
  </si>
  <si>
    <t>R18720</t>
  </si>
  <si>
    <t>R18730</t>
  </si>
  <si>
    <t>R18740</t>
  </si>
  <si>
    <t>R18760</t>
  </si>
  <si>
    <t>R18790</t>
  </si>
  <si>
    <t>R18800</t>
  </si>
  <si>
    <t>R18810</t>
  </si>
  <si>
    <t>R18820</t>
  </si>
  <si>
    <t>R18850</t>
  </si>
  <si>
    <t>R18860</t>
  </si>
  <si>
    <t>R18870</t>
  </si>
  <si>
    <t>R18890</t>
  </si>
  <si>
    <t>R18940</t>
  </si>
  <si>
    <t>R18950</t>
  </si>
  <si>
    <t>R18980</t>
  </si>
  <si>
    <t>R19030</t>
  </si>
  <si>
    <t>R19070</t>
  </si>
  <si>
    <t>R19110</t>
  </si>
  <si>
    <t>R19120</t>
  </si>
  <si>
    <t>R19890</t>
  </si>
  <si>
    <t>R19930</t>
  </si>
  <si>
    <t>R19100</t>
  </si>
  <si>
    <t>R19980</t>
  </si>
  <si>
    <t>R18830</t>
  </si>
  <si>
    <t>x</t>
  </si>
  <si>
    <t>y</t>
  </si>
  <si>
    <t>E422</t>
  </si>
  <si>
    <t>E434</t>
  </si>
  <si>
    <t>E433</t>
  </si>
  <si>
    <t>E437</t>
  </si>
  <si>
    <t>E438</t>
  </si>
  <si>
    <t>E440</t>
  </si>
  <si>
    <t>E445</t>
  </si>
  <si>
    <t>E446</t>
  </si>
  <si>
    <t>E448</t>
  </si>
  <si>
    <t>E450</t>
  </si>
  <si>
    <t>E456</t>
  </si>
  <si>
    <t>E457</t>
  </si>
  <si>
    <t>E452</t>
  </si>
  <si>
    <t>E473</t>
  </si>
  <si>
    <t>E478</t>
  </si>
  <si>
    <t>E479</t>
  </si>
  <si>
    <t>E476</t>
  </si>
  <si>
    <t>E489</t>
  </si>
  <si>
    <t>D25</t>
  </si>
  <si>
    <t>D24</t>
  </si>
  <si>
    <t>D7</t>
  </si>
  <si>
    <t>IndiceSinuosidad2</t>
  </si>
  <si>
    <t>Lm</t>
  </si>
  <si>
    <t>α</t>
  </si>
  <si>
    <t>αSem</t>
  </si>
  <si>
    <t>αVal</t>
  </si>
  <si>
    <t>αGrados</t>
  </si>
  <si>
    <t>n</t>
  </si>
  <si>
    <t>Lc (m)</t>
  </si>
  <si>
    <t>Lr (m)</t>
  </si>
  <si>
    <t>B (m)</t>
  </si>
  <si>
    <t>Longitud de la llanura</t>
  </si>
  <si>
    <t>FUNCION OBJETIVO PARA RESOLVER ALPHA</t>
  </si>
  <si>
    <t>Cambiando la celda</t>
  </si>
  <si>
    <t>Hipotenusa</t>
  </si>
  <si>
    <t>Longitud de onda</t>
  </si>
  <si>
    <t>Parámetros</t>
  </si>
  <si>
    <t>RESULTADOS</t>
  </si>
  <si>
    <t>Proyecto:</t>
  </si>
  <si>
    <t>Realineamiento definitivo Arroyo El Zorro</t>
  </si>
  <si>
    <t>Descripción:</t>
  </si>
  <si>
    <t>DISEÑO HIDRÁULICO del eje de realineamiento definitivo del Arroyo El Zorro usando radio de curvatura de 1.9km sin sinuosidad</t>
  </si>
  <si>
    <t>Modelo:</t>
  </si>
  <si>
    <t>s</t>
  </si>
  <si>
    <t>Longitud del río</t>
  </si>
  <si>
    <t>Rc (m)</t>
  </si>
  <si>
    <t>Lb (m)</t>
  </si>
  <si>
    <t>Longitud hidráulica de la onda</t>
  </si>
  <si>
    <t>H (m)</t>
  </si>
  <si>
    <t>Lm (m)</t>
  </si>
  <si>
    <t>Longitud de onda (Verificación)</t>
  </si>
  <si>
    <t>Longitud hidráulica de la onda (Verificación)</t>
  </si>
  <si>
    <t>Radio de curva característico de los meandros de la cuenca</t>
  </si>
  <si>
    <t>Ángulo de deflexión de la onda</t>
  </si>
  <si>
    <t>Ángulo de deflexión de la onda en grados</t>
  </si>
  <si>
    <t>Número de ondas</t>
  </si>
  <si>
    <t xml:space="preserve"> Lr (m)</t>
  </si>
  <si>
    <t>Longitud del río (Verificación)</t>
  </si>
  <si>
    <t>b (m)</t>
  </si>
  <si>
    <t>Base del canal para el caudal dominante</t>
  </si>
  <si>
    <t>Lr</t>
  </si>
  <si>
    <t>Márgen Izquierda</t>
  </si>
  <si>
    <t>Márgen Derecha</t>
  </si>
  <si>
    <t>Abscisa</t>
  </si>
  <si>
    <t>Lc</t>
  </si>
  <si>
    <t>ID</t>
  </si>
  <si>
    <t>Dique</t>
  </si>
  <si>
    <t>Plantas</t>
  </si>
  <si>
    <t>Diseño Sinuoso usando Factor de Sinuosidad, Amplitud de Onda máximo en la llanura de inundación y el Radio de Curvatura Característico de los meandros de la cuenca</t>
  </si>
  <si>
    <t>B</t>
  </si>
  <si>
    <t>Rc</t>
  </si>
  <si>
    <t>b Llanura (m)</t>
  </si>
  <si>
    <t>ATRIBUTOS PARA EL DIBUJO</t>
  </si>
  <si>
    <t>b Llanura</t>
  </si>
  <si>
    <t>b</t>
  </si>
  <si>
    <t>Muestra hasta las primeras 100 ondas</t>
  </si>
  <si>
    <t>Resolver para: asem-aval= 0</t>
  </si>
  <si>
    <t>ESTIMACIÓN DEL FACTOR DE SINUOSIDAD APARTIR DE LA LONGITUD SUAVIZADA DEL VALLE</t>
  </si>
  <si>
    <t>Q Medio Natural Cenicafé (m3/s)</t>
  </si>
  <si>
    <t>LOCALIZACIÓN DE CENTROIDE DEL TRAMO</t>
  </si>
  <si>
    <t>LOCALIZACIÓN DEL NODO</t>
  </si>
  <si>
    <t>Q Medio Natural Turc (m3/s)</t>
  </si>
  <si>
    <t>PNAME ECI</t>
  </si>
  <si>
    <t>ESTIMACIÓN DEL FACTOR DE SINUOSIDAD APARTIR DE LA LONGITUD EUCLIDIANA DEL VALLE</t>
  </si>
  <si>
    <t>CORRELACIÓN DEL ÍNDICE DE SINUOSIDAD Y EL CAUDAL MEDIO</t>
  </si>
  <si>
    <t>Longitud Río Lr (m)</t>
  </si>
  <si>
    <t>Longitud Valle 
Lv (Peak 2km)</t>
  </si>
  <si>
    <t>Indice de Sinuosidad 1 (Lv/Lr)</t>
  </si>
  <si>
    <t>Indice de Sinuosidad 2 (Lv/Lr)</t>
  </si>
  <si>
    <t>Longitud del Valle entre Nodos Lv (m)</t>
  </si>
  <si>
    <t>Índice de Sinuosidad</t>
  </si>
  <si>
    <t>c (m)</t>
  </si>
  <si>
    <t>q</t>
  </si>
  <si>
    <t>Ángulo del sector circular para Rc</t>
  </si>
  <si>
    <t>B' (m)</t>
  </si>
  <si>
    <t>B'</t>
  </si>
  <si>
    <t>Amplitud de onda en valle: Llanura menos base del canal</t>
  </si>
  <si>
    <t>Amplitud de onda para el diseño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</si>
</sst>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00000000"/>
    <numFmt numFmtId="165" formatCode="0.000"/>
    <numFmt numFmtId="166" formatCode="0.0"/>
    <numFmt numFmtId="167" formatCode="0.000000"/>
  </numFmts>
  <fonts count="38" x14ac:knownFonts="1">
    <font>
      <sz val="11"/>
      <color theme="1"/>
      <name val="Calibri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0"/>
      <color rgb="FF0070C0"/>
      <name val="Calibri Light"/>
      <family val="2"/>
    </font>
    <font>
      <sz val="10"/>
      <name val="Calibri Light"/>
      <family val="2"/>
    </font>
    <font>
      <b/>
      <sz val="9"/>
      <color indexed="81"/>
      <name val="Tahoma"/>
      <family val="2"/>
    </font>
    <font>
      <sz val="10"/>
      <color theme="1" tint="0.499984740745262"/>
      <name val="Calibri Light"/>
      <family val="2"/>
    </font>
    <font>
      <sz val="10"/>
      <color theme="0" tint="-0.499984740745262"/>
      <name val="Calibri Light"/>
      <family val="2"/>
    </font>
    <font>
      <sz val="10"/>
      <color theme="0" tint="-0.14999847407452621"/>
      <name val="Calibri Light"/>
      <family val="2"/>
    </font>
    <font>
      <sz val="10"/>
      <color theme="0"/>
      <name val="Calibri Light"/>
      <family val="2"/>
    </font>
    <font>
      <sz val="10"/>
      <color theme="0" tint="-0.34998626667073579"/>
      <name val="Calibri Light"/>
      <family val="2"/>
    </font>
    <font>
      <sz val="10"/>
      <color theme="1"/>
      <name val="Calibri Light"/>
      <family val="2"/>
      <scheme val="major"/>
    </font>
    <font>
      <sz val="10"/>
      <color rgb="FFFFFF00"/>
      <name val="Calibri Light"/>
      <family val="2"/>
      <scheme val="major"/>
    </font>
    <font>
      <i/>
      <sz val="10"/>
      <color rgb="FFFFFF00"/>
      <name val="Calibri Light"/>
      <family val="2"/>
      <scheme val="major"/>
    </font>
    <font>
      <sz val="10"/>
      <name val="Calibri Light"/>
      <family val="2"/>
      <scheme val="major"/>
    </font>
    <font>
      <sz val="10"/>
      <color rgb="FF0070C0"/>
      <name val="Calibri Light"/>
      <family val="2"/>
      <scheme val="major"/>
    </font>
    <font>
      <sz val="10"/>
      <color theme="1"/>
      <name val="Symbol"/>
      <family val="1"/>
      <charset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indexed="64"/>
      </bottom>
      <diagonal/>
    </border>
  </borders>
  <cellStyleXfs count="43">
    <xf numFmtId="0" fontId="0" fillId="0" borderId="0"/>
    <xf numFmtId="43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17" fillId="0" borderId="6" applyNumberFormat="0" applyFill="0" applyAlignment="0" applyProtection="0"/>
    <xf numFmtId="0" fontId="18" fillId="7" borderId="7" applyNumberFormat="0" applyAlignment="0" applyProtection="0"/>
    <xf numFmtId="0" fontId="19" fillId="0" borderId="0" applyNumberFormat="0" applyFill="0" applyBorder="0" applyAlignment="0" applyProtection="0"/>
    <xf numFmtId="0" fontId="6" fillId="8" borderId="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22" fillId="32" borderId="0" applyNumberFormat="0" applyBorder="0" applyAlignment="0" applyProtection="0"/>
  </cellStyleXfs>
  <cellXfs count="110">
    <xf numFmtId="0" fontId="0" fillId="0" borderId="0" xfId="0"/>
    <xf numFmtId="1" fontId="24" fillId="0" borderId="20" xfId="0" applyNumberFormat="1" applyFont="1" applyBorder="1" applyAlignment="1">
      <alignment horizontal="center" vertical="center" wrapText="1"/>
    </xf>
    <xf numFmtId="1" fontId="24" fillId="0" borderId="22" xfId="0" applyNumberFormat="1" applyFont="1" applyBorder="1" applyAlignment="1">
      <alignment horizontal="center" vertical="center" wrapText="1"/>
    </xf>
    <xf numFmtId="165" fontId="24" fillId="0" borderId="22" xfId="0" applyNumberFormat="1" applyFont="1" applyBorder="1" applyAlignment="1">
      <alignment horizontal="center" vertical="center" wrapText="1"/>
    </xf>
    <xf numFmtId="0" fontId="24" fillId="0" borderId="24" xfId="0" applyFont="1" applyBorder="1" applyAlignment="1">
      <alignment horizontal="center" vertical="center" wrapText="1"/>
    </xf>
    <xf numFmtId="0" fontId="27" fillId="0" borderId="21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25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0" fontId="29" fillId="0" borderId="26" xfId="0" applyFont="1" applyBorder="1" applyAlignment="1">
      <alignment horizontal="center" vertical="center" wrapText="1"/>
    </xf>
    <xf numFmtId="1" fontId="29" fillId="0" borderId="26" xfId="0" applyNumberFormat="1" applyFont="1" applyBorder="1" applyAlignment="1">
      <alignment horizontal="center" vertical="center" wrapText="1"/>
    </xf>
    <xf numFmtId="0" fontId="29" fillId="0" borderId="26" xfId="0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30" fillId="33" borderId="26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5" fillId="36" borderId="20" xfId="0" applyFont="1" applyFill="1" applyBorder="1" applyAlignment="1">
      <alignment vertical="center" wrapText="1"/>
    </xf>
    <xf numFmtId="0" fontId="5" fillId="36" borderId="22" xfId="0" applyFont="1" applyFill="1" applyBorder="1" applyAlignment="1">
      <alignment vertical="center" wrapText="1"/>
    </xf>
    <xf numFmtId="165" fontId="5" fillId="0" borderId="22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0" fontId="5" fillId="36" borderId="24" xfId="0" applyFont="1" applyFill="1" applyBorder="1" applyAlignment="1">
      <alignment vertical="center" wrapText="1"/>
    </xf>
    <xf numFmtId="165" fontId="5" fillId="0" borderId="20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1" fontId="5" fillId="0" borderId="24" xfId="0" applyNumberFormat="1" applyFont="1" applyBorder="1" applyAlignment="1">
      <alignment horizontal="center" vertical="center" wrapText="1"/>
    </xf>
    <xf numFmtId="0" fontId="32" fillId="33" borderId="18" xfId="0" applyFont="1" applyFill="1" applyBorder="1" applyAlignment="1">
      <alignment vertical="center" wrapText="1"/>
    </xf>
    <xf numFmtId="0" fontId="33" fillId="35" borderId="19" xfId="0" applyFont="1" applyFill="1" applyBorder="1" applyAlignment="1">
      <alignment horizontal="left" vertical="center" wrapText="1"/>
    </xf>
    <xf numFmtId="0" fontId="32" fillId="0" borderId="0" xfId="0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/>
    </xf>
    <xf numFmtId="0" fontId="32" fillId="33" borderId="28" xfId="0" applyFont="1" applyFill="1" applyBorder="1" applyAlignment="1">
      <alignment horizontal="center"/>
    </xf>
    <xf numFmtId="164" fontId="32" fillId="0" borderId="0" xfId="0" applyNumberFormat="1" applyFont="1" applyFill="1" applyAlignment="1">
      <alignment horizontal="center" vertical="center" wrapText="1"/>
    </xf>
    <xf numFmtId="1" fontId="32" fillId="0" borderId="0" xfId="0" applyNumberFormat="1" applyFont="1" applyFill="1" applyAlignment="1">
      <alignment horizontal="center" vertical="center" wrapText="1"/>
    </xf>
    <xf numFmtId="0" fontId="32" fillId="0" borderId="0" xfId="0" applyFont="1" applyFill="1" applyAlignment="1">
      <alignment vertical="center" wrapText="1"/>
    </xf>
    <xf numFmtId="0" fontId="32" fillId="0" borderId="0" xfId="0" applyFont="1" applyFill="1" applyAlignment="1">
      <alignment horizontal="center" vertical="center" wrapText="1"/>
    </xf>
    <xf numFmtId="2" fontId="32" fillId="0" borderId="0" xfId="0" applyNumberFormat="1" applyFont="1" applyFill="1" applyAlignment="1">
      <alignment horizontal="center" vertical="center" wrapText="1"/>
    </xf>
    <xf numFmtId="2" fontId="32" fillId="0" borderId="29" xfId="0" applyNumberFormat="1" applyFont="1" applyFill="1" applyBorder="1" applyAlignment="1">
      <alignment horizontal="center" vertical="center" wrapText="1"/>
    </xf>
    <xf numFmtId="166" fontId="32" fillId="0" borderId="0" xfId="0" applyNumberFormat="1" applyFont="1" applyFill="1" applyAlignment="1">
      <alignment horizontal="center" vertical="center" wrapText="1"/>
    </xf>
    <xf numFmtId="165" fontId="32" fillId="0" borderId="0" xfId="0" applyNumberFormat="1" applyFont="1" applyFill="1" applyAlignment="1">
      <alignment horizontal="center" vertical="center" wrapText="1"/>
    </xf>
    <xf numFmtId="2" fontId="32" fillId="0" borderId="30" xfId="0" applyNumberFormat="1" applyFont="1" applyFill="1" applyBorder="1" applyAlignment="1">
      <alignment horizontal="center" vertical="center" wrapText="1"/>
    </xf>
    <xf numFmtId="43" fontId="32" fillId="0" borderId="0" xfId="1" applyFont="1" applyFill="1" applyAlignment="1">
      <alignment vertical="center" wrapText="1"/>
    </xf>
    <xf numFmtId="164" fontId="32" fillId="33" borderId="27" xfId="0" applyNumberFormat="1" applyFont="1" applyFill="1" applyBorder="1" applyAlignment="1">
      <alignment horizontal="center" vertical="center" wrapText="1"/>
    </xf>
    <xf numFmtId="2" fontId="32" fillId="0" borderId="28" xfId="0" applyNumberFormat="1" applyFont="1" applyFill="1" applyBorder="1" applyAlignment="1">
      <alignment horizontal="center" vertical="center" wrapText="1"/>
    </xf>
    <xf numFmtId="0" fontId="24" fillId="0" borderId="20" xfId="0" applyFont="1" applyBorder="1" applyAlignment="1">
      <alignment horizontal="center" vertical="center" wrapText="1"/>
    </xf>
    <xf numFmtId="0" fontId="34" fillId="35" borderId="19" xfId="0" applyFont="1" applyFill="1" applyBorder="1" applyAlignment="1">
      <alignment horizontal="left" vertical="center" wrapText="1"/>
    </xf>
    <xf numFmtId="1" fontId="36" fillId="0" borderId="28" xfId="0" applyNumberFormat="1" applyFont="1" applyFill="1" applyBorder="1" applyAlignment="1">
      <alignment horizontal="center" vertical="center" wrapText="1"/>
    </xf>
    <xf numFmtId="166" fontId="36" fillId="0" borderId="28" xfId="0" applyNumberFormat="1" applyFont="1" applyFill="1" applyBorder="1" applyAlignment="1">
      <alignment horizontal="center" vertical="center" wrapText="1"/>
    </xf>
    <xf numFmtId="2" fontId="36" fillId="0" borderId="28" xfId="0" applyNumberFormat="1" applyFont="1" applyFill="1" applyBorder="1" applyAlignment="1">
      <alignment horizontal="center" vertical="center" wrapText="1"/>
    </xf>
    <xf numFmtId="1" fontId="36" fillId="0" borderId="29" xfId="0" applyNumberFormat="1" applyFont="1" applyFill="1" applyBorder="1" applyAlignment="1">
      <alignment horizontal="center" vertical="center" wrapText="1"/>
    </xf>
    <xf numFmtId="166" fontId="36" fillId="0" borderId="29" xfId="0" applyNumberFormat="1" applyFont="1" applyFill="1" applyBorder="1" applyAlignment="1">
      <alignment horizontal="center" vertical="center" wrapText="1"/>
    </xf>
    <xf numFmtId="2" fontId="36" fillId="0" borderId="29" xfId="0" applyNumberFormat="1" applyFont="1" applyFill="1" applyBorder="1" applyAlignment="1">
      <alignment horizontal="center" vertical="center" wrapText="1"/>
    </xf>
    <xf numFmtId="1" fontId="36" fillId="0" borderId="30" xfId="0" applyNumberFormat="1" applyFont="1" applyFill="1" applyBorder="1" applyAlignment="1">
      <alignment horizontal="center" vertical="center" wrapText="1"/>
    </xf>
    <xf numFmtId="166" fontId="36" fillId="0" borderId="30" xfId="0" applyNumberFormat="1" applyFont="1" applyFill="1" applyBorder="1" applyAlignment="1">
      <alignment horizontal="center" vertical="center" wrapText="1"/>
    </xf>
    <xf numFmtId="2" fontId="36" fillId="0" borderId="30" xfId="0" applyNumberFormat="1" applyFont="1" applyFill="1" applyBorder="1" applyAlignment="1">
      <alignment horizontal="center" vertical="center" wrapText="1"/>
    </xf>
    <xf numFmtId="1" fontId="36" fillId="36" borderId="28" xfId="0" applyNumberFormat="1" applyFont="1" applyFill="1" applyBorder="1" applyAlignment="1">
      <alignment horizontal="center" vertical="center" wrapText="1"/>
    </xf>
    <xf numFmtId="1" fontId="36" fillId="36" borderId="29" xfId="0" applyNumberFormat="1" applyFont="1" applyFill="1" applyBorder="1" applyAlignment="1">
      <alignment horizontal="center" vertical="center" wrapText="1"/>
    </xf>
    <xf numFmtId="1" fontId="36" fillId="36" borderId="30" xfId="0" applyNumberFormat="1" applyFont="1" applyFill="1" applyBorder="1" applyAlignment="1">
      <alignment horizontal="center" vertical="center" wrapText="1"/>
    </xf>
    <xf numFmtId="0" fontId="32" fillId="0" borderId="29" xfId="0" applyFont="1" applyBorder="1" applyAlignment="1">
      <alignment horizontal="center"/>
    </xf>
    <xf numFmtId="0" fontId="32" fillId="0" borderId="30" xfId="0" applyFont="1" applyBorder="1" applyAlignment="1">
      <alignment horizontal="center"/>
    </xf>
    <xf numFmtId="2" fontId="35" fillId="36" borderId="28" xfId="0" applyNumberFormat="1" applyFont="1" applyFill="1" applyBorder="1" applyAlignment="1">
      <alignment horizontal="center" vertical="center" wrapText="1"/>
    </xf>
    <xf numFmtId="2" fontId="35" fillId="36" borderId="29" xfId="0" applyNumberFormat="1" applyFont="1" applyFill="1" applyBorder="1" applyAlignment="1">
      <alignment horizontal="center" vertical="center" wrapText="1"/>
    </xf>
    <xf numFmtId="2" fontId="35" fillId="36" borderId="30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5" fillId="36" borderId="40" xfId="0" applyFont="1" applyFill="1" applyBorder="1" applyAlignment="1">
      <alignment vertical="center" wrapText="1"/>
    </xf>
    <xf numFmtId="0" fontId="25" fillId="0" borderId="40" xfId="0" applyFont="1" applyBorder="1" applyAlignment="1">
      <alignment horizontal="center" vertical="center" wrapText="1"/>
    </xf>
    <xf numFmtId="0" fontId="27" fillId="0" borderId="39" xfId="0" applyFont="1" applyBorder="1" applyAlignment="1">
      <alignment vertical="center" wrapText="1"/>
    </xf>
    <xf numFmtId="0" fontId="3" fillId="36" borderId="41" xfId="0" applyFont="1" applyFill="1" applyBorder="1" applyAlignment="1">
      <alignment vertical="center" wrapText="1"/>
    </xf>
    <xf numFmtId="166" fontId="25" fillId="0" borderId="41" xfId="0" applyNumberFormat="1" applyFont="1" applyBorder="1" applyAlignment="1">
      <alignment horizontal="center" vertical="center" wrapText="1"/>
    </xf>
    <xf numFmtId="0" fontId="27" fillId="0" borderId="42" xfId="0" applyFont="1" applyBorder="1" applyAlignment="1">
      <alignment vertical="center" wrapText="1"/>
    </xf>
    <xf numFmtId="0" fontId="37" fillId="36" borderId="43" xfId="0" applyFont="1" applyFill="1" applyBorder="1" applyAlignment="1">
      <alignment vertical="center" wrapText="1"/>
    </xf>
    <xf numFmtId="166" fontId="5" fillId="0" borderId="43" xfId="0" applyNumberFormat="1" applyFont="1" applyBorder="1" applyAlignment="1">
      <alignment horizontal="center" vertical="center" wrapText="1"/>
    </xf>
    <xf numFmtId="0" fontId="27" fillId="0" borderId="44" xfId="0" applyFont="1" applyBorder="1" applyAlignment="1">
      <alignment vertical="center" wrapText="1"/>
    </xf>
    <xf numFmtId="0" fontId="2" fillId="36" borderId="22" xfId="0" applyFont="1" applyFill="1" applyBorder="1" applyAlignment="1">
      <alignment vertical="center" wrapText="1"/>
    </xf>
    <xf numFmtId="0" fontId="30" fillId="33" borderId="26" xfId="0" applyFont="1" applyFill="1" applyBorder="1" applyAlignment="1">
      <alignment horizontal="center" vertical="center" wrapText="1"/>
    </xf>
    <xf numFmtId="2" fontId="5" fillId="0" borderId="22" xfId="0" applyNumberFormat="1" applyFont="1" applyBorder="1" applyAlignment="1">
      <alignment horizontal="center" vertical="center" wrapText="1"/>
    </xf>
    <xf numFmtId="166" fontId="5" fillId="0" borderId="22" xfId="0" applyNumberFormat="1" applyFont="1" applyBorder="1" applyAlignment="1">
      <alignment horizontal="center" vertical="center" wrapText="1"/>
    </xf>
    <xf numFmtId="2" fontId="5" fillId="0" borderId="20" xfId="0" applyNumberFormat="1" applyFont="1" applyBorder="1" applyAlignment="1">
      <alignment horizontal="center" vertical="center" wrapText="1"/>
    </xf>
    <xf numFmtId="167" fontId="5" fillId="0" borderId="24" xfId="0" applyNumberFormat="1" applyFont="1" applyBorder="1" applyAlignment="1">
      <alignment horizontal="center" vertical="center" wrapText="1"/>
    </xf>
    <xf numFmtId="2" fontId="1" fillId="0" borderId="22" xfId="0" applyNumberFormat="1" applyFont="1" applyBorder="1" applyAlignment="1">
      <alignment horizontal="center" vertical="center" wrapText="1"/>
    </xf>
    <xf numFmtId="0" fontId="30" fillId="33" borderId="26" xfId="0" applyFont="1" applyFill="1" applyBorder="1" applyAlignment="1">
      <alignment horizontal="center" vertical="center" wrapText="1"/>
    </xf>
    <xf numFmtId="0" fontId="4" fillId="33" borderId="10" xfId="0" applyFont="1" applyFill="1" applyBorder="1" applyAlignment="1">
      <alignment horizontal="center" vertical="center" wrapText="1"/>
    </xf>
    <xf numFmtId="0" fontId="4" fillId="33" borderId="11" xfId="0" applyFont="1" applyFill="1" applyBorder="1" applyAlignment="1">
      <alignment horizontal="center" vertical="center" wrapText="1"/>
    </xf>
    <xf numFmtId="0" fontId="4" fillId="33" borderId="12" xfId="0" applyFont="1" applyFill="1" applyBorder="1" applyAlignment="1">
      <alignment horizontal="center" vertical="center" wrapText="1"/>
    </xf>
    <xf numFmtId="0" fontId="4" fillId="33" borderId="13" xfId="0" applyFont="1" applyFill="1" applyBorder="1" applyAlignment="1">
      <alignment horizontal="center" vertical="center" wrapText="1"/>
    </xf>
    <xf numFmtId="0" fontId="4" fillId="33" borderId="0" xfId="0" applyFont="1" applyFill="1" applyBorder="1" applyAlignment="1">
      <alignment horizontal="center" vertical="center" wrapText="1"/>
    </xf>
    <xf numFmtId="0" fontId="4" fillId="33" borderId="14" xfId="0" applyFont="1" applyFill="1" applyBorder="1" applyAlignment="1">
      <alignment horizontal="center" vertical="center" wrapText="1"/>
    </xf>
    <xf numFmtId="0" fontId="4" fillId="33" borderId="15" xfId="0" applyFont="1" applyFill="1" applyBorder="1" applyAlignment="1">
      <alignment horizontal="center" vertical="center" wrapText="1"/>
    </xf>
    <xf numFmtId="0" fontId="4" fillId="33" borderId="16" xfId="0" applyFont="1" applyFill="1" applyBorder="1" applyAlignment="1">
      <alignment horizontal="center" vertical="center" wrapText="1"/>
    </xf>
    <xf numFmtId="0" fontId="4" fillId="33" borderId="17" xfId="0" applyFont="1" applyFill="1" applyBorder="1" applyAlignment="1">
      <alignment horizontal="center" vertical="center" wrapText="1"/>
    </xf>
    <xf numFmtId="0" fontId="5" fillId="34" borderId="10" xfId="0" applyFont="1" applyFill="1" applyBorder="1" applyAlignment="1">
      <alignment horizontal="center" vertical="center" wrapText="1"/>
    </xf>
    <xf numFmtId="0" fontId="5" fillId="34" borderId="11" xfId="0" applyFont="1" applyFill="1" applyBorder="1" applyAlignment="1">
      <alignment horizontal="center" vertical="center" wrapText="1"/>
    </xf>
    <xf numFmtId="0" fontId="5" fillId="34" borderId="13" xfId="0" applyFont="1" applyFill="1" applyBorder="1" applyAlignment="1">
      <alignment horizontal="center" vertical="center" wrapText="1"/>
    </xf>
    <xf numFmtId="0" fontId="5" fillId="34" borderId="0" xfId="0" applyFont="1" applyFill="1" applyBorder="1" applyAlignment="1">
      <alignment horizontal="center" vertical="center" wrapText="1"/>
    </xf>
    <xf numFmtId="0" fontId="5" fillId="34" borderId="15" xfId="0" applyFont="1" applyFill="1" applyBorder="1" applyAlignment="1">
      <alignment horizontal="center" vertical="center" wrapText="1"/>
    </xf>
    <xf numFmtId="0" fontId="5" fillId="34" borderId="16" xfId="0" applyFont="1" applyFill="1" applyBorder="1" applyAlignment="1">
      <alignment horizontal="center" vertical="center" wrapText="1"/>
    </xf>
    <xf numFmtId="1" fontId="32" fillId="34" borderId="35" xfId="0" applyNumberFormat="1" applyFont="1" applyFill="1" applyBorder="1" applyAlignment="1">
      <alignment horizontal="center" vertical="center" wrapText="1"/>
    </xf>
    <xf numFmtId="1" fontId="32" fillId="34" borderId="36" xfId="0" applyNumberFormat="1" applyFont="1" applyFill="1" applyBorder="1" applyAlignment="1">
      <alignment horizontal="center" vertical="center" wrapText="1"/>
    </xf>
    <xf numFmtId="1" fontId="32" fillId="34" borderId="37" xfId="0" applyNumberFormat="1" applyFont="1" applyFill="1" applyBorder="1" applyAlignment="1">
      <alignment horizontal="center" vertical="center" wrapText="1"/>
    </xf>
    <xf numFmtId="2" fontId="32" fillId="33" borderId="30" xfId="0" applyNumberFormat="1" applyFont="1" applyFill="1" applyBorder="1" applyAlignment="1">
      <alignment horizontal="center" vertical="center" wrapText="1"/>
    </xf>
    <xf numFmtId="2" fontId="32" fillId="33" borderId="27" xfId="0" applyNumberFormat="1" applyFont="1" applyFill="1" applyBorder="1" applyAlignment="1">
      <alignment horizontal="center" vertical="center" wrapText="1"/>
    </xf>
    <xf numFmtId="1" fontId="32" fillId="33" borderId="27" xfId="0" applyNumberFormat="1" applyFont="1" applyFill="1" applyBorder="1" applyAlignment="1">
      <alignment horizontal="center" vertical="center" wrapText="1"/>
    </xf>
    <xf numFmtId="0" fontId="32" fillId="33" borderId="33" xfId="0" applyFont="1" applyFill="1" applyBorder="1" applyAlignment="1">
      <alignment horizontal="center" vertical="center" wrapText="1"/>
    </xf>
    <xf numFmtId="0" fontId="32" fillId="33" borderId="34" xfId="0" applyFont="1" applyFill="1" applyBorder="1" applyAlignment="1">
      <alignment horizontal="center" vertical="center" wrapText="1"/>
    </xf>
    <xf numFmtId="164" fontId="32" fillId="33" borderId="30" xfId="0" applyNumberFormat="1" applyFont="1" applyFill="1" applyBorder="1" applyAlignment="1">
      <alignment horizontal="center" vertical="center" wrapText="1"/>
    </xf>
    <xf numFmtId="1" fontId="32" fillId="33" borderId="30" xfId="0" applyNumberFormat="1" applyFont="1" applyFill="1" applyBorder="1" applyAlignment="1">
      <alignment horizontal="center" vertical="center" wrapText="1"/>
    </xf>
    <xf numFmtId="164" fontId="32" fillId="33" borderId="27" xfId="0" applyNumberFormat="1" applyFont="1" applyFill="1" applyBorder="1" applyAlignment="1">
      <alignment horizontal="center" vertical="center" wrapText="1"/>
    </xf>
    <xf numFmtId="1" fontId="32" fillId="34" borderId="31" xfId="0" applyNumberFormat="1" applyFont="1" applyFill="1" applyBorder="1" applyAlignment="1">
      <alignment horizontal="center" vertical="center" wrapText="1"/>
    </xf>
    <xf numFmtId="1" fontId="32" fillId="34" borderId="38" xfId="0" applyNumberFormat="1" applyFont="1" applyFill="1" applyBorder="1" applyAlignment="1">
      <alignment horizontal="center" vertical="center" wrapText="1"/>
    </xf>
    <xf numFmtId="1" fontId="32" fillId="34" borderId="32" xfId="0" applyNumberFormat="1" applyFont="1" applyFill="1" applyBorder="1" applyAlignment="1">
      <alignment horizontal="center" vertical="center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s-CO"/>
              <a:t>Esquema</a:t>
            </a:r>
            <a:r>
              <a:rPr lang="es-CO" baseline="0"/>
              <a:t> de Meandros del </a:t>
            </a:r>
            <a:r>
              <a:rPr lang="es-CO"/>
              <a:t>Diseño Sinuoso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7447594349193463E-2"/>
          <c:y val="8.0585718087408595E-2"/>
          <c:w val="0.90408085624429335"/>
          <c:h val="0.74309412169998135"/>
        </c:manualLayout>
      </c:layout>
      <c:scatterChart>
        <c:scatterStyle val="smoothMarker"/>
        <c:varyColors val="0"/>
        <c:ser>
          <c:idx val="6"/>
          <c:order val="0"/>
          <c:tx>
            <c:strRef>
              <c:f>DiseñoSinuoso!$J$29</c:f>
              <c:strCache>
                <c:ptCount val="1"/>
                <c:pt idx="0">
                  <c:v>Plantas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gradFill flip="none" rotWithShape="1">
                  <a:gsLst>
                    <a:gs pos="0">
                      <a:schemeClr val="accent6">
                        <a:lumMod val="67000"/>
                      </a:schemeClr>
                    </a:gs>
                    <a:gs pos="48000">
                      <a:schemeClr val="accent6">
                        <a:lumMod val="97000"/>
                        <a:lumOff val="3000"/>
                      </a:schemeClr>
                    </a:gs>
                    <a:gs pos="100000">
                      <a:schemeClr val="accent6">
                        <a:lumMod val="60000"/>
                        <a:lumOff val="40000"/>
                      </a:schemeClr>
                    </a:gs>
                  </a:gsLst>
                  <a:lin ang="16200000" scaled="1"/>
                  <a:tileRect/>
                </a:gradFill>
              </a:ln>
              <a:effectLst/>
            </c:spPr>
          </c:marker>
          <c:xVal>
            <c:numRef>
              <c:f>DiseñoSinuoso!$J$30:$J$130</c:f>
              <c:numCache>
                <c:formatCode>General</c:formatCode>
                <c:ptCount val="101"/>
                <c:pt idx="0">
                  <c:v>13803</c:v>
                </c:pt>
                <c:pt idx="1">
                  <c:v>11870</c:v>
                </c:pt>
                <c:pt idx="2">
                  <c:v>17985</c:v>
                </c:pt>
                <c:pt idx="3">
                  <c:v>18654</c:v>
                </c:pt>
                <c:pt idx="4">
                  <c:v>21337</c:v>
                </c:pt>
                <c:pt idx="5">
                  <c:v>21585</c:v>
                </c:pt>
                <c:pt idx="6">
                  <c:v>10009</c:v>
                </c:pt>
                <c:pt idx="7">
                  <c:v>8314</c:v>
                </c:pt>
                <c:pt idx="8">
                  <c:v>17940</c:v>
                </c:pt>
                <c:pt idx="9">
                  <c:v>3936</c:v>
                </c:pt>
                <c:pt idx="10">
                  <c:v>15009</c:v>
                </c:pt>
                <c:pt idx="11">
                  <c:v>2905</c:v>
                </c:pt>
                <c:pt idx="12">
                  <c:v>19836</c:v>
                </c:pt>
                <c:pt idx="13">
                  <c:v>20532</c:v>
                </c:pt>
                <c:pt idx="14">
                  <c:v>9259</c:v>
                </c:pt>
                <c:pt idx="15">
                  <c:v>20882</c:v>
                </c:pt>
                <c:pt idx="16">
                  <c:v>8715</c:v>
                </c:pt>
                <c:pt idx="17">
                  <c:v>15666</c:v>
                </c:pt>
                <c:pt idx="18">
                  <c:v>5962</c:v>
                </c:pt>
                <c:pt idx="19">
                  <c:v>21217</c:v>
                </c:pt>
                <c:pt idx="20">
                  <c:v>8688</c:v>
                </c:pt>
                <c:pt idx="21">
                  <c:v>643</c:v>
                </c:pt>
                <c:pt idx="22">
                  <c:v>1948</c:v>
                </c:pt>
                <c:pt idx="23">
                  <c:v>5441</c:v>
                </c:pt>
                <c:pt idx="24">
                  <c:v>12592</c:v>
                </c:pt>
                <c:pt idx="25">
                  <c:v>20596</c:v>
                </c:pt>
                <c:pt idx="26">
                  <c:v>3322</c:v>
                </c:pt>
                <c:pt idx="27">
                  <c:v>21822</c:v>
                </c:pt>
                <c:pt idx="28">
                  <c:v>6871</c:v>
                </c:pt>
                <c:pt idx="29">
                  <c:v>14812</c:v>
                </c:pt>
                <c:pt idx="30">
                  <c:v>8933</c:v>
                </c:pt>
                <c:pt idx="31">
                  <c:v>7488</c:v>
                </c:pt>
                <c:pt idx="32">
                  <c:v>13859</c:v>
                </c:pt>
                <c:pt idx="33">
                  <c:v>1597</c:v>
                </c:pt>
                <c:pt idx="34">
                  <c:v>6482</c:v>
                </c:pt>
                <c:pt idx="35">
                  <c:v>4624</c:v>
                </c:pt>
                <c:pt idx="36">
                  <c:v>12620</c:v>
                </c:pt>
                <c:pt idx="37">
                  <c:v>20370</c:v>
                </c:pt>
                <c:pt idx="38">
                  <c:v>6820</c:v>
                </c:pt>
                <c:pt idx="39">
                  <c:v>19396</c:v>
                </c:pt>
                <c:pt idx="40">
                  <c:v>15199</c:v>
                </c:pt>
                <c:pt idx="41">
                  <c:v>10753</c:v>
                </c:pt>
                <c:pt idx="42">
                  <c:v>19972</c:v>
                </c:pt>
                <c:pt idx="43">
                  <c:v>178</c:v>
                </c:pt>
                <c:pt idx="44">
                  <c:v>4421</c:v>
                </c:pt>
                <c:pt idx="45">
                  <c:v>22235</c:v>
                </c:pt>
                <c:pt idx="46">
                  <c:v>17301</c:v>
                </c:pt>
                <c:pt idx="47">
                  <c:v>22136</c:v>
                </c:pt>
                <c:pt idx="48">
                  <c:v>15594</c:v>
                </c:pt>
                <c:pt idx="49">
                  <c:v>11482</c:v>
                </c:pt>
                <c:pt idx="50">
                  <c:v>16303</c:v>
                </c:pt>
                <c:pt idx="51">
                  <c:v>18442</c:v>
                </c:pt>
                <c:pt idx="52">
                  <c:v>22673</c:v>
                </c:pt>
                <c:pt idx="53">
                  <c:v>18834</c:v>
                </c:pt>
                <c:pt idx="54">
                  <c:v>16899</c:v>
                </c:pt>
                <c:pt idx="55">
                  <c:v>10286</c:v>
                </c:pt>
                <c:pt idx="56">
                  <c:v>2895</c:v>
                </c:pt>
                <c:pt idx="57">
                  <c:v>7441</c:v>
                </c:pt>
                <c:pt idx="58">
                  <c:v>5538</c:v>
                </c:pt>
                <c:pt idx="59">
                  <c:v>23786</c:v>
                </c:pt>
                <c:pt idx="60">
                  <c:v>21309</c:v>
                </c:pt>
                <c:pt idx="61">
                  <c:v>9841</c:v>
                </c:pt>
                <c:pt idx="62">
                  <c:v>8491</c:v>
                </c:pt>
                <c:pt idx="63">
                  <c:v>13804</c:v>
                </c:pt>
                <c:pt idx="64">
                  <c:v>8073</c:v>
                </c:pt>
                <c:pt idx="65">
                  <c:v>19729</c:v>
                </c:pt>
                <c:pt idx="66">
                  <c:v>10108</c:v>
                </c:pt>
                <c:pt idx="67">
                  <c:v>14990</c:v>
                </c:pt>
                <c:pt idx="68">
                  <c:v>358</c:v>
                </c:pt>
                <c:pt idx="69">
                  <c:v>16692</c:v>
                </c:pt>
                <c:pt idx="70">
                  <c:v>6765</c:v>
                </c:pt>
                <c:pt idx="71">
                  <c:v>5075</c:v>
                </c:pt>
                <c:pt idx="72">
                  <c:v>5893</c:v>
                </c:pt>
                <c:pt idx="73">
                  <c:v>1133</c:v>
                </c:pt>
                <c:pt idx="74">
                  <c:v>10034</c:v>
                </c:pt>
                <c:pt idx="75">
                  <c:v>2564</c:v>
                </c:pt>
                <c:pt idx="76">
                  <c:v>23786</c:v>
                </c:pt>
                <c:pt idx="77">
                  <c:v>14231</c:v>
                </c:pt>
                <c:pt idx="78">
                  <c:v>11960</c:v>
                </c:pt>
                <c:pt idx="79">
                  <c:v>12541</c:v>
                </c:pt>
                <c:pt idx="80">
                  <c:v>17784</c:v>
                </c:pt>
                <c:pt idx="81">
                  <c:v>10606</c:v>
                </c:pt>
                <c:pt idx="82">
                  <c:v>3524</c:v>
                </c:pt>
                <c:pt idx="83">
                  <c:v>17403</c:v>
                </c:pt>
                <c:pt idx="84">
                  <c:v>10552</c:v>
                </c:pt>
                <c:pt idx="85">
                  <c:v>6807</c:v>
                </c:pt>
                <c:pt idx="86">
                  <c:v>5008</c:v>
                </c:pt>
                <c:pt idx="87">
                  <c:v>6651</c:v>
                </c:pt>
                <c:pt idx="88">
                  <c:v>990</c:v>
                </c:pt>
                <c:pt idx="89">
                  <c:v>4946</c:v>
                </c:pt>
                <c:pt idx="90">
                  <c:v>21666</c:v>
                </c:pt>
                <c:pt idx="91">
                  <c:v>16511</c:v>
                </c:pt>
                <c:pt idx="92">
                  <c:v>5855</c:v>
                </c:pt>
                <c:pt idx="93">
                  <c:v>23041</c:v>
                </c:pt>
                <c:pt idx="94">
                  <c:v>16859</c:v>
                </c:pt>
                <c:pt idx="95">
                  <c:v>9933</c:v>
                </c:pt>
                <c:pt idx="96">
                  <c:v>213</c:v>
                </c:pt>
                <c:pt idx="97">
                  <c:v>12371</c:v>
                </c:pt>
                <c:pt idx="98">
                  <c:v>892</c:v>
                </c:pt>
                <c:pt idx="99">
                  <c:v>17054</c:v>
                </c:pt>
                <c:pt idx="100">
                  <c:v>1670</c:v>
                </c:pt>
              </c:numCache>
            </c:numRef>
          </c:xVal>
          <c:yVal>
            <c:numRef>
              <c:f>DiseñoSinuoso!$K$30:$K$130</c:f>
              <c:numCache>
                <c:formatCode>General</c:formatCode>
                <c:ptCount val="101"/>
                <c:pt idx="0">
                  <c:v>-30</c:v>
                </c:pt>
                <c:pt idx="1">
                  <c:v>-19</c:v>
                </c:pt>
                <c:pt idx="2">
                  <c:v>64</c:v>
                </c:pt>
                <c:pt idx="3">
                  <c:v>-71</c:v>
                </c:pt>
                <c:pt idx="4">
                  <c:v>-59</c:v>
                </c:pt>
                <c:pt idx="5">
                  <c:v>35</c:v>
                </c:pt>
                <c:pt idx="6">
                  <c:v>-48</c:v>
                </c:pt>
                <c:pt idx="7">
                  <c:v>76</c:v>
                </c:pt>
                <c:pt idx="8">
                  <c:v>-49</c:v>
                </c:pt>
                <c:pt idx="9">
                  <c:v>-66</c:v>
                </c:pt>
                <c:pt idx="10">
                  <c:v>72</c:v>
                </c:pt>
                <c:pt idx="11">
                  <c:v>41</c:v>
                </c:pt>
                <c:pt idx="12">
                  <c:v>37</c:v>
                </c:pt>
                <c:pt idx="13">
                  <c:v>-50</c:v>
                </c:pt>
                <c:pt idx="14">
                  <c:v>-76</c:v>
                </c:pt>
                <c:pt idx="15">
                  <c:v>38</c:v>
                </c:pt>
                <c:pt idx="16">
                  <c:v>61</c:v>
                </c:pt>
                <c:pt idx="17">
                  <c:v>14</c:v>
                </c:pt>
                <c:pt idx="18">
                  <c:v>-46</c:v>
                </c:pt>
                <c:pt idx="19">
                  <c:v>-15</c:v>
                </c:pt>
                <c:pt idx="20">
                  <c:v>40</c:v>
                </c:pt>
                <c:pt idx="21">
                  <c:v>-33</c:v>
                </c:pt>
                <c:pt idx="22">
                  <c:v>5</c:v>
                </c:pt>
                <c:pt idx="23">
                  <c:v>10</c:v>
                </c:pt>
                <c:pt idx="24">
                  <c:v>-5</c:v>
                </c:pt>
                <c:pt idx="25">
                  <c:v>-76</c:v>
                </c:pt>
                <c:pt idx="26">
                  <c:v>-44</c:v>
                </c:pt>
                <c:pt idx="27">
                  <c:v>14</c:v>
                </c:pt>
                <c:pt idx="28">
                  <c:v>24</c:v>
                </c:pt>
                <c:pt idx="29">
                  <c:v>-57</c:v>
                </c:pt>
                <c:pt idx="30">
                  <c:v>57</c:v>
                </c:pt>
                <c:pt idx="31">
                  <c:v>-65</c:v>
                </c:pt>
                <c:pt idx="32">
                  <c:v>17</c:v>
                </c:pt>
                <c:pt idx="33">
                  <c:v>-62</c:v>
                </c:pt>
                <c:pt idx="34">
                  <c:v>-31</c:v>
                </c:pt>
                <c:pt idx="35">
                  <c:v>-64</c:v>
                </c:pt>
                <c:pt idx="36">
                  <c:v>0</c:v>
                </c:pt>
                <c:pt idx="37">
                  <c:v>-62</c:v>
                </c:pt>
                <c:pt idx="38">
                  <c:v>2</c:v>
                </c:pt>
                <c:pt idx="39">
                  <c:v>-42</c:v>
                </c:pt>
                <c:pt idx="40">
                  <c:v>76</c:v>
                </c:pt>
                <c:pt idx="41">
                  <c:v>12</c:v>
                </c:pt>
                <c:pt idx="42">
                  <c:v>-57</c:v>
                </c:pt>
                <c:pt idx="43">
                  <c:v>62</c:v>
                </c:pt>
                <c:pt idx="44">
                  <c:v>-44</c:v>
                </c:pt>
                <c:pt idx="45">
                  <c:v>50</c:v>
                </c:pt>
                <c:pt idx="46">
                  <c:v>-76</c:v>
                </c:pt>
                <c:pt idx="47">
                  <c:v>3</c:v>
                </c:pt>
                <c:pt idx="48">
                  <c:v>32</c:v>
                </c:pt>
                <c:pt idx="49">
                  <c:v>-77</c:v>
                </c:pt>
                <c:pt idx="50">
                  <c:v>-13</c:v>
                </c:pt>
                <c:pt idx="51">
                  <c:v>57</c:v>
                </c:pt>
                <c:pt idx="52">
                  <c:v>64</c:v>
                </c:pt>
                <c:pt idx="53">
                  <c:v>4</c:v>
                </c:pt>
                <c:pt idx="54">
                  <c:v>-38</c:v>
                </c:pt>
                <c:pt idx="55">
                  <c:v>21</c:v>
                </c:pt>
                <c:pt idx="56">
                  <c:v>-24</c:v>
                </c:pt>
                <c:pt idx="57">
                  <c:v>-37</c:v>
                </c:pt>
                <c:pt idx="58">
                  <c:v>51</c:v>
                </c:pt>
                <c:pt idx="59">
                  <c:v>40</c:v>
                </c:pt>
                <c:pt idx="60">
                  <c:v>77</c:v>
                </c:pt>
                <c:pt idx="61">
                  <c:v>-33</c:v>
                </c:pt>
                <c:pt idx="62">
                  <c:v>28</c:v>
                </c:pt>
                <c:pt idx="63">
                  <c:v>47</c:v>
                </c:pt>
                <c:pt idx="64">
                  <c:v>27</c:v>
                </c:pt>
                <c:pt idx="65">
                  <c:v>-29</c:v>
                </c:pt>
                <c:pt idx="66">
                  <c:v>17</c:v>
                </c:pt>
                <c:pt idx="67">
                  <c:v>55</c:v>
                </c:pt>
                <c:pt idx="68">
                  <c:v>54</c:v>
                </c:pt>
                <c:pt idx="69">
                  <c:v>27</c:v>
                </c:pt>
                <c:pt idx="70">
                  <c:v>3</c:v>
                </c:pt>
                <c:pt idx="71">
                  <c:v>54</c:v>
                </c:pt>
                <c:pt idx="72">
                  <c:v>-34</c:v>
                </c:pt>
                <c:pt idx="73">
                  <c:v>-65</c:v>
                </c:pt>
                <c:pt idx="74">
                  <c:v>71</c:v>
                </c:pt>
                <c:pt idx="75">
                  <c:v>67</c:v>
                </c:pt>
                <c:pt idx="76">
                  <c:v>33</c:v>
                </c:pt>
                <c:pt idx="77">
                  <c:v>-50</c:v>
                </c:pt>
                <c:pt idx="78">
                  <c:v>-22</c:v>
                </c:pt>
                <c:pt idx="79">
                  <c:v>40</c:v>
                </c:pt>
                <c:pt idx="80">
                  <c:v>-58</c:v>
                </c:pt>
                <c:pt idx="81">
                  <c:v>-45</c:v>
                </c:pt>
                <c:pt idx="82">
                  <c:v>20</c:v>
                </c:pt>
                <c:pt idx="83">
                  <c:v>-48</c:v>
                </c:pt>
                <c:pt idx="84">
                  <c:v>-28</c:v>
                </c:pt>
                <c:pt idx="85">
                  <c:v>15</c:v>
                </c:pt>
                <c:pt idx="86">
                  <c:v>68</c:v>
                </c:pt>
                <c:pt idx="87">
                  <c:v>9</c:v>
                </c:pt>
                <c:pt idx="88">
                  <c:v>11</c:v>
                </c:pt>
                <c:pt idx="89">
                  <c:v>11</c:v>
                </c:pt>
                <c:pt idx="90">
                  <c:v>9</c:v>
                </c:pt>
                <c:pt idx="91">
                  <c:v>74</c:v>
                </c:pt>
                <c:pt idx="92">
                  <c:v>-2</c:v>
                </c:pt>
                <c:pt idx="93">
                  <c:v>-37</c:v>
                </c:pt>
                <c:pt idx="94">
                  <c:v>-55</c:v>
                </c:pt>
                <c:pt idx="95">
                  <c:v>67</c:v>
                </c:pt>
                <c:pt idx="96">
                  <c:v>41</c:v>
                </c:pt>
                <c:pt idx="97">
                  <c:v>2</c:v>
                </c:pt>
                <c:pt idx="98">
                  <c:v>49</c:v>
                </c:pt>
                <c:pt idx="99">
                  <c:v>-61</c:v>
                </c:pt>
                <c:pt idx="100">
                  <c:v>-67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7A-453B-8812-2A10242291D0}"/>
            </c:ext>
          </c:extLst>
        </c:ser>
        <c:ser>
          <c:idx val="4"/>
          <c:order val="1"/>
          <c:tx>
            <c:strRef>
              <c:f>DiseñoSinuoso!$H$29</c:f>
              <c:strCache>
                <c:ptCount val="1"/>
                <c:pt idx="0">
                  <c:v>Dique</c:v>
                </c:pt>
              </c:strCache>
            </c:strRef>
          </c:tx>
          <c:spPr>
            <a:ln w="50800" cap="rnd">
              <a:solidFill>
                <a:schemeClr val="accent6">
                  <a:lumMod val="20000"/>
                  <a:lumOff val="80000"/>
                </a:schemeClr>
              </a:solidFill>
              <a:round/>
              <a:tailEnd type="none" w="sm" len="lg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Dique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F7A-453B-8812-2A10242291D0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DiseñoSinuoso!$C$30:$C$130</c:f>
              <c:numCache>
                <c:formatCode>0</c:formatCode>
                <c:ptCount val="101"/>
                <c:pt idx="0">
                  <c:v>0</c:v>
                </c:pt>
                <c:pt idx="1">
                  <c:v>524.95187484110147</c:v>
                </c:pt>
                <c:pt idx="2">
                  <c:v>1049.9037496822029</c:v>
                </c:pt>
                <c:pt idx="3">
                  <c:v>1574.8556245233044</c:v>
                </c:pt>
                <c:pt idx="4">
                  <c:v>2099.8074993644059</c:v>
                </c:pt>
                <c:pt idx="5">
                  <c:v>2624.7593742055074</c:v>
                </c:pt>
                <c:pt idx="6">
                  <c:v>3149.7112490466088</c:v>
                </c:pt>
                <c:pt idx="7">
                  <c:v>3674.6631238877103</c:v>
                </c:pt>
                <c:pt idx="8">
                  <c:v>4199.6149987288118</c:v>
                </c:pt>
                <c:pt idx="9">
                  <c:v>4724.5668735699128</c:v>
                </c:pt>
                <c:pt idx="10">
                  <c:v>5249.5187484110147</c:v>
                </c:pt>
                <c:pt idx="11">
                  <c:v>5774.4706232521166</c:v>
                </c:pt>
                <c:pt idx="12">
                  <c:v>6299.4224980932177</c:v>
                </c:pt>
                <c:pt idx="13">
                  <c:v>6824.3743729343187</c:v>
                </c:pt>
                <c:pt idx="14">
                  <c:v>7349.3262477754206</c:v>
                </c:pt>
                <c:pt idx="15">
                  <c:v>7874.2781226165225</c:v>
                </c:pt>
                <c:pt idx="16">
                  <c:v>8399.2299974576235</c:v>
                </c:pt>
                <c:pt idx="17">
                  <c:v>8924.1818722987246</c:v>
                </c:pt>
                <c:pt idx="18">
                  <c:v>9449.1337471398256</c:v>
                </c:pt>
                <c:pt idx="19">
                  <c:v>9974.0856219809284</c:v>
                </c:pt>
                <c:pt idx="20">
                  <c:v>10499.037496822029</c:v>
                </c:pt>
                <c:pt idx="21">
                  <c:v>11023.98937166313</c:v>
                </c:pt>
                <c:pt idx="22">
                  <c:v>11548.941246504233</c:v>
                </c:pt>
                <c:pt idx="23">
                  <c:v>12073.893121345334</c:v>
                </c:pt>
                <c:pt idx="24">
                  <c:v>12598.844996186435</c:v>
                </c:pt>
                <c:pt idx="25">
                  <c:v>13123.796871027536</c:v>
                </c:pt>
                <c:pt idx="26">
                  <c:v>13648.748745868637</c:v>
                </c:pt>
                <c:pt idx="27">
                  <c:v>14173.70062070974</c:v>
                </c:pt>
                <c:pt idx="28">
                  <c:v>14698.652495550841</c:v>
                </c:pt>
                <c:pt idx="29">
                  <c:v>15223.604370391942</c:v>
                </c:pt>
                <c:pt idx="30">
                  <c:v>15748.556245233045</c:v>
                </c:pt>
                <c:pt idx="31">
                  <c:v>16273.508120074146</c:v>
                </c:pt>
                <c:pt idx="32">
                  <c:v>16798.459994915247</c:v>
                </c:pt>
                <c:pt idx="33">
                  <c:v>17323.41186975635</c:v>
                </c:pt>
                <c:pt idx="34">
                  <c:v>17848.363744597449</c:v>
                </c:pt>
                <c:pt idx="35">
                  <c:v>18373.315619438552</c:v>
                </c:pt>
                <c:pt idx="36">
                  <c:v>18898.267494279651</c:v>
                </c:pt>
                <c:pt idx="37">
                  <c:v>19423.219369120754</c:v>
                </c:pt>
                <c:pt idx="38">
                  <c:v>19948.171243961857</c:v>
                </c:pt>
                <c:pt idx="39">
                  <c:v>20473.123118802956</c:v>
                </c:pt>
                <c:pt idx="40">
                  <c:v>20998.074993644059</c:v>
                </c:pt>
                <c:pt idx="41">
                  <c:v>21523.026868485162</c:v>
                </c:pt>
                <c:pt idx="42">
                  <c:v>22047.978743326261</c:v>
                </c:pt>
                <c:pt idx="43">
                  <c:v>22572.930618167364</c:v>
                </c:pt>
                <c:pt idx="44">
                  <c:v>23097.882493008467</c:v>
                </c:pt>
                <c:pt idx="45">
                  <c:v>23622.834367849566</c:v>
                </c:pt>
                <c:pt idx="46">
                  <c:v>24147.786242690669</c:v>
                </c:pt>
                <c:pt idx="47">
                  <c:v>24027</c:v>
                </c:pt>
                <c:pt idx="48">
                  <c:v>24027</c:v>
                </c:pt>
                <c:pt idx="49">
                  <c:v>24027</c:v>
                </c:pt>
                <c:pt idx="50">
                  <c:v>24027</c:v>
                </c:pt>
                <c:pt idx="51">
                  <c:v>24027</c:v>
                </c:pt>
                <c:pt idx="52">
                  <c:v>24027</c:v>
                </c:pt>
                <c:pt idx="53">
                  <c:v>24027</c:v>
                </c:pt>
                <c:pt idx="54">
                  <c:v>24027</c:v>
                </c:pt>
                <c:pt idx="55">
                  <c:v>24027</c:v>
                </c:pt>
                <c:pt idx="56">
                  <c:v>24027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DiseñoSinuoso!$H$30:$H$130</c:f>
              <c:numCache>
                <c:formatCode>General</c:formatCode>
                <c:ptCount val="101"/>
                <c:pt idx="0">
                  <c:v>102.5</c:v>
                </c:pt>
                <c:pt idx="1">
                  <c:v>102.5</c:v>
                </c:pt>
                <c:pt idx="2">
                  <c:v>102.5</c:v>
                </c:pt>
                <c:pt idx="3">
                  <c:v>102.5</c:v>
                </c:pt>
                <c:pt idx="4">
                  <c:v>102.5</c:v>
                </c:pt>
                <c:pt idx="5">
                  <c:v>102.5</c:v>
                </c:pt>
                <c:pt idx="6">
                  <c:v>102.5</c:v>
                </c:pt>
                <c:pt idx="7">
                  <c:v>102.5</c:v>
                </c:pt>
                <c:pt idx="8">
                  <c:v>102.5</c:v>
                </c:pt>
                <c:pt idx="9">
                  <c:v>102.5</c:v>
                </c:pt>
                <c:pt idx="10">
                  <c:v>102.5</c:v>
                </c:pt>
                <c:pt idx="11">
                  <c:v>102.5</c:v>
                </c:pt>
                <c:pt idx="12">
                  <c:v>102.5</c:v>
                </c:pt>
                <c:pt idx="13">
                  <c:v>102.5</c:v>
                </c:pt>
                <c:pt idx="14">
                  <c:v>102.5</c:v>
                </c:pt>
                <c:pt idx="15">
                  <c:v>102.5</c:v>
                </c:pt>
                <c:pt idx="16">
                  <c:v>102.5</c:v>
                </c:pt>
                <c:pt idx="17">
                  <c:v>102.5</c:v>
                </c:pt>
                <c:pt idx="18">
                  <c:v>102.5</c:v>
                </c:pt>
                <c:pt idx="19">
                  <c:v>102.5</c:v>
                </c:pt>
                <c:pt idx="20">
                  <c:v>102.5</c:v>
                </c:pt>
                <c:pt idx="21">
                  <c:v>102.5</c:v>
                </c:pt>
                <c:pt idx="22">
                  <c:v>102.5</c:v>
                </c:pt>
                <c:pt idx="23">
                  <c:v>102.5</c:v>
                </c:pt>
                <c:pt idx="24">
                  <c:v>102.5</c:v>
                </c:pt>
                <c:pt idx="25">
                  <c:v>102.5</c:v>
                </c:pt>
                <c:pt idx="26">
                  <c:v>102.5</c:v>
                </c:pt>
                <c:pt idx="27">
                  <c:v>102.5</c:v>
                </c:pt>
                <c:pt idx="28">
                  <c:v>102.5</c:v>
                </c:pt>
                <c:pt idx="29">
                  <c:v>102.5</c:v>
                </c:pt>
                <c:pt idx="30">
                  <c:v>102.5</c:v>
                </c:pt>
                <c:pt idx="31">
                  <c:v>102.5</c:v>
                </c:pt>
                <c:pt idx="32">
                  <c:v>102.5</c:v>
                </c:pt>
                <c:pt idx="33">
                  <c:v>102.5</c:v>
                </c:pt>
                <c:pt idx="34">
                  <c:v>102.5</c:v>
                </c:pt>
                <c:pt idx="35">
                  <c:v>102.5</c:v>
                </c:pt>
                <c:pt idx="36">
                  <c:v>102.5</c:v>
                </c:pt>
                <c:pt idx="37">
                  <c:v>102.5</c:v>
                </c:pt>
                <c:pt idx="38">
                  <c:v>102.5</c:v>
                </c:pt>
                <c:pt idx="39">
                  <c:v>102.5</c:v>
                </c:pt>
                <c:pt idx="40">
                  <c:v>102.5</c:v>
                </c:pt>
                <c:pt idx="41">
                  <c:v>102.5</c:v>
                </c:pt>
                <c:pt idx="42">
                  <c:v>102.5</c:v>
                </c:pt>
                <c:pt idx="43">
                  <c:v>102.5</c:v>
                </c:pt>
                <c:pt idx="44">
                  <c:v>102.5</c:v>
                </c:pt>
                <c:pt idx="45">
                  <c:v>102.5</c:v>
                </c:pt>
                <c:pt idx="46">
                  <c:v>102.5</c:v>
                </c:pt>
                <c:pt idx="47">
                  <c:v>102.5</c:v>
                </c:pt>
                <c:pt idx="48">
                  <c:v>102.5</c:v>
                </c:pt>
                <c:pt idx="49">
                  <c:v>102.5</c:v>
                </c:pt>
                <c:pt idx="50">
                  <c:v>102.5</c:v>
                </c:pt>
                <c:pt idx="51">
                  <c:v>102.5</c:v>
                </c:pt>
                <c:pt idx="52">
                  <c:v>102.5</c:v>
                </c:pt>
                <c:pt idx="53">
                  <c:v>102.5</c:v>
                </c:pt>
                <c:pt idx="54">
                  <c:v>102.5</c:v>
                </c:pt>
                <c:pt idx="55">
                  <c:v>102.5</c:v>
                </c:pt>
                <c:pt idx="56">
                  <c:v>102.5</c:v>
                </c:pt>
                <c:pt idx="57">
                  <c:v>102.5</c:v>
                </c:pt>
                <c:pt idx="58">
                  <c:v>102.5</c:v>
                </c:pt>
                <c:pt idx="59">
                  <c:v>102.5</c:v>
                </c:pt>
                <c:pt idx="60">
                  <c:v>102.5</c:v>
                </c:pt>
                <c:pt idx="61">
                  <c:v>102.5</c:v>
                </c:pt>
                <c:pt idx="62">
                  <c:v>102.5</c:v>
                </c:pt>
                <c:pt idx="63">
                  <c:v>102.5</c:v>
                </c:pt>
                <c:pt idx="64">
                  <c:v>102.5</c:v>
                </c:pt>
                <c:pt idx="65">
                  <c:v>102.5</c:v>
                </c:pt>
                <c:pt idx="66">
                  <c:v>102.5</c:v>
                </c:pt>
                <c:pt idx="67">
                  <c:v>102.5</c:v>
                </c:pt>
                <c:pt idx="68">
                  <c:v>102.5</c:v>
                </c:pt>
                <c:pt idx="69">
                  <c:v>102.5</c:v>
                </c:pt>
                <c:pt idx="70">
                  <c:v>102.5</c:v>
                </c:pt>
                <c:pt idx="71">
                  <c:v>102.5</c:v>
                </c:pt>
                <c:pt idx="72">
                  <c:v>102.5</c:v>
                </c:pt>
                <c:pt idx="73">
                  <c:v>102.5</c:v>
                </c:pt>
                <c:pt idx="74">
                  <c:v>102.5</c:v>
                </c:pt>
                <c:pt idx="75">
                  <c:v>102.5</c:v>
                </c:pt>
                <c:pt idx="76">
                  <c:v>102.5</c:v>
                </c:pt>
                <c:pt idx="77">
                  <c:v>102.5</c:v>
                </c:pt>
                <c:pt idx="78">
                  <c:v>102.5</c:v>
                </c:pt>
                <c:pt idx="79">
                  <c:v>102.5</c:v>
                </c:pt>
                <c:pt idx="80">
                  <c:v>102.5</c:v>
                </c:pt>
                <c:pt idx="81">
                  <c:v>102.5</c:v>
                </c:pt>
                <c:pt idx="82">
                  <c:v>102.5</c:v>
                </c:pt>
                <c:pt idx="83">
                  <c:v>102.5</c:v>
                </c:pt>
                <c:pt idx="84">
                  <c:v>102.5</c:v>
                </c:pt>
                <c:pt idx="85">
                  <c:v>102.5</c:v>
                </c:pt>
                <c:pt idx="86">
                  <c:v>102.5</c:v>
                </c:pt>
                <c:pt idx="87">
                  <c:v>102.5</c:v>
                </c:pt>
                <c:pt idx="88">
                  <c:v>102.5</c:v>
                </c:pt>
                <c:pt idx="89">
                  <c:v>102.5</c:v>
                </c:pt>
                <c:pt idx="90">
                  <c:v>102.5</c:v>
                </c:pt>
                <c:pt idx="91">
                  <c:v>102.5</c:v>
                </c:pt>
                <c:pt idx="92">
                  <c:v>102.5</c:v>
                </c:pt>
                <c:pt idx="93">
                  <c:v>102.5</c:v>
                </c:pt>
                <c:pt idx="94">
                  <c:v>102.5</c:v>
                </c:pt>
                <c:pt idx="95">
                  <c:v>102.5</c:v>
                </c:pt>
                <c:pt idx="96">
                  <c:v>102.5</c:v>
                </c:pt>
                <c:pt idx="97">
                  <c:v>102.5</c:v>
                </c:pt>
                <c:pt idx="98">
                  <c:v>102.5</c:v>
                </c:pt>
                <c:pt idx="99">
                  <c:v>102.5</c:v>
                </c:pt>
                <c:pt idx="100">
                  <c:v>102.5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7A-453B-8812-2A10242291D0}"/>
            </c:ext>
          </c:extLst>
        </c:ser>
        <c:ser>
          <c:idx val="5"/>
          <c:order val="2"/>
          <c:tx>
            <c:strRef>
              <c:f>DiseñoSinuoso!$I$29</c:f>
              <c:strCache>
                <c:ptCount val="1"/>
              </c:strCache>
            </c:strRef>
          </c:tx>
          <c:spPr>
            <a:ln w="5080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DiseñoSinuoso!$C$30:$C$130</c:f>
              <c:numCache>
                <c:formatCode>0</c:formatCode>
                <c:ptCount val="101"/>
                <c:pt idx="0">
                  <c:v>0</c:v>
                </c:pt>
                <c:pt idx="1">
                  <c:v>524.95187484110147</c:v>
                </c:pt>
                <c:pt idx="2">
                  <c:v>1049.9037496822029</c:v>
                </c:pt>
                <c:pt idx="3">
                  <c:v>1574.8556245233044</c:v>
                </c:pt>
                <c:pt idx="4">
                  <c:v>2099.8074993644059</c:v>
                </c:pt>
                <c:pt idx="5">
                  <c:v>2624.7593742055074</c:v>
                </c:pt>
                <c:pt idx="6">
                  <c:v>3149.7112490466088</c:v>
                </c:pt>
                <c:pt idx="7">
                  <c:v>3674.6631238877103</c:v>
                </c:pt>
                <c:pt idx="8">
                  <c:v>4199.6149987288118</c:v>
                </c:pt>
                <c:pt idx="9">
                  <c:v>4724.5668735699128</c:v>
                </c:pt>
                <c:pt idx="10">
                  <c:v>5249.5187484110147</c:v>
                </c:pt>
                <c:pt idx="11">
                  <c:v>5774.4706232521166</c:v>
                </c:pt>
                <c:pt idx="12">
                  <c:v>6299.4224980932177</c:v>
                </c:pt>
                <c:pt idx="13">
                  <c:v>6824.3743729343187</c:v>
                </c:pt>
                <c:pt idx="14">
                  <c:v>7349.3262477754206</c:v>
                </c:pt>
                <c:pt idx="15">
                  <c:v>7874.2781226165225</c:v>
                </c:pt>
                <c:pt idx="16">
                  <c:v>8399.2299974576235</c:v>
                </c:pt>
                <c:pt idx="17">
                  <c:v>8924.1818722987246</c:v>
                </c:pt>
                <c:pt idx="18">
                  <c:v>9449.1337471398256</c:v>
                </c:pt>
                <c:pt idx="19">
                  <c:v>9974.0856219809284</c:v>
                </c:pt>
                <c:pt idx="20">
                  <c:v>10499.037496822029</c:v>
                </c:pt>
                <c:pt idx="21">
                  <c:v>11023.98937166313</c:v>
                </c:pt>
                <c:pt idx="22">
                  <c:v>11548.941246504233</c:v>
                </c:pt>
                <c:pt idx="23">
                  <c:v>12073.893121345334</c:v>
                </c:pt>
                <c:pt idx="24">
                  <c:v>12598.844996186435</c:v>
                </c:pt>
                <c:pt idx="25">
                  <c:v>13123.796871027536</c:v>
                </c:pt>
                <c:pt idx="26">
                  <c:v>13648.748745868637</c:v>
                </c:pt>
                <c:pt idx="27">
                  <c:v>14173.70062070974</c:v>
                </c:pt>
                <c:pt idx="28">
                  <c:v>14698.652495550841</c:v>
                </c:pt>
                <c:pt idx="29">
                  <c:v>15223.604370391942</c:v>
                </c:pt>
                <c:pt idx="30">
                  <c:v>15748.556245233045</c:v>
                </c:pt>
                <c:pt idx="31">
                  <c:v>16273.508120074146</c:v>
                </c:pt>
                <c:pt idx="32">
                  <c:v>16798.459994915247</c:v>
                </c:pt>
                <c:pt idx="33">
                  <c:v>17323.41186975635</c:v>
                </c:pt>
                <c:pt idx="34">
                  <c:v>17848.363744597449</c:v>
                </c:pt>
                <c:pt idx="35">
                  <c:v>18373.315619438552</c:v>
                </c:pt>
                <c:pt idx="36">
                  <c:v>18898.267494279651</c:v>
                </c:pt>
                <c:pt idx="37">
                  <c:v>19423.219369120754</c:v>
                </c:pt>
                <c:pt idx="38">
                  <c:v>19948.171243961857</c:v>
                </c:pt>
                <c:pt idx="39">
                  <c:v>20473.123118802956</c:v>
                </c:pt>
                <c:pt idx="40">
                  <c:v>20998.074993644059</c:v>
                </c:pt>
                <c:pt idx="41">
                  <c:v>21523.026868485162</c:v>
                </c:pt>
                <c:pt idx="42">
                  <c:v>22047.978743326261</c:v>
                </c:pt>
                <c:pt idx="43">
                  <c:v>22572.930618167364</c:v>
                </c:pt>
                <c:pt idx="44">
                  <c:v>23097.882493008467</c:v>
                </c:pt>
                <c:pt idx="45">
                  <c:v>23622.834367849566</c:v>
                </c:pt>
                <c:pt idx="46">
                  <c:v>24147.786242690669</c:v>
                </c:pt>
                <c:pt idx="47">
                  <c:v>24027</c:v>
                </c:pt>
                <c:pt idx="48">
                  <c:v>24027</c:v>
                </c:pt>
                <c:pt idx="49">
                  <c:v>24027</c:v>
                </c:pt>
                <c:pt idx="50">
                  <c:v>24027</c:v>
                </c:pt>
                <c:pt idx="51">
                  <c:v>24027</c:v>
                </c:pt>
                <c:pt idx="52">
                  <c:v>24027</c:v>
                </c:pt>
                <c:pt idx="53">
                  <c:v>24027</c:v>
                </c:pt>
                <c:pt idx="54">
                  <c:v>24027</c:v>
                </c:pt>
                <c:pt idx="55">
                  <c:v>24027</c:v>
                </c:pt>
                <c:pt idx="56">
                  <c:v>24027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DiseñoSinuoso!$I$30:$I$130</c:f>
              <c:numCache>
                <c:formatCode>General</c:formatCode>
                <c:ptCount val="101"/>
                <c:pt idx="0">
                  <c:v>-102.5</c:v>
                </c:pt>
                <c:pt idx="1">
                  <c:v>-102.5</c:v>
                </c:pt>
                <c:pt idx="2">
                  <c:v>-102.5</c:v>
                </c:pt>
                <c:pt idx="3">
                  <c:v>-102.5</c:v>
                </c:pt>
                <c:pt idx="4">
                  <c:v>-102.5</c:v>
                </c:pt>
                <c:pt idx="5">
                  <c:v>-102.5</c:v>
                </c:pt>
                <c:pt idx="6">
                  <c:v>-102.5</c:v>
                </c:pt>
                <c:pt idx="7">
                  <c:v>-102.5</c:v>
                </c:pt>
                <c:pt idx="8">
                  <c:v>-102.5</c:v>
                </c:pt>
                <c:pt idx="9">
                  <c:v>-102.5</c:v>
                </c:pt>
                <c:pt idx="10">
                  <c:v>-102.5</c:v>
                </c:pt>
                <c:pt idx="11">
                  <c:v>-102.5</c:v>
                </c:pt>
                <c:pt idx="12">
                  <c:v>-102.5</c:v>
                </c:pt>
                <c:pt idx="13">
                  <c:v>-102.5</c:v>
                </c:pt>
                <c:pt idx="14">
                  <c:v>-102.5</c:v>
                </c:pt>
                <c:pt idx="15">
                  <c:v>-102.5</c:v>
                </c:pt>
                <c:pt idx="16">
                  <c:v>-102.5</c:v>
                </c:pt>
                <c:pt idx="17">
                  <c:v>-102.5</c:v>
                </c:pt>
                <c:pt idx="18">
                  <c:v>-102.5</c:v>
                </c:pt>
                <c:pt idx="19">
                  <c:v>-102.5</c:v>
                </c:pt>
                <c:pt idx="20">
                  <c:v>-102.5</c:v>
                </c:pt>
                <c:pt idx="21">
                  <c:v>-102.5</c:v>
                </c:pt>
                <c:pt idx="22">
                  <c:v>-102.5</c:v>
                </c:pt>
                <c:pt idx="23">
                  <c:v>-102.5</c:v>
                </c:pt>
                <c:pt idx="24">
                  <c:v>-102.5</c:v>
                </c:pt>
                <c:pt idx="25">
                  <c:v>-102.5</c:v>
                </c:pt>
                <c:pt idx="26">
                  <c:v>-102.5</c:v>
                </c:pt>
                <c:pt idx="27">
                  <c:v>-102.5</c:v>
                </c:pt>
                <c:pt idx="28">
                  <c:v>-102.5</c:v>
                </c:pt>
                <c:pt idx="29">
                  <c:v>-102.5</c:v>
                </c:pt>
                <c:pt idx="30">
                  <c:v>-102.5</c:v>
                </c:pt>
                <c:pt idx="31">
                  <c:v>-102.5</c:v>
                </c:pt>
                <c:pt idx="32">
                  <c:v>-102.5</c:v>
                </c:pt>
                <c:pt idx="33">
                  <c:v>-102.5</c:v>
                </c:pt>
                <c:pt idx="34">
                  <c:v>-102.5</c:v>
                </c:pt>
                <c:pt idx="35">
                  <c:v>-102.5</c:v>
                </c:pt>
                <c:pt idx="36">
                  <c:v>-102.5</c:v>
                </c:pt>
                <c:pt idx="37">
                  <c:v>-102.5</c:v>
                </c:pt>
                <c:pt idx="38">
                  <c:v>-102.5</c:v>
                </c:pt>
                <c:pt idx="39">
                  <c:v>-102.5</c:v>
                </c:pt>
                <c:pt idx="40">
                  <c:v>-102.5</c:v>
                </c:pt>
                <c:pt idx="41">
                  <c:v>-102.5</c:v>
                </c:pt>
                <c:pt idx="42">
                  <c:v>-102.5</c:v>
                </c:pt>
                <c:pt idx="43">
                  <c:v>-102.5</c:v>
                </c:pt>
                <c:pt idx="44">
                  <c:v>-102.5</c:v>
                </c:pt>
                <c:pt idx="45">
                  <c:v>-102.5</c:v>
                </c:pt>
                <c:pt idx="46">
                  <c:v>-102.5</c:v>
                </c:pt>
                <c:pt idx="47">
                  <c:v>-102.5</c:v>
                </c:pt>
                <c:pt idx="48">
                  <c:v>-102.5</c:v>
                </c:pt>
                <c:pt idx="49">
                  <c:v>-102.5</c:v>
                </c:pt>
                <c:pt idx="50">
                  <c:v>-102.5</c:v>
                </c:pt>
                <c:pt idx="51">
                  <c:v>-102.5</c:v>
                </c:pt>
                <c:pt idx="52">
                  <c:v>-102.5</c:v>
                </c:pt>
                <c:pt idx="53">
                  <c:v>-102.5</c:v>
                </c:pt>
                <c:pt idx="54">
                  <c:v>-102.5</c:v>
                </c:pt>
                <c:pt idx="55">
                  <c:v>-102.5</c:v>
                </c:pt>
                <c:pt idx="56">
                  <c:v>-102.5</c:v>
                </c:pt>
                <c:pt idx="57">
                  <c:v>-102.5</c:v>
                </c:pt>
                <c:pt idx="58">
                  <c:v>-102.5</c:v>
                </c:pt>
                <c:pt idx="59">
                  <c:v>-102.5</c:v>
                </c:pt>
                <c:pt idx="60">
                  <c:v>-102.5</c:v>
                </c:pt>
                <c:pt idx="61">
                  <c:v>-102.5</c:v>
                </c:pt>
                <c:pt idx="62">
                  <c:v>-102.5</c:v>
                </c:pt>
                <c:pt idx="63">
                  <c:v>-102.5</c:v>
                </c:pt>
                <c:pt idx="64">
                  <c:v>-102.5</c:v>
                </c:pt>
                <c:pt idx="65">
                  <c:v>-102.5</c:v>
                </c:pt>
                <c:pt idx="66">
                  <c:v>-102.5</c:v>
                </c:pt>
                <c:pt idx="67">
                  <c:v>-102.5</c:v>
                </c:pt>
                <c:pt idx="68">
                  <c:v>-102.5</c:v>
                </c:pt>
                <c:pt idx="69">
                  <c:v>-102.5</c:v>
                </c:pt>
                <c:pt idx="70">
                  <c:v>-102.5</c:v>
                </c:pt>
                <c:pt idx="71">
                  <c:v>-102.5</c:v>
                </c:pt>
                <c:pt idx="72">
                  <c:v>-102.5</c:v>
                </c:pt>
                <c:pt idx="73">
                  <c:v>-102.5</c:v>
                </c:pt>
                <c:pt idx="74">
                  <c:v>-102.5</c:v>
                </c:pt>
                <c:pt idx="75">
                  <c:v>-102.5</c:v>
                </c:pt>
                <c:pt idx="76">
                  <c:v>-102.5</c:v>
                </c:pt>
                <c:pt idx="77">
                  <c:v>-102.5</c:v>
                </c:pt>
                <c:pt idx="78">
                  <c:v>-102.5</c:v>
                </c:pt>
                <c:pt idx="79">
                  <c:v>-102.5</c:v>
                </c:pt>
                <c:pt idx="80">
                  <c:v>-102.5</c:v>
                </c:pt>
                <c:pt idx="81">
                  <c:v>-102.5</c:v>
                </c:pt>
                <c:pt idx="82">
                  <c:v>-102.5</c:v>
                </c:pt>
                <c:pt idx="83">
                  <c:v>-102.5</c:v>
                </c:pt>
                <c:pt idx="84">
                  <c:v>-102.5</c:v>
                </c:pt>
                <c:pt idx="85">
                  <c:v>-102.5</c:v>
                </c:pt>
                <c:pt idx="86">
                  <c:v>-102.5</c:v>
                </c:pt>
                <c:pt idx="87">
                  <c:v>-102.5</c:v>
                </c:pt>
                <c:pt idx="88">
                  <c:v>-102.5</c:v>
                </c:pt>
                <c:pt idx="89">
                  <c:v>-102.5</c:v>
                </c:pt>
                <c:pt idx="90">
                  <c:v>-102.5</c:v>
                </c:pt>
                <c:pt idx="91">
                  <c:v>-102.5</c:v>
                </c:pt>
                <c:pt idx="92">
                  <c:v>-102.5</c:v>
                </c:pt>
                <c:pt idx="93">
                  <c:v>-102.5</c:v>
                </c:pt>
                <c:pt idx="94">
                  <c:v>-102.5</c:v>
                </c:pt>
                <c:pt idx="95">
                  <c:v>-102.5</c:v>
                </c:pt>
                <c:pt idx="96">
                  <c:v>-102.5</c:v>
                </c:pt>
                <c:pt idx="97">
                  <c:v>-102.5</c:v>
                </c:pt>
                <c:pt idx="98">
                  <c:v>-102.5</c:v>
                </c:pt>
                <c:pt idx="99">
                  <c:v>-102.5</c:v>
                </c:pt>
                <c:pt idx="100">
                  <c:v>-102.5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7A-453B-8812-2A10242291D0}"/>
            </c:ext>
          </c:extLst>
        </c:ser>
        <c:ser>
          <c:idx val="2"/>
          <c:order val="3"/>
          <c:tx>
            <c:strRef>
              <c:f>DiseñoSinuoso!$D$29</c:f>
              <c:strCache>
                <c:ptCount val="1"/>
                <c:pt idx="0">
                  <c:v>Lr</c:v>
                </c:pt>
              </c:strCache>
            </c:strRef>
          </c:tx>
          <c:spPr>
            <a:ln w="9525" cap="rnd">
              <a:solidFill>
                <a:srgbClr val="00B0F0"/>
              </a:solidFill>
              <a:round/>
              <a:tailEnd type="stealth" w="sm" len="med"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1.4094896759505461E-2"/>
                  <c:y val="3.79086981289726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F7A-453B-8812-2A10242291D0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DiseñoSinuoso!$C$30:$C$130</c:f>
              <c:numCache>
                <c:formatCode>0</c:formatCode>
                <c:ptCount val="101"/>
                <c:pt idx="0">
                  <c:v>0</c:v>
                </c:pt>
                <c:pt idx="1">
                  <c:v>524.95187484110147</c:v>
                </c:pt>
                <c:pt idx="2">
                  <c:v>1049.9037496822029</c:v>
                </c:pt>
                <c:pt idx="3">
                  <c:v>1574.8556245233044</c:v>
                </c:pt>
                <c:pt idx="4">
                  <c:v>2099.8074993644059</c:v>
                </c:pt>
                <c:pt idx="5">
                  <c:v>2624.7593742055074</c:v>
                </c:pt>
                <c:pt idx="6">
                  <c:v>3149.7112490466088</c:v>
                </c:pt>
                <c:pt idx="7">
                  <c:v>3674.6631238877103</c:v>
                </c:pt>
                <c:pt idx="8">
                  <c:v>4199.6149987288118</c:v>
                </c:pt>
                <c:pt idx="9">
                  <c:v>4724.5668735699128</c:v>
                </c:pt>
                <c:pt idx="10">
                  <c:v>5249.5187484110147</c:v>
                </c:pt>
                <c:pt idx="11">
                  <c:v>5774.4706232521166</c:v>
                </c:pt>
                <c:pt idx="12">
                  <c:v>6299.4224980932177</c:v>
                </c:pt>
                <c:pt idx="13">
                  <c:v>6824.3743729343187</c:v>
                </c:pt>
                <c:pt idx="14">
                  <c:v>7349.3262477754206</c:v>
                </c:pt>
                <c:pt idx="15">
                  <c:v>7874.2781226165225</c:v>
                </c:pt>
                <c:pt idx="16">
                  <c:v>8399.2299974576235</c:v>
                </c:pt>
                <c:pt idx="17">
                  <c:v>8924.1818722987246</c:v>
                </c:pt>
                <c:pt idx="18">
                  <c:v>9449.1337471398256</c:v>
                </c:pt>
                <c:pt idx="19">
                  <c:v>9974.0856219809284</c:v>
                </c:pt>
                <c:pt idx="20">
                  <c:v>10499.037496822029</c:v>
                </c:pt>
                <c:pt idx="21">
                  <c:v>11023.98937166313</c:v>
                </c:pt>
                <c:pt idx="22">
                  <c:v>11548.941246504233</c:v>
                </c:pt>
                <c:pt idx="23">
                  <c:v>12073.893121345334</c:v>
                </c:pt>
                <c:pt idx="24">
                  <c:v>12598.844996186435</c:v>
                </c:pt>
                <c:pt idx="25">
                  <c:v>13123.796871027536</c:v>
                </c:pt>
                <c:pt idx="26">
                  <c:v>13648.748745868637</c:v>
                </c:pt>
                <c:pt idx="27">
                  <c:v>14173.70062070974</c:v>
                </c:pt>
                <c:pt idx="28">
                  <c:v>14698.652495550841</c:v>
                </c:pt>
                <c:pt idx="29">
                  <c:v>15223.604370391942</c:v>
                </c:pt>
                <c:pt idx="30">
                  <c:v>15748.556245233045</c:v>
                </c:pt>
                <c:pt idx="31">
                  <c:v>16273.508120074146</c:v>
                </c:pt>
                <c:pt idx="32">
                  <c:v>16798.459994915247</c:v>
                </c:pt>
                <c:pt idx="33">
                  <c:v>17323.41186975635</c:v>
                </c:pt>
                <c:pt idx="34">
                  <c:v>17848.363744597449</c:v>
                </c:pt>
                <c:pt idx="35">
                  <c:v>18373.315619438552</c:v>
                </c:pt>
                <c:pt idx="36">
                  <c:v>18898.267494279651</c:v>
                </c:pt>
                <c:pt idx="37">
                  <c:v>19423.219369120754</c:v>
                </c:pt>
                <c:pt idx="38">
                  <c:v>19948.171243961857</c:v>
                </c:pt>
                <c:pt idx="39">
                  <c:v>20473.123118802956</c:v>
                </c:pt>
                <c:pt idx="40">
                  <c:v>20998.074993644059</c:v>
                </c:pt>
                <c:pt idx="41">
                  <c:v>21523.026868485162</c:v>
                </c:pt>
                <c:pt idx="42">
                  <c:v>22047.978743326261</c:v>
                </c:pt>
                <c:pt idx="43">
                  <c:v>22572.930618167364</c:v>
                </c:pt>
                <c:pt idx="44">
                  <c:v>23097.882493008467</c:v>
                </c:pt>
                <c:pt idx="45">
                  <c:v>23622.834367849566</c:v>
                </c:pt>
                <c:pt idx="46">
                  <c:v>24147.786242690669</c:v>
                </c:pt>
                <c:pt idx="47">
                  <c:v>24027</c:v>
                </c:pt>
                <c:pt idx="48">
                  <c:v>24027</c:v>
                </c:pt>
                <c:pt idx="49">
                  <c:v>24027</c:v>
                </c:pt>
                <c:pt idx="50">
                  <c:v>24027</c:v>
                </c:pt>
                <c:pt idx="51">
                  <c:v>24027</c:v>
                </c:pt>
                <c:pt idx="52">
                  <c:v>24027</c:v>
                </c:pt>
                <c:pt idx="53">
                  <c:v>24027</c:v>
                </c:pt>
                <c:pt idx="54">
                  <c:v>24027</c:v>
                </c:pt>
                <c:pt idx="55">
                  <c:v>24027</c:v>
                </c:pt>
                <c:pt idx="56">
                  <c:v>24027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DiseñoSinuoso!$D$30:$D$130</c:f>
              <c:numCache>
                <c:formatCode>General</c:formatCode>
                <c:ptCount val="101"/>
                <c:pt idx="0">
                  <c:v>77.5</c:v>
                </c:pt>
                <c:pt idx="1">
                  <c:v>-77.5</c:v>
                </c:pt>
                <c:pt idx="2">
                  <c:v>77.5</c:v>
                </c:pt>
                <c:pt idx="3">
                  <c:v>-77.5</c:v>
                </c:pt>
                <c:pt idx="4">
                  <c:v>77.5</c:v>
                </c:pt>
                <c:pt idx="5">
                  <c:v>-77.5</c:v>
                </c:pt>
                <c:pt idx="6">
                  <c:v>77.5</c:v>
                </c:pt>
                <c:pt idx="7">
                  <c:v>-77.5</c:v>
                </c:pt>
                <c:pt idx="8">
                  <c:v>77.5</c:v>
                </c:pt>
                <c:pt idx="9">
                  <c:v>-77.5</c:v>
                </c:pt>
                <c:pt idx="10">
                  <c:v>77.5</c:v>
                </c:pt>
                <c:pt idx="11">
                  <c:v>-77.5</c:v>
                </c:pt>
                <c:pt idx="12">
                  <c:v>77.5</c:v>
                </c:pt>
                <c:pt idx="13">
                  <c:v>-77.5</c:v>
                </c:pt>
                <c:pt idx="14">
                  <c:v>77.5</c:v>
                </c:pt>
                <c:pt idx="15">
                  <c:v>-77.5</c:v>
                </c:pt>
                <c:pt idx="16">
                  <c:v>77.5</c:v>
                </c:pt>
                <c:pt idx="17">
                  <c:v>-77.5</c:v>
                </c:pt>
                <c:pt idx="18">
                  <c:v>77.5</c:v>
                </c:pt>
                <c:pt idx="19">
                  <c:v>-77.5</c:v>
                </c:pt>
                <c:pt idx="20">
                  <c:v>77.5</c:v>
                </c:pt>
                <c:pt idx="21">
                  <c:v>-77.5</c:v>
                </c:pt>
                <c:pt idx="22">
                  <c:v>77.5</c:v>
                </c:pt>
                <c:pt idx="23">
                  <c:v>-77.5</c:v>
                </c:pt>
                <c:pt idx="24">
                  <c:v>77.5</c:v>
                </c:pt>
                <c:pt idx="25">
                  <c:v>-77.5</c:v>
                </c:pt>
                <c:pt idx="26">
                  <c:v>77.5</c:v>
                </c:pt>
                <c:pt idx="27">
                  <c:v>-77.5</c:v>
                </c:pt>
                <c:pt idx="28">
                  <c:v>77.5</c:v>
                </c:pt>
                <c:pt idx="29">
                  <c:v>-77.5</c:v>
                </c:pt>
                <c:pt idx="30">
                  <c:v>77.5</c:v>
                </c:pt>
                <c:pt idx="31">
                  <c:v>-77.5</c:v>
                </c:pt>
                <c:pt idx="32">
                  <c:v>77.5</c:v>
                </c:pt>
                <c:pt idx="33">
                  <c:v>-77.5</c:v>
                </c:pt>
                <c:pt idx="34">
                  <c:v>77.5</c:v>
                </c:pt>
                <c:pt idx="35">
                  <c:v>-77.5</c:v>
                </c:pt>
                <c:pt idx="36">
                  <c:v>77.5</c:v>
                </c:pt>
                <c:pt idx="37">
                  <c:v>-77.5</c:v>
                </c:pt>
                <c:pt idx="38">
                  <c:v>77.5</c:v>
                </c:pt>
                <c:pt idx="39">
                  <c:v>-77.5</c:v>
                </c:pt>
                <c:pt idx="40">
                  <c:v>77.5</c:v>
                </c:pt>
                <c:pt idx="41">
                  <c:v>-77.5</c:v>
                </c:pt>
                <c:pt idx="42">
                  <c:v>77.5</c:v>
                </c:pt>
                <c:pt idx="43">
                  <c:v>-77.5</c:v>
                </c:pt>
                <c:pt idx="44">
                  <c:v>77.5</c:v>
                </c:pt>
                <c:pt idx="45">
                  <c:v>-77.5</c:v>
                </c:pt>
                <c:pt idx="46">
                  <c:v>77.5</c:v>
                </c:pt>
                <c:pt idx="47">
                  <c:v>-77.5</c:v>
                </c:pt>
                <c:pt idx="48">
                  <c:v>77.5</c:v>
                </c:pt>
                <c:pt idx="49">
                  <c:v>-77.5</c:v>
                </c:pt>
                <c:pt idx="50">
                  <c:v>77.5</c:v>
                </c:pt>
                <c:pt idx="51">
                  <c:v>-77.5</c:v>
                </c:pt>
                <c:pt idx="52">
                  <c:v>77.5</c:v>
                </c:pt>
                <c:pt idx="53">
                  <c:v>-77.5</c:v>
                </c:pt>
                <c:pt idx="54">
                  <c:v>77.5</c:v>
                </c:pt>
                <c:pt idx="55">
                  <c:v>-77.5</c:v>
                </c:pt>
                <c:pt idx="56">
                  <c:v>77.5</c:v>
                </c:pt>
                <c:pt idx="57">
                  <c:v>-77.5</c:v>
                </c:pt>
                <c:pt idx="58">
                  <c:v>77.5</c:v>
                </c:pt>
                <c:pt idx="59">
                  <c:v>-77.5</c:v>
                </c:pt>
                <c:pt idx="60">
                  <c:v>77.5</c:v>
                </c:pt>
                <c:pt idx="61">
                  <c:v>-77.5</c:v>
                </c:pt>
                <c:pt idx="62">
                  <c:v>77.5</c:v>
                </c:pt>
                <c:pt idx="63">
                  <c:v>-77.5</c:v>
                </c:pt>
                <c:pt idx="64">
                  <c:v>77.5</c:v>
                </c:pt>
                <c:pt idx="65">
                  <c:v>-77.5</c:v>
                </c:pt>
                <c:pt idx="66">
                  <c:v>77.5</c:v>
                </c:pt>
                <c:pt idx="67">
                  <c:v>-77.5</c:v>
                </c:pt>
                <c:pt idx="68">
                  <c:v>77.5</c:v>
                </c:pt>
                <c:pt idx="69">
                  <c:v>-77.5</c:v>
                </c:pt>
                <c:pt idx="70">
                  <c:v>77.5</c:v>
                </c:pt>
                <c:pt idx="71">
                  <c:v>-77.5</c:v>
                </c:pt>
                <c:pt idx="72">
                  <c:v>77.5</c:v>
                </c:pt>
                <c:pt idx="73">
                  <c:v>-77.5</c:v>
                </c:pt>
                <c:pt idx="74">
                  <c:v>77.5</c:v>
                </c:pt>
                <c:pt idx="75">
                  <c:v>-77.5</c:v>
                </c:pt>
                <c:pt idx="76">
                  <c:v>77.5</c:v>
                </c:pt>
                <c:pt idx="77">
                  <c:v>-77.5</c:v>
                </c:pt>
                <c:pt idx="78">
                  <c:v>77.5</c:v>
                </c:pt>
                <c:pt idx="79">
                  <c:v>-77.5</c:v>
                </c:pt>
                <c:pt idx="80">
                  <c:v>77.5</c:v>
                </c:pt>
                <c:pt idx="81">
                  <c:v>-77.5</c:v>
                </c:pt>
                <c:pt idx="82">
                  <c:v>77.5</c:v>
                </c:pt>
                <c:pt idx="83">
                  <c:v>-77.5</c:v>
                </c:pt>
                <c:pt idx="84">
                  <c:v>77.5</c:v>
                </c:pt>
                <c:pt idx="85">
                  <c:v>-77.5</c:v>
                </c:pt>
                <c:pt idx="86">
                  <c:v>77.5</c:v>
                </c:pt>
                <c:pt idx="87">
                  <c:v>-77.5</c:v>
                </c:pt>
                <c:pt idx="88">
                  <c:v>77.5</c:v>
                </c:pt>
                <c:pt idx="89">
                  <c:v>-77.5</c:v>
                </c:pt>
                <c:pt idx="90">
                  <c:v>77.5</c:v>
                </c:pt>
                <c:pt idx="91">
                  <c:v>-77.5</c:v>
                </c:pt>
                <c:pt idx="92">
                  <c:v>77.5</c:v>
                </c:pt>
                <c:pt idx="93">
                  <c:v>-77.5</c:v>
                </c:pt>
                <c:pt idx="94">
                  <c:v>77.5</c:v>
                </c:pt>
                <c:pt idx="95">
                  <c:v>-77.5</c:v>
                </c:pt>
                <c:pt idx="96">
                  <c:v>77.5</c:v>
                </c:pt>
                <c:pt idx="97">
                  <c:v>-77.5</c:v>
                </c:pt>
                <c:pt idx="98">
                  <c:v>77.5</c:v>
                </c:pt>
                <c:pt idx="99">
                  <c:v>-77.5</c:v>
                </c:pt>
                <c:pt idx="100">
                  <c:v>77.5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F7A-453B-8812-2A10242291D0}"/>
            </c:ext>
          </c:extLst>
        </c:ser>
        <c:ser>
          <c:idx val="1"/>
          <c:order val="4"/>
          <c:tx>
            <c:strRef>
              <c:f>DiseñoSinuoso!$G$29</c:f>
              <c:strCache>
                <c:ptCount val="1"/>
                <c:pt idx="0">
                  <c:v>Lc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dLbls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Lc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F7A-453B-8812-2A10242291D0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DiseñoSinuoso!$C$30:$C$130</c:f>
              <c:numCache>
                <c:formatCode>0</c:formatCode>
                <c:ptCount val="101"/>
                <c:pt idx="0">
                  <c:v>0</c:v>
                </c:pt>
                <c:pt idx="1">
                  <c:v>524.95187484110147</c:v>
                </c:pt>
                <c:pt idx="2">
                  <c:v>1049.9037496822029</c:v>
                </c:pt>
                <c:pt idx="3">
                  <c:v>1574.8556245233044</c:v>
                </c:pt>
                <c:pt idx="4">
                  <c:v>2099.8074993644059</c:v>
                </c:pt>
                <c:pt idx="5">
                  <c:v>2624.7593742055074</c:v>
                </c:pt>
                <c:pt idx="6">
                  <c:v>3149.7112490466088</c:v>
                </c:pt>
                <c:pt idx="7">
                  <c:v>3674.6631238877103</c:v>
                </c:pt>
                <c:pt idx="8">
                  <c:v>4199.6149987288118</c:v>
                </c:pt>
                <c:pt idx="9">
                  <c:v>4724.5668735699128</c:v>
                </c:pt>
                <c:pt idx="10">
                  <c:v>5249.5187484110147</c:v>
                </c:pt>
                <c:pt idx="11">
                  <c:v>5774.4706232521166</c:v>
                </c:pt>
                <c:pt idx="12">
                  <c:v>6299.4224980932177</c:v>
                </c:pt>
                <c:pt idx="13">
                  <c:v>6824.3743729343187</c:v>
                </c:pt>
                <c:pt idx="14">
                  <c:v>7349.3262477754206</c:v>
                </c:pt>
                <c:pt idx="15">
                  <c:v>7874.2781226165225</c:v>
                </c:pt>
                <c:pt idx="16">
                  <c:v>8399.2299974576235</c:v>
                </c:pt>
                <c:pt idx="17">
                  <c:v>8924.1818722987246</c:v>
                </c:pt>
                <c:pt idx="18">
                  <c:v>9449.1337471398256</c:v>
                </c:pt>
                <c:pt idx="19">
                  <c:v>9974.0856219809284</c:v>
                </c:pt>
                <c:pt idx="20">
                  <c:v>10499.037496822029</c:v>
                </c:pt>
                <c:pt idx="21">
                  <c:v>11023.98937166313</c:v>
                </c:pt>
                <c:pt idx="22">
                  <c:v>11548.941246504233</c:v>
                </c:pt>
                <c:pt idx="23">
                  <c:v>12073.893121345334</c:v>
                </c:pt>
                <c:pt idx="24">
                  <c:v>12598.844996186435</c:v>
                </c:pt>
                <c:pt idx="25">
                  <c:v>13123.796871027536</c:v>
                </c:pt>
                <c:pt idx="26">
                  <c:v>13648.748745868637</c:v>
                </c:pt>
                <c:pt idx="27">
                  <c:v>14173.70062070974</c:v>
                </c:pt>
                <c:pt idx="28">
                  <c:v>14698.652495550841</c:v>
                </c:pt>
                <c:pt idx="29">
                  <c:v>15223.604370391942</c:v>
                </c:pt>
                <c:pt idx="30">
                  <c:v>15748.556245233045</c:v>
                </c:pt>
                <c:pt idx="31">
                  <c:v>16273.508120074146</c:v>
                </c:pt>
                <c:pt idx="32">
                  <c:v>16798.459994915247</c:v>
                </c:pt>
                <c:pt idx="33">
                  <c:v>17323.41186975635</c:v>
                </c:pt>
                <c:pt idx="34">
                  <c:v>17848.363744597449</c:v>
                </c:pt>
                <c:pt idx="35">
                  <c:v>18373.315619438552</c:v>
                </c:pt>
                <c:pt idx="36">
                  <c:v>18898.267494279651</c:v>
                </c:pt>
                <c:pt idx="37">
                  <c:v>19423.219369120754</c:v>
                </c:pt>
                <c:pt idx="38">
                  <c:v>19948.171243961857</c:v>
                </c:pt>
                <c:pt idx="39">
                  <c:v>20473.123118802956</c:v>
                </c:pt>
                <c:pt idx="40">
                  <c:v>20998.074993644059</c:v>
                </c:pt>
                <c:pt idx="41">
                  <c:v>21523.026868485162</c:v>
                </c:pt>
                <c:pt idx="42">
                  <c:v>22047.978743326261</c:v>
                </c:pt>
                <c:pt idx="43">
                  <c:v>22572.930618167364</c:v>
                </c:pt>
                <c:pt idx="44">
                  <c:v>23097.882493008467</c:v>
                </c:pt>
                <c:pt idx="45">
                  <c:v>23622.834367849566</c:v>
                </c:pt>
                <c:pt idx="46">
                  <c:v>24147.786242690669</c:v>
                </c:pt>
                <c:pt idx="47">
                  <c:v>24027</c:v>
                </c:pt>
                <c:pt idx="48">
                  <c:v>24027</c:v>
                </c:pt>
                <c:pt idx="49">
                  <c:v>24027</c:v>
                </c:pt>
                <c:pt idx="50">
                  <c:v>24027</c:v>
                </c:pt>
                <c:pt idx="51">
                  <c:v>24027</c:v>
                </c:pt>
                <c:pt idx="52">
                  <c:v>24027</c:v>
                </c:pt>
                <c:pt idx="53">
                  <c:v>24027</c:v>
                </c:pt>
                <c:pt idx="54">
                  <c:v>24027</c:v>
                </c:pt>
                <c:pt idx="55">
                  <c:v>24027</c:v>
                </c:pt>
                <c:pt idx="56">
                  <c:v>24027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DiseñoSinuoso!$G$30:$G$130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F7A-453B-8812-2A10242291D0}"/>
            </c:ext>
          </c:extLst>
        </c:ser>
        <c:ser>
          <c:idx val="3"/>
          <c:order val="5"/>
          <c:tx>
            <c:strRef>
              <c:f>DiseñoSinuoso!$E$29</c:f>
              <c:strCache>
                <c:ptCount val="1"/>
                <c:pt idx="0">
                  <c:v>Márgen Izquierda</c:v>
                </c:pt>
              </c:strCache>
            </c:strRef>
          </c:tx>
          <c:spPr>
            <a:ln w="9525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DiseñoSinuoso!$C$30:$C$130</c:f>
              <c:numCache>
                <c:formatCode>0</c:formatCode>
                <c:ptCount val="101"/>
                <c:pt idx="0">
                  <c:v>0</c:v>
                </c:pt>
                <c:pt idx="1">
                  <c:v>524.95187484110147</c:v>
                </c:pt>
                <c:pt idx="2">
                  <c:v>1049.9037496822029</c:v>
                </c:pt>
                <c:pt idx="3">
                  <c:v>1574.8556245233044</c:v>
                </c:pt>
                <c:pt idx="4">
                  <c:v>2099.8074993644059</c:v>
                </c:pt>
                <c:pt idx="5">
                  <c:v>2624.7593742055074</c:v>
                </c:pt>
                <c:pt idx="6">
                  <c:v>3149.7112490466088</c:v>
                </c:pt>
                <c:pt idx="7">
                  <c:v>3674.6631238877103</c:v>
                </c:pt>
                <c:pt idx="8">
                  <c:v>4199.6149987288118</c:v>
                </c:pt>
                <c:pt idx="9">
                  <c:v>4724.5668735699128</c:v>
                </c:pt>
                <c:pt idx="10">
                  <c:v>5249.5187484110147</c:v>
                </c:pt>
                <c:pt idx="11">
                  <c:v>5774.4706232521166</c:v>
                </c:pt>
                <c:pt idx="12">
                  <c:v>6299.4224980932177</c:v>
                </c:pt>
                <c:pt idx="13">
                  <c:v>6824.3743729343187</c:v>
                </c:pt>
                <c:pt idx="14">
                  <c:v>7349.3262477754206</c:v>
                </c:pt>
                <c:pt idx="15">
                  <c:v>7874.2781226165225</c:v>
                </c:pt>
                <c:pt idx="16">
                  <c:v>8399.2299974576235</c:v>
                </c:pt>
                <c:pt idx="17">
                  <c:v>8924.1818722987246</c:v>
                </c:pt>
                <c:pt idx="18">
                  <c:v>9449.1337471398256</c:v>
                </c:pt>
                <c:pt idx="19">
                  <c:v>9974.0856219809284</c:v>
                </c:pt>
                <c:pt idx="20">
                  <c:v>10499.037496822029</c:v>
                </c:pt>
                <c:pt idx="21">
                  <c:v>11023.98937166313</c:v>
                </c:pt>
                <c:pt idx="22">
                  <c:v>11548.941246504233</c:v>
                </c:pt>
                <c:pt idx="23">
                  <c:v>12073.893121345334</c:v>
                </c:pt>
                <c:pt idx="24">
                  <c:v>12598.844996186435</c:v>
                </c:pt>
                <c:pt idx="25">
                  <c:v>13123.796871027536</c:v>
                </c:pt>
                <c:pt idx="26">
                  <c:v>13648.748745868637</c:v>
                </c:pt>
                <c:pt idx="27">
                  <c:v>14173.70062070974</c:v>
                </c:pt>
                <c:pt idx="28">
                  <c:v>14698.652495550841</c:v>
                </c:pt>
                <c:pt idx="29">
                  <c:v>15223.604370391942</c:v>
                </c:pt>
                <c:pt idx="30">
                  <c:v>15748.556245233045</c:v>
                </c:pt>
                <c:pt idx="31">
                  <c:v>16273.508120074146</c:v>
                </c:pt>
                <c:pt idx="32">
                  <c:v>16798.459994915247</c:v>
                </c:pt>
                <c:pt idx="33">
                  <c:v>17323.41186975635</c:v>
                </c:pt>
                <c:pt idx="34">
                  <c:v>17848.363744597449</c:v>
                </c:pt>
                <c:pt idx="35">
                  <c:v>18373.315619438552</c:v>
                </c:pt>
                <c:pt idx="36">
                  <c:v>18898.267494279651</c:v>
                </c:pt>
                <c:pt idx="37">
                  <c:v>19423.219369120754</c:v>
                </c:pt>
                <c:pt idx="38">
                  <c:v>19948.171243961857</c:v>
                </c:pt>
                <c:pt idx="39">
                  <c:v>20473.123118802956</c:v>
                </c:pt>
                <c:pt idx="40">
                  <c:v>20998.074993644059</c:v>
                </c:pt>
                <c:pt idx="41">
                  <c:v>21523.026868485162</c:v>
                </c:pt>
                <c:pt idx="42">
                  <c:v>22047.978743326261</c:v>
                </c:pt>
                <c:pt idx="43">
                  <c:v>22572.930618167364</c:v>
                </c:pt>
                <c:pt idx="44">
                  <c:v>23097.882493008467</c:v>
                </c:pt>
                <c:pt idx="45">
                  <c:v>23622.834367849566</c:v>
                </c:pt>
                <c:pt idx="46">
                  <c:v>24147.786242690669</c:v>
                </c:pt>
                <c:pt idx="47">
                  <c:v>24027</c:v>
                </c:pt>
                <c:pt idx="48">
                  <c:v>24027</c:v>
                </c:pt>
                <c:pt idx="49">
                  <c:v>24027</c:v>
                </c:pt>
                <c:pt idx="50">
                  <c:v>24027</c:v>
                </c:pt>
                <c:pt idx="51">
                  <c:v>24027</c:v>
                </c:pt>
                <c:pt idx="52">
                  <c:v>24027</c:v>
                </c:pt>
                <c:pt idx="53">
                  <c:v>24027</c:v>
                </c:pt>
                <c:pt idx="54">
                  <c:v>24027</c:v>
                </c:pt>
                <c:pt idx="55">
                  <c:v>24027</c:v>
                </c:pt>
                <c:pt idx="56">
                  <c:v>24027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DiseñoSinuoso!$E$30:$E$130</c:f>
              <c:numCache>
                <c:formatCode>General</c:formatCode>
                <c:ptCount val="101"/>
                <c:pt idx="0">
                  <c:v>102.5</c:v>
                </c:pt>
                <c:pt idx="1">
                  <c:v>-52.5</c:v>
                </c:pt>
                <c:pt idx="2">
                  <c:v>102.5</c:v>
                </c:pt>
                <c:pt idx="3">
                  <c:v>-52.5</c:v>
                </c:pt>
                <c:pt idx="4">
                  <c:v>102.5</c:v>
                </c:pt>
                <c:pt idx="5">
                  <c:v>-52.5</c:v>
                </c:pt>
                <c:pt idx="6">
                  <c:v>102.5</c:v>
                </c:pt>
                <c:pt idx="7">
                  <c:v>-52.5</c:v>
                </c:pt>
                <c:pt idx="8">
                  <c:v>102.5</c:v>
                </c:pt>
                <c:pt idx="9">
                  <c:v>-52.5</c:v>
                </c:pt>
                <c:pt idx="10">
                  <c:v>102.5</c:v>
                </c:pt>
                <c:pt idx="11">
                  <c:v>-52.5</c:v>
                </c:pt>
                <c:pt idx="12">
                  <c:v>102.5</c:v>
                </c:pt>
                <c:pt idx="13">
                  <c:v>-52.5</c:v>
                </c:pt>
                <c:pt idx="14">
                  <c:v>102.5</c:v>
                </c:pt>
                <c:pt idx="15">
                  <c:v>-52.5</c:v>
                </c:pt>
                <c:pt idx="16">
                  <c:v>102.5</c:v>
                </c:pt>
                <c:pt idx="17">
                  <c:v>-52.5</c:v>
                </c:pt>
                <c:pt idx="18">
                  <c:v>102.5</c:v>
                </c:pt>
                <c:pt idx="19">
                  <c:v>-52.5</c:v>
                </c:pt>
                <c:pt idx="20">
                  <c:v>102.5</c:v>
                </c:pt>
                <c:pt idx="21">
                  <c:v>-52.5</c:v>
                </c:pt>
                <c:pt idx="22">
                  <c:v>102.5</c:v>
                </c:pt>
                <c:pt idx="23">
                  <c:v>-52.5</c:v>
                </c:pt>
                <c:pt idx="24">
                  <c:v>102.5</c:v>
                </c:pt>
                <c:pt idx="25">
                  <c:v>-52.5</c:v>
                </c:pt>
                <c:pt idx="26">
                  <c:v>102.5</c:v>
                </c:pt>
                <c:pt idx="27">
                  <c:v>-52.5</c:v>
                </c:pt>
                <c:pt idx="28">
                  <c:v>102.5</c:v>
                </c:pt>
                <c:pt idx="29">
                  <c:v>-52.5</c:v>
                </c:pt>
                <c:pt idx="30">
                  <c:v>102.5</c:v>
                </c:pt>
                <c:pt idx="31">
                  <c:v>-52.5</c:v>
                </c:pt>
                <c:pt idx="32">
                  <c:v>102.5</c:v>
                </c:pt>
                <c:pt idx="33">
                  <c:v>-52.5</c:v>
                </c:pt>
                <c:pt idx="34">
                  <c:v>102.5</c:v>
                </c:pt>
                <c:pt idx="35">
                  <c:v>-52.5</c:v>
                </c:pt>
                <c:pt idx="36">
                  <c:v>102.5</c:v>
                </c:pt>
                <c:pt idx="37">
                  <c:v>-52.5</c:v>
                </c:pt>
                <c:pt idx="38">
                  <c:v>102.5</c:v>
                </c:pt>
                <c:pt idx="39">
                  <c:v>-52.5</c:v>
                </c:pt>
                <c:pt idx="40">
                  <c:v>102.5</c:v>
                </c:pt>
                <c:pt idx="41">
                  <c:v>-52.5</c:v>
                </c:pt>
                <c:pt idx="42">
                  <c:v>102.5</c:v>
                </c:pt>
                <c:pt idx="43">
                  <c:v>-52.5</c:v>
                </c:pt>
                <c:pt idx="44">
                  <c:v>102.5</c:v>
                </c:pt>
                <c:pt idx="45">
                  <c:v>-52.5</c:v>
                </c:pt>
                <c:pt idx="46">
                  <c:v>102.5</c:v>
                </c:pt>
                <c:pt idx="47">
                  <c:v>-52.5</c:v>
                </c:pt>
                <c:pt idx="48">
                  <c:v>102.5</c:v>
                </c:pt>
                <c:pt idx="49">
                  <c:v>-52.5</c:v>
                </c:pt>
                <c:pt idx="50">
                  <c:v>102.5</c:v>
                </c:pt>
                <c:pt idx="51">
                  <c:v>-52.5</c:v>
                </c:pt>
                <c:pt idx="52">
                  <c:v>102.5</c:v>
                </c:pt>
                <c:pt idx="53">
                  <c:v>-52.5</c:v>
                </c:pt>
                <c:pt idx="54">
                  <c:v>102.5</c:v>
                </c:pt>
                <c:pt idx="55">
                  <c:v>-52.5</c:v>
                </c:pt>
                <c:pt idx="56">
                  <c:v>102.5</c:v>
                </c:pt>
                <c:pt idx="57">
                  <c:v>-52.5</c:v>
                </c:pt>
                <c:pt idx="58">
                  <c:v>102.5</c:v>
                </c:pt>
                <c:pt idx="59">
                  <c:v>-52.5</c:v>
                </c:pt>
                <c:pt idx="60">
                  <c:v>102.5</c:v>
                </c:pt>
                <c:pt idx="61">
                  <c:v>-52.5</c:v>
                </c:pt>
                <c:pt idx="62">
                  <c:v>102.5</c:v>
                </c:pt>
                <c:pt idx="63">
                  <c:v>-52.5</c:v>
                </c:pt>
                <c:pt idx="64">
                  <c:v>102.5</c:v>
                </c:pt>
                <c:pt idx="65">
                  <c:v>-52.5</c:v>
                </c:pt>
                <c:pt idx="66">
                  <c:v>102.5</c:v>
                </c:pt>
                <c:pt idx="67">
                  <c:v>-52.5</c:v>
                </c:pt>
                <c:pt idx="68">
                  <c:v>102.5</c:v>
                </c:pt>
                <c:pt idx="69">
                  <c:v>-52.5</c:v>
                </c:pt>
                <c:pt idx="70">
                  <c:v>102.5</c:v>
                </c:pt>
                <c:pt idx="71">
                  <c:v>-52.5</c:v>
                </c:pt>
                <c:pt idx="72">
                  <c:v>102.5</c:v>
                </c:pt>
                <c:pt idx="73">
                  <c:v>-52.5</c:v>
                </c:pt>
                <c:pt idx="74">
                  <c:v>102.5</c:v>
                </c:pt>
                <c:pt idx="75">
                  <c:v>-52.5</c:v>
                </c:pt>
                <c:pt idx="76">
                  <c:v>102.5</c:v>
                </c:pt>
                <c:pt idx="77">
                  <c:v>-52.5</c:v>
                </c:pt>
                <c:pt idx="78">
                  <c:v>102.5</c:v>
                </c:pt>
                <c:pt idx="79">
                  <c:v>-52.5</c:v>
                </c:pt>
                <c:pt idx="80">
                  <c:v>102.5</c:v>
                </c:pt>
                <c:pt idx="81">
                  <c:v>-52.5</c:v>
                </c:pt>
                <c:pt idx="82">
                  <c:v>102.5</c:v>
                </c:pt>
                <c:pt idx="83">
                  <c:v>-52.5</c:v>
                </c:pt>
                <c:pt idx="84">
                  <c:v>102.5</c:v>
                </c:pt>
                <c:pt idx="85">
                  <c:v>-52.5</c:v>
                </c:pt>
                <c:pt idx="86">
                  <c:v>102.5</c:v>
                </c:pt>
                <c:pt idx="87">
                  <c:v>-52.5</c:v>
                </c:pt>
                <c:pt idx="88">
                  <c:v>102.5</c:v>
                </c:pt>
                <c:pt idx="89">
                  <c:v>-52.5</c:v>
                </c:pt>
                <c:pt idx="90">
                  <c:v>102.5</c:v>
                </c:pt>
                <c:pt idx="91">
                  <c:v>-52.5</c:v>
                </c:pt>
                <c:pt idx="92">
                  <c:v>102.5</c:v>
                </c:pt>
                <c:pt idx="93">
                  <c:v>-52.5</c:v>
                </c:pt>
                <c:pt idx="94">
                  <c:v>102.5</c:v>
                </c:pt>
                <c:pt idx="95">
                  <c:v>-52.5</c:v>
                </c:pt>
                <c:pt idx="96">
                  <c:v>102.5</c:v>
                </c:pt>
                <c:pt idx="97">
                  <c:v>-52.5</c:v>
                </c:pt>
                <c:pt idx="98">
                  <c:v>102.5</c:v>
                </c:pt>
                <c:pt idx="99">
                  <c:v>-52.5</c:v>
                </c:pt>
                <c:pt idx="100">
                  <c:v>102.5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F7A-453B-8812-2A10242291D0}"/>
            </c:ext>
          </c:extLst>
        </c:ser>
        <c:ser>
          <c:idx val="0"/>
          <c:order val="6"/>
          <c:tx>
            <c:strRef>
              <c:f>DiseñoSinuoso!$F$29</c:f>
              <c:strCache>
                <c:ptCount val="1"/>
                <c:pt idx="0">
                  <c:v>Márgen Derecha</c:v>
                </c:pt>
              </c:strCache>
            </c:strRef>
          </c:tx>
          <c:spPr>
            <a:ln w="9525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3.8719291841428548E-2"/>
                  <c:y val="4.66507001278302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Márgen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F7A-453B-8812-2A10242291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DiseñoSinuoso!$C$30:$C$130</c:f>
              <c:numCache>
                <c:formatCode>0</c:formatCode>
                <c:ptCount val="101"/>
                <c:pt idx="0">
                  <c:v>0</c:v>
                </c:pt>
                <c:pt idx="1">
                  <c:v>524.95187484110147</c:v>
                </c:pt>
                <c:pt idx="2">
                  <c:v>1049.9037496822029</c:v>
                </c:pt>
                <c:pt idx="3">
                  <c:v>1574.8556245233044</c:v>
                </c:pt>
                <c:pt idx="4">
                  <c:v>2099.8074993644059</c:v>
                </c:pt>
                <c:pt idx="5">
                  <c:v>2624.7593742055074</c:v>
                </c:pt>
                <c:pt idx="6">
                  <c:v>3149.7112490466088</c:v>
                </c:pt>
                <c:pt idx="7">
                  <c:v>3674.6631238877103</c:v>
                </c:pt>
                <c:pt idx="8">
                  <c:v>4199.6149987288118</c:v>
                </c:pt>
                <c:pt idx="9">
                  <c:v>4724.5668735699128</c:v>
                </c:pt>
                <c:pt idx="10">
                  <c:v>5249.5187484110147</c:v>
                </c:pt>
                <c:pt idx="11">
                  <c:v>5774.4706232521166</c:v>
                </c:pt>
                <c:pt idx="12">
                  <c:v>6299.4224980932177</c:v>
                </c:pt>
                <c:pt idx="13">
                  <c:v>6824.3743729343187</c:v>
                </c:pt>
                <c:pt idx="14">
                  <c:v>7349.3262477754206</c:v>
                </c:pt>
                <c:pt idx="15">
                  <c:v>7874.2781226165225</c:v>
                </c:pt>
                <c:pt idx="16">
                  <c:v>8399.2299974576235</c:v>
                </c:pt>
                <c:pt idx="17">
                  <c:v>8924.1818722987246</c:v>
                </c:pt>
                <c:pt idx="18">
                  <c:v>9449.1337471398256</c:v>
                </c:pt>
                <c:pt idx="19">
                  <c:v>9974.0856219809284</c:v>
                </c:pt>
                <c:pt idx="20">
                  <c:v>10499.037496822029</c:v>
                </c:pt>
                <c:pt idx="21">
                  <c:v>11023.98937166313</c:v>
                </c:pt>
                <c:pt idx="22">
                  <c:v>11548.941246504233</c:v>
                </c:pt>
                <c:pt idx="23">
                  <c:v>12073.893121345334</c:v>
                </c:pt>
                <c:pt idx="24">
                  <c:v>12598.844996186435</c:v>
                </c:pt>
                <c:pt idx="25">
                  <c:v>13123.796871027536</c:v>
                </c:pt>
                <c:pt idx="26">
                  <c:v>13648.748745868637</c:v>
                </c:pt>
                <c:pt idx="27">
                  <c:v>14173.70062070974</c:v>
                </c:pt>
                <c:pt idx="28">
                  <c:v>14698.652495550841</c:v>
                </c:pt>
                <c:pt idx="29">
                  <c:v>15223.604370391942</c:v>
                </c:pt>
                <c:pt idx="30">
                  <c:v>15748.556245233045</c:v>
                </c:pt>
                <c:pt idx="31">
                  <c:v>16273.508120074146</c:v>
                </c:pt>
                <c:pt idx="32">
                  <c:v>16798.459994915247</c:v>
                </c:pt>
                <c:pt idx="33">
                  <c:v>17323.41186975635</c:v>
                </c:pt>
                <c:pt idx="34">
                  <c:v>17848.363744597449</c:v>
                </c:pt>
                <c:pt idx="35">
                  <c:v>18373.315619438552</c:v>
                </c:pt>
                <c:pt idx="36">
                  <c:v>18898.267494279651</c:v>
                </c:pt>
                <c:pt idx="37">
                  <c:v>19423.219369120754</c:v>
                </c:pt>
                <c:pt idx="38">
                  <c:v>19948.171243961857</c:v>
                </c:pt>
                <c:pt idx="39">
                  <c:v>20473.123118802956</c:v>
                </c:pt>
                <c:pt idx="40">
                  <c:v>20998.074993644059</c:v>
                </c:pt>
                <c:pt idx="41">
                  <c:v>21523.026868485162</c:v>
                </c:pt>
                <c:pt idx="42">
                  <c:v>22047.978743326261</c:v>
                </c:pt>
                <c:pt idx="43">
                  <c:v>22572.930618167364</c:v>
                </c:pt>
                <c:pt idx="44">
                  <c:v>23097.882493008467</c:v>
                </c:pt>
                <c:pt idx="45">
                  <c:v>23622.834367849566</c:v>
                </c:pt>
                <c:pt idx="46">
                  <c:v>24147.786242690669</c:v>
                </c:pt>
                <c:pt idx="47">
                  <c:v>24027</c:v>
                </c:pt>
                <c:pt idx="48">
                  <c:v>24027</c:v>
                </c:pt>
                <c:pt idx="49">
                  <c:v>24027</c:v>
                </c:pt>
                <c:pt idx="50">
                  <c:v>24027</c:v>
                </c:pt>
                <c:pt idx="51">
                  <c:v>24027</c:v>
                </c:pt>
                <c:pt idx="52">
                  <c:v>24027</c:v>
                </c:pt>
                <c:pt idx="53">
                  <c:v>24027</c:v>
                </c:pt>
                <c:pt idx="54">
                  <c:v>24027</c:v>
                </c:pt>
                <c:pt idx="55">
                  <c:v>24027</c:v>
                </c:pt>
                <c:pt idx="56">
                  <c:v>24027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DiseñoSinuoso!$F$30:$F$130</c:f>
              <c:numCache>
                <c:formatCode>General</c:formatCode>
                <c:ptCount val="101"/>
                <c:pt idx="0">
                  <c:v>52.5</c:v>
                </c:pt>
                <c:pt idx="1">
                  <c:v>-102.5</c:v>
                </c:pt>
                <c:pt idx="2">
                  <c:v>52.5</c:v>
                </c:pt>
                <c:pt idx="3">
                  <c:v>-102.5</c:v>
                </c:pt>
                <c:pt idx="4">
                  <c:v>52.5</c:v>
                </c:pt>
                <c:pt idx="5">
                  <c:v>-102.5</c:v>
                </c:pt>
                <c:pt idx="6">
                  <c:v>52.5</c:v>
                </c:pt>
                <c:pt idx="7">
                  <c:v>-102.5</c:v>
                </c:pt>
                <c:pt idx="8">
                  <c:v>52.5</c:v>
                </c:pt>
                <c:pt idx="9">
                  <c:v>-102.5</c:v>
                </c:pt>
                <c:pt idx="10">
                  <c:v>52.5</c:v>
                </c:pt>
                <c:pt idx="11">
                  <c:v>-102.5</c:v>
                </c:pt>
                <c:pt idx="12">
                  <c:v>52.5</c:v>
                </c:pt>
                <c:pt idx="13">
                  <c:v>-102.5</c:v>
                </c:pt>
                <c:pt idx="14">
                  <c:v>52.5</c:v>
                </c:pt>
                <c:pt idx="15">
                  <c:v>-102.5</c:v>
                </c:pt>
                <c:pt idx="16">
                  <c:v>52.5</c:v>
                </c:pt>
                <c:pt idx="17">
                  <c:v>-102.5</c:v>
                </c:pt>
                <c:pt idx="18">
                  <c:v>52.5</c:v>
                </c:pt>
                <c:pt idx="19">
                  <c:v>-102.5</c:v>
                </c:pt>
                <c:pt idx="20">
                  <c:v>52.5</c:v>
                </c:pt>
                <c:pt idx="21">
                  <c:v>-102.5</c:v>
                </c:pt>
                <c:pt idx="22">
                  <c:v>52.5</c:v>
                </c:pt>
                <c:pt idx="23">
                  <c:v>-102.5</c:v>
                </c:pt>
                <c:pt idx="24">
                  <c:v>52.5</c:v>
                </c:pt>
                <c:pt idx="25">
                  <c:v>-102.5</c:v>
                </c:pt>
                <c:pt idx="26">
                  <c:v>52.5</c:v>
                </c:pt>
                <c:pt idx="27">
                  <c:v>-102.5</c:v>
                </c:pt>
                <c:pt idx="28">
                  <c:v>52.5</c:v>
                </c:pt>
                <c:pt idx="29">
                  <c:v>-102.5</c:v>
                </c:pt>
                <c:pt idx="30">
                  <c:v>52.5</c:v>
                </c:pt>
                <c:pt idx="31">
                  <c:v>-102.5</c:v>
                </c:pt>
                <c:pt idx="32">
                  <c:v>52.5</c:v>
                </c:pt>
                <c:pt idx="33">
                  <c:v>-102.5</c:v>
                </c:pt>
                <c:pt idx="34">
                  <c:v>52.5</c:v>
                </c:pt>
                <c:pt idx="35">
                  <c:v>-102.5</c:v>
                </c:pt>
                <c:pt idx="36">
                  <c:v>52.5</c:v>
                </c:pt>
                <c:pt idx="37">
                  <c:v>-102.5</c:v>
                </c:pt>
                <c:pt idx="38">
                  <c:v>52.5</c:v>
                </c:pt>
                <c:pt idx="39">
                  <c:v>-102.5</c:v>
                </c:pt>
                <c:pt idx="40">
                  <c:v>52.5</c:v>
                </c:pt>
                <c:pt idx="41">
                  <c:v>-102.5</c:v>
                </c:pt>
                <c:pt idx="42">
                  <c:v>52.5</c:v>
                </c:pt>
                <c:pt idx="43">
                  <c:v>-102.5</c:v>
                </c:pt>
                <c:pt idx="44">
                  <c:v>52.5</c:v>
                </c:pt>
                <c:pt idx="45">
                  <c:v>-102.5</c:v>
                </c:pt>
                <c:pt idx="46">
                  <c:v>52.5</c:v>
                </c:pt>
                <c:pt idx="47">
                  <c:v>-102.5</c:v>
                </c:pt>
                <c:pt idx="48">
                  <c:v>52.5</c:v>
                </c:pt>
                <c:pt idx="49">
                  <c:v>-102.5</c:v>
                </c:pt>
                <c:pt idx="50">
                  <c:v>52.5</c:v>
                </c:pt>
                <c:pt idx="51">
                  <c:v>-102.5</c:v>
                </c:pt>
                <c:pt idx="52">
                  <c:v>52.5</c:v>
                </c:pt>
                <c:pt idx="53">
                  <c:v>-102.5</c:v>
                </c:pt>
                <c:pt idx="54">
                  <c:v>52.5</c:v>
                </c:pt>
                <c:pt idx="55">
                  <c:v>-102.5</c:v>
                </c:pt>
                <c:pt idx="56">
                  <c:v>52.5</c:v>
                </c:pt>
                <c:pt idx="57">
                  <c:v>-102.5</c:v>
                </c:pt>
                <c:pt idx="58">
                  <c:v>52.5</c:v>
                </c:pt>
                <c:pt idx="59">
                  <c:v>-102.5</c:v>
                </c:pt>
                <c:pt idx="60">
                  <c:v>52.5</c:v>
                </c:pt>
                <c:pt idx="61">
                  <c:v>-102.5</c:v>
                </c:pt>
                <c:pt idx="62">
                  <c:v>52.5</c:v>
                </c:pt>
                <c:pt idx="63">
                  <c:v>-102.5</c:v>
                </c:pt>
                <c:pt idx="64">
                  <c:v>52.5</c:v>
                </c:pt>
                <c:pt idx="65">
                  <c:v>-102.5</c:v>
                </c:pt>
                <c:pt idx="66">
                  <c:v>52.5</c:v>
                </c:pt>
                <c:pt idx="67">
                  <c:v>-102.5</c:v>
                </c:pt>
                <c:pt idx="68">
                  <c:v>52.5</c:v>
                </c:pt>
                <c:pt idx="69">
                  <c:v>-102.5</c:v>
                </c:pt>
                <c:pt idx="70">
                  <c:v>52.5</c:v>
                </c:pt>
                <c:pt idx="71">
                  <c:v>-102.5</c:v>
                </c:pt>
                <c:pt idx="72">
                  <c:v>52.5</c:v>
                </c:pt>
                <c:pt idx="73">
                  <c:v>-102.5</c:v>
                </c:pt>
                <c:pt idx="74">
                  <c:v>52.5</c:v>
                </c:pt>
                <c:pt idx="75">
                  <c:v>-102.5</c:v>
                </c:pt>
                <c:pt idx="76">
                  <c:v>52.5</c:v>
                </c:pt>
                <c:pt idx="77">
                  <c:v>-102.5</c:v>
                </c:pt>
                <c:pt idx="78">
                  <c:v>52.5</c:v>
                </c:pt>
                <c:pt idx="79">
                  <c:v>-102.5</c:v>
                </c:pt>
                <c:pt idx="80">
                  <c:v>52.5</c:v>
                </c:pt>
                <c:pt idx="81">
                  <c:v>-102.5</c:v>
                </c:pt>
                <c:pt idx="82">
                  <c:v>52.5</c:v>
                </c:pt>
                <c:pt idx="83">
                  <c:v>-102.5</c:v>
                </c:pt>
                <c:pt idx="84">
                  <c:v>52.5</c:v>
                </c:pt>
                <c:pt idx="85">
                  <c:v>-102.5</c:v>
                </c:pt>
                <c:pt idx="86">
                  <c:v>52.5</c:v>
                </c:pt>
                <c:pt idx="87">
                  <c:v>-102.5</c:v>
                </c:pt>
                <c:pt idx="88">
                  <c:v>52.5</c:v>
                </c:pt>
                <c:pt idx="89">
                  <c:v>-102.5</c:v>
                </c:pt>
                <c:pt idx="90">
                  <c:v>52.5</c:v>
                </c:pt>
                <c:pt idx="91">
                  <c:v>-102.5</c:v>
                </c:pt>
                <c:pt idx="92">
                  <c:v>52.5</c:v>
                </c:pt>
                <c:pt idx="93">
                  <c:v>-102.5</c:v>
                </c:pt>
                <c:pt idx="94">
                  <c:v>52.5</c:v>
                </c:pt>
                <c:pt idx="95">
                  <c:v>-102.5</c:v>
                </c:pt>
                <c:pt idx="96">
                  <c:v>52.5</c:v>
                </c:pt>
                <c:pt idx="97">
                  <c:v>-102.5</c:v>
                </c:pt>
                <c:pt idx="98">
                  <c:v>52.5</c:v>
                </c:pt>
                <c:pt idx="99">
                  <c:v>-102.5</c:v>
                </c:pt>
                <c:pt idx="100">
                  <c:v>52.5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F7A-453B-8812-2A10242291D0}"/>
            </c:ext>
          </c:extLst>
        </c:ser>
        <c:ser>
          <c:idx val="7"/>
          <c:order val="7"/>
          <c:tx>
            <c:strRef>
              <c:f>DiseñoSinuoso!$L$29</c:f>
              <c:strCache>
                <c:ptCount val="1"/>
                <c:pt idx="0">
                  <c:v>B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114234513925832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F7A-453B-8812-2A10242291D0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(DiseñoSinuoso!$C$31,DiseñoSinuoso!$C$31,DiseñoSinuoso!$C$31)</c:f>
              <c:numCache>
                <c:formatCode>0</c:formatCode>
                <c:ptCount val="3"/>
                <c:pt idx="0">
                  <c:v>524.95187484110147</c:v>
                </c:pt>
                <c:pt idx="1">
                  <c:v>524.95187484110147</c:v>
                </c:pt>
                <c:pt idx="2">
                  <c:v>524.95187484110147</c:v>
                </c:pt>
              </c:numCache>
            </c:numRef>
          </c:xVal>
          <c:yVal>
            <c:numRef>
              <c:f>DiseñoSinuoso!$L$30:$L$34</c:f>
              <c:numCache>
                <c:formatCode>General</c:formatCode>
                <c:ptCount val="5"/>
                <c:pt idx="0">
                  <c:v>77.5</c:v>
                </c:pt>
                <c:pt idx="1">
                  <c:v>0</c:v>
                </c:pt>
                <c:pt idx="2">
                  <c:v>-77.5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F7A-453B-8812-2A10242291D0}"/>
            </c:ext>
          </c:extLst>
        </c:ser>
        <c:ser>
          <c:idx val="8"/>
          <c:order val="8"/>
          <c:tx>
            <c:strRef>
              <c:f>DiseñoSinuoso!$M$29</c:f>
              <c:strCache>
                <c:ptCount val="1"/>
                <c:pt idx="0">
                  <c:v>Rc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tailEnd type="triangle" w="sm" len="med"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3491494599175912E-2"/>
                  <c:y val="-5.8321074044573908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Rc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F7A-453B-8812-2A10242291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(DiseñoSinuoso!$C$33,DiseñoSinuoso!$C$33,DiseñoSinuoso!$C$33)</c:f>
              <c:numCache>
                <c:formatCode>0</c:formatCode>
                <c:ptCount val="3"/>
                <c:pt idx="0">
                  <c:v>1574.8556245233044</c:v>
                </c:pt>
                <c:pt idx="1">
                  <c:v>1574.8556245233044</c:v>
                </c:pt>
                <c:pt idx="2">
                  <c:v>1574.8556245233044</c:v>
                </c:pt>
              </c:numCache>
            </c:numRef>
          </c:xVal>
          <c:yVal>
            <c:numRef>
              <c:f>DiseñoSinuoso!$M$30:$M$32</c:f>
              <c:numCache>
                <c:formatCode>General</c:formatCode>
                <c:ptCount val="3"/>
                <c:pt idx="0">
                  <c:v>17.5</c:v>
                </c:pt>
                <c:pt idx="1">
                  <c:v>-30</c:v>
                </c:pt>
                <c:pt idx="2">
                  <c:v>-77.5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F7A-453B-8812-2A10242291D0}"/>
            </c:ext>
          </c:extLst>
        </c:ser>
        <c:ser>
          <c:idx val="9"/>
          <c:order val="9"/>
          <c:tx>
            <c:strRef>
              <c:f>DiseñoSinuoso!$N$29</c:f>
              <c:strCache>
                <c:ptCount val="1"/>
                <c:pt idx="0">
                  <c:v>Lm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3556666666666665E-2"/>
                  <c:y val="-4.177314814814815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F7A-453B-8812-2A10242291D0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DiseñoSinuoso!$C$30:$C$32</c:f>
              <c:numCache>
                <c:formatCode>0</c:formatCode>
                <c:ptCount val="3"/>
                <c:pt idx="0">
                  <c:v>0</c:v>
                </c:pt>
                <c:pt idx="1">
                  <c:v>524.95187484110147</c:v>
                </c:pt>
                <c:pt idx="2">
                  <c:v>1049.9037496822029</c:v>
                </c:pt>
              </c:numCache>
            </c:numRef>
          </c:xVal>
          <c:yVal>
            <c:numRef>
              <c:f>DiseñoSinuoso!$N$30:$N$32</c:f>
              <c:numCache>
                <c:formatCode>General</c:formatCode>
                <c:ptCount val="3"/>
                <c:pt idx="0">
                  <c:v>-117.87499999999999</c:v>
                </c:pt>
                <c:pt idx="1">
                  <c:v>-117.87499999999999</c:v>
                </c:pt>
                <c:pt idx="2">
                  <c:v>-117.87499999999999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F7A-453B-8812-2A10242291D0}"/>
            </c:ext>
          </c:extLst>
        </c:ser>
        <c:ser>
          <c:idx val="10"/>
          <c:order val="10"/>
          <c:tx>
            <c:strRef>
              <c:f>DiseñoSinuoso!$O$29</c:f>
              <c:strCache>
                <c:ptCount val="1"/>
                <c:pt idx="0">
                  <c:v>b Llanura</c:v>
                </c:pt>
              </c:strCache>
            </c:strRef>
          </c:tx>
          <c:spPr>
            <a:ln w="9525" cap="rnd">
              <a:solidFill>
                <a:srgbClr val="C00000"/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4.9388888888888892E-2"/>
                  <c:y val="0.10289351851851858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/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chemeClr val="tx1"/>
                        </a:solidFill>
                      </a:rPr>
                      <a:t>b llano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/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F7A-453B-8812-2A10242291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(DiseñoSinuoso!$E$22,DiseñoSinuoso!$E$22,DiseñoSinuoso!$E$22)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xVal>
          <c:yVal>
            <c:numRef>
              <c:f>DiseñoSinuoso!$O$30:$O$32</c:f>
              <c:numCache>
                <c:formatCode>General</c:formatCode>
                <c:ptCount val="3"/>
                <c:pt idx="0">
                  <c:v>102.5</c:v>
                </c:pt>
                <c:pt idx="1">
                  <c:v>0</c:v>
                </c:pt>
                <c:pt idx="2">
                  <c:v>-102.5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F7A-453B-8812-2A10242291D0}"/>
            </c:ext>
          </c:extLst>
        </c:ser>
        <c:ser>
          <c:idx val="11"/>
          <c:order val="11"/>
          <c:tx>
            <c:strRef>
              <c:f>DiseñoSinuoso!$P$29</c:f>
              <c:strCache>
                <c:ptCount val="1"/>
                <c:pt idx="0">
                  <c:v>b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58406440590935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9F7A-453B-8812-2A10242291D0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(DiseñoSinuoso!$C$32,DiseñoSinuoso!$C$32,DiseñoSinuoso!$C$32)</c:f>
              <c:numCache>
                <c:formatCode>0</c:formatCode>
                <c:ptCount val="3"/>
                <c:pt idx="0">
                  <c:v>1049.9037496822029</c:v>
                </c:pt>
                <c:pt idx="1">
                  <c:v>1049.9037496822029</c:v>
                </c:pt>
                <c:pt idx="2">
                  <c:v>1049.9037496822029</c:v>
                </c:pt>
              </c:numCache>
            </c:numRef>
          </c:xVal>
          <c:yVal>
            <c:numRef>
              <c:f>DiseñoSinuoso!$P$30:$P$32</c:f>
              <c:numCache>
                <c:formatCode>General</c:formatCode>
                <c:ptCount val="3"/>
                <c:pt idx="0">
                  <c:v>102.5</c:v>
                </c:pt>
                <c:pt idx="1">
                  <c:v>77.5</c:v>
                </c:pt>
                <c:pt idx="2">
                  <c:v>52.5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F7A-453B-8812-2A10242291D0}"/>
            </c:ext>
          </c:extLst>
        </c:ser>
        <c:ser>
          <c:idx val="12"/>
          <c:order val="12"/>
          <c:tx>
            <c:strRef>
              <c:f>DiseñoSinuoso!$Q$29</c:f>
              <c:strCache>
                <c:ptCount val="1"/>
                <c:pt idx="0">
                  <c:v>B'</c:v>
                </c:pt>
              </c:strCache>
            </c:strRef>
          </c:tx>
          <c:spPr>
            <a:ln w="6350" cap="rnd">
              <a:solidFill>
                <a:schemeClr val="accent4">
                  <a:lumMod val="60000"/>
                  <a:lumOff val="4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351851851851851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B'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9F7A-453B-8812-2A10242291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(DiseñoSinuoso!$E$24,DiseñoSinuoso!$E$24,DiseñoSinuoso!$E$24)</c:f>
              <c:numCache>
                <c:formatCode>0.0</c:formatCode>
                <c:ptCount val="3"/>
                <c:pt idx="0">
                  <c:v>114.77821135451765</c:v>
                </c:pt>
                <c:pt idx="1">
                  <c:v>114.77821135451765</c:v>
                </c:pt>
                <c:pt idx="2">
                  <c:v>114.77821135451765</c:v>
                </c:pt>
              </c:numCache>
            </c:numRef>
          </c:xVal>
          <c:yVal>
            <c:numRef>
              <c:f>DiseñoSinuoso!$Q$30:$Q$32</c:f>
              <c:numCache>
                <c:formatCode>General</c:formatCode>
                <c:ptCount val="3"/>
                <c:pt idx="0">
                  <c:v>125.52716092000003</c:v>
                </c:pt>
                <c:pt idx="1">
                  <c:v>0</c:v>
                </c:pt>
                <c:pt idx="2">
                  <c:v>-125.52716092000003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F7A-453B-8812-2A1024229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299984"/>
        <c:axId val="1263303248"/>
      </c:scatterChart>
      <c:valAx>
        <c:axId val="1263299984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1263303248"/>
        <c:crosses val="autoZero"/>
        <c:crossBetween val="midCat"/>
      </c:valAx>
      <c:valAx>
        <c:axId val="126330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1263299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1.523171984376584E-2"/>
          <c:y val="0.85481249999999986"/>
          <c:w val="0.95739555555555556"/>
          <c:h val="0.145187409766398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s-CO" sz="1000" b="0" i="0" baseline="0">
                <a:effectLst/>
              </a:rPr>
              <a:t>Esquema de Meandros del Diseño Sinuoso</a:t>
            </a:r>
            <a:endParaRPr lang="es-CO" sz="1000">
              <a:effectLst/>
            </a:endParaRPr>
          </a:p>
        </c:rich>
      </c:tx>
      <c:layout>
        <c:manualLayout>
          <c:xMode val="edge"/>
          <c:yMode val="edge"/>
          <c:x val="0.30504907407407406"/>
          <c:y val="1.749632221337201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7447594349193463E-2"/>
          <c:y val="5.7257242815793981E-2"/>
          <c:w val="0.90408085624429335"/>
          <c:h val="0.7973818181818181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DiseñoSinuoso!$G$29</c:f>
              <c:strCache>
                <c:ptCount val="1"/>
                <c:pt idx="0">
                  <c:v>Lc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xVal>
            <c:numRef>
              <c:f>DiseñoSinuoso!$C$30:$C$130</c:f>
              <c:numCache>
                <c:formatCode>0</c:formatCode>
                <c:ptCount val="101"/>
                <c:pt idx="0">
                  <c:v>0</c:v>
                </c:pt>
                <c:pt idx="1">
                  <c:v>524.95187484110147</c:v>
                </c:pt>
                <c:pt idx="2">
                  <c:v>1049.9037496822029</c:v>
                </c:pt>
                <c:pt idx="3">
                  <c:v>1574.8556245233044</c:v>
                </c:pt>
                <c:pt idx="4">
                  <c:v>2099.8074993644059</c:v>
                </c:pt>
                <c:pt idx="5">
                  <c:v>2624.7593742055074</c:v>
                </c:pt>
                <c:pt idx="6">
                  <c:v>3149.7112490466088</c:v>
                </c:pt>
                <c:pt idx="7">
                  <c:v>3674.6631238877103</c:v>
                </c:pt>
                <c:pt idx="8">
                  <c:v>4199.6149987288118</c:v>
                </c:pt>
                <c:pt idx="9">
                  <c:v>4724.5668735699128</c:v>
                </c:pt>
                <c:pt idx="10">
                  <c:v>5249.5187484110147</c:v>
                </c:pt>
                <c:pt idx="11">
                  <c:v>5774.4706232521166</c:v>
                </c:pt>
                <c:pt idx="12">
                  <c:v>6299.4224980932177</c:v>
                </c:pt>
                <c:pt idx="13">
                  <c:v>6824.3743729343187</c:v>
                </c:pt>
                <c:pt idx="14">
                  <c:v>7349.3262477754206</c:v>
                </c:pt>
                <c:pt idx="15">
                  <c:v>7874.2781226165225</c:v>
                </c:pt>
                <c:pt idx="16">
                  <c:v>8399.2299974576235</c:v>
                </c:pt>
                <c:pt idx="17">
                  <c:v>8924.1818722987246</c:v>
                </c:pt>
                <c:pt idx="18">
                  <c:v>9449.1337471398256</c:v>
                </c:pt>
                <c:pt idx="19">
                  <c:v>9974.0856219809284</c:v>
                </c:pt>
                <c:pt idx="20">
                  <c:v>10499.037496822029</c:v>
                </c:pt>
                <c:pt idx="21">
                  <c:v>11023.98937166313</c:v>
                </c:pt>
                <c:pt idx="22">
                  <c:v>11548.941246504233</c:v>
                </c:pt>
                <c:pt idx="23">
                  <c:v>12073.893121345334</c:v>
                </c:pt>
                <c:pt idx="24">
                  <c:v>12598.844996186435</c:v>
                </c:pt>
                <c:pt idx="25">
                  <c:v>13123.796871027536</c:v>
                </c:pt>
                <c:pt idx="26">
                  <c:v>13648.748745868637</c:v>
                </c:pt>
                <c:pt idx="27">
                  <c:v>14173.70062070974</c:v>
                </c:pt>
                <c:pt idx="28">
                  <c:v>14698.652495550841</c:v>
                </c:pt>
                <c:pt idx="29">
                  <c:v>15223.604370391942</c:v>
                </c:pt>
                <c:pt idx="30">
                  <c:v>15748.556245233045</c:v>
                </c:pt>
                <c:pt idx="31">
                  <c:v>16273.508120074146</c:v>
                </c:pt>
                <c:pt idx="32">
                  <c:v>16798.459994915247</c:v>
                </c:pt>
                <c:pt idx="33">
                  <c:v>17323.41186975635</c:v>
                </c:pt>
                <c:pt idx="34">
                  <c:v>17848.363744597449</c:v>
                </c:pt>
                <c:pt idx="35">
                  <c:v>18373.315619438552</c:v>
                </c:pt>
                <c:pt idx="36">
                  <c:v>18898.267494279651</c:v>
                </c:pt>
                <c:pt idx="37">
                  <c:v>19423.219369120754</c:v>
                </c:pt>
                <c:pt idx="38">
                  <c:v>19948.171243961857</c:v>
                </c:pt>
                <c:pt idx="39">
                  <c:v>20473.123118802956</c:v>
                </c:pt>
                <c:pt idx="40">
                  <c:v>20998.074993644059</c:v>
                </c:pt>
                <c:pt idx="41">
                  <c:v>21523.026868485162</c:v>
                </c:pt>
                <c:pt idx="42">
                  <c:v>22047.978743326261</c:v>
                </c:pt>
                <c:pt idx="43">
                  <c:v>22572.930618167364</c:v>
                </c:pt>
                <c:pt idx="44">
                  <c:v>23097.882493008467</c:v>
                </c:pt>
                <c:pt idx="45">
                  <c:v>23622.834367849566</c:v>
                </c:pt>
                <c:pt idx="46">
                  <c:v>24147.786242690669</c:v>
                </c:pt>
                <c:pt idx="47">
                  <c:v>24027</c:v>
                </c:pt>
                <c:pt idx="48">
                  <c:v>24027</c:v>
                </c:pt>
                <c:pt idx="49">
                  <c:v>24027</c:v>
                </c:pt>
                <c:pt idx="50">
                  <c:v>24027</c:v>
                </c:pt>
                <c:pt idx="51">
                  <c:v>24027</c:v>
                </c:pt>
                <c:pt idx="52">
                  <c:v>24027</c:v>
                </c:pt>
                <c:pt idx="53">
                  <c:v>24027</c:v>
                </c:pt>
                <c:pt idx="54">
                  <c:v>24027</c:v>
                </c:pt>
                <c:pt idx="55">
                  <c:v>24027</c:v>
                </c:pt>
                <c:pt idx="56">
                  <c:v>24027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DiseñoSinuoso!$G$30:$G$130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D7-4436-B08B-B333B590D1BE}"/>
            </c:ext>
          </c:extLst>
        </c:ser>
        <c:ser>
          <c:idx val="2"/>
          <c:order val="1"/>
          <c:tx>
            <c:strRef>
              <c:f>DiseñoSinuoso!$D$29</c:f>
              <c:strCache>
                <c:ptCount val="1"/>
                <c:pt idx="0">
                  <c:v>Lr</c:v>
                </c:pt>
              </c:strCache>
            </c:strRef>
          </c:tx>
          <c:spPr>
            <a:ln w="9525" cap="rnd">
              <a:solidFill>
                <a:srgbClr val="00B0F0"/>
              </a:solidFill>
              <a:round/>
              <a:tailEnd type="stealth" w="sm" len="med"/>
            </a:ln>
            <a:effectLst/>
          </c:spPr>
          <c:marker>
            <c:symbol val="none"/>
          </c:marker>
          <c:xVal>
            <c:numRef>
              <c:f>DiseñoSinuoso!$C$30:$C$130</c:f>
              <c:numCache>
                <c:formatCode>0</c:formatCode>
                <c:ptCount val="101"/>
                <c:pt idx="0">
                  <c:v>0</c:v>
                </c:pt>
                <c:pt idx="1">
                  <c:v>524.95187484110147</c:v>
                </c:pt>
                <c:pt idx="2">
                  <c:v>1049.9037496822029</c:v>
                </c:pt>
                <c:pt idx="3">
                  <c:v>1574.8556245233044</c:v>
                </c:pt>
                <c:pt idx="4">
                  <c:v>2099.8074993644059</c:v>
                </c:pt>
                <c:pt idx="5">
                  <c:v>2624.7593742055074</c:v>
                </c:pt>
                <c:pt idx="6">
                  <c:v>3149.7112490466088</c:v>
                </c:pt>
                <c:pt idx="7">
                  <c:v>3674.6631238877103</c:v>
                </c:pt>
                <c:pt idx="8">
                  <c:v>4199.6149987288118</c:v>
                </c:pt>
                <c:pt idx="9">
                  <c:v>4724.5668735699128</c:v>
                </c:pt>
                <c:pt idx="10">
                  <c:v>5249.5187484110147</c:v>
                </c:pt>
                <c:pt idx="11">
                  <c:v>5774.4706232521166</c:v>
                </c:pt>
                <c:pt idx="12">
                  <c:v>6299.4224980932177</c:v>
                </c:pt>
                <c:pt idx="13">
                  <c:v>6824.3743729343187</c:v>
                </c:pt>
                <c:pt idx="14">
                  <c:v>7349.3262477754206</c:v>
                </c:pt>
                <c:pt idx="15">
                  <c:v>7874.2781226165225</c:v>
                </c:pt>
                <c:pt idx="16">
                  <c:v>8399.2299974576235</c:v>
                </c:pt>
                <c:pt idx="17">
                  <c:v>8924.1818722987246</c:v>
                </c:pt>
                <c:pt idx="18">
                  <c:v>9449.1337471398256</c:v>
                </c:pt>
                <c:pt idx="19">
                  <c:v>9974.0856219809284</c:v>
                </c:pt>
                <c:pt idx="20">
                  <c:v>10499.037496822029</c:v>
                </c:pt>
                <c:pt idx="21">
                  <c:v>11023.98937166313</c:v>
                </c:pt>
                <c:pt idx="22">
                  <c:v>11548.941246504233</c:v>
                </c:pt>
                <c:pt idx="23">
                  <c:v>12073.893121345334</c:v>
                </c:pt>
                <c:pt idx="24">
                  <c:v>12598.844996186435</c:v>
                </c:pt>
                <c:pt idx="25">
                  <c:v>13123.796871027536</c:v>
                </c:pt>
                <c:pt idx="26">
                  <c:v>13648.748745868637</c:v>
                </c:pt>
                <c:pt idx="27">
                  <c:v>14173.70062070974</c:v>
                </c:pt>
                <c:pt idx="28">
                  <c:v>14698.652495550841</c:v>
                </c:pt>
                <c:pt idx="29">
                  <c:v>15223.604370391942</c:v>
                </c:pt>
                <c:pt idx="30">
                  <c:v>15748.556245233045</c:v>
                </c:pt>
                <c:pt idx="31">
                  <c:v>16273.508120074146</c:v>
                </c:pt>
                <c:pt idx="32">
                  <c:v>16798.459994915247</c:v>
                </c:pt>
                <c:pt idx="33">
                  <c:v>17323.41186975635</c:v>
                </c:pt>
                <c:pt idx="34">
                  <c:v>17848.363744597449</c:v>
                </c:pt>
                <c:pt idx="35">
                  <c:v>18373.315619438552</c:v>
                </c:pt>
                <c:pt idx="36">
                  <c:v>18898.267494279651</c:v>
                </c:pt>
                <c:pt idx="37">
                  <c:v>19423.219369120754</c:v>
                </c:pt>
                <c:pt idx="38">
                  <c:v>19948.171243961857</c:v>
                </c:pt>
                <c:pt idx="39">
                  <c:v>20473.123118802956</c:v>
                </c:pt>
                <c:pt idx="40">
                  <c:v>20998.074993644059</c:v>
                </c:pt>
                <c:pt idx="41">
                  <c:v>21523.026868485162</c:v>
                </c:pt>
                <c:pt idx="42">
                  <c:v>22047.978743326261</c:v>
                </c:pt>
                <c:pt idx="43">
                  <c:v>22572.930618167364</c:v>
                </c:pt>
                <c:pt idx="44">
                  <c:v>23097.882493008467</c:v>
                </c:pt>
                <c:pt idx="45">
                  <c:v>23622.834367849566</c:v>
                </c:pt>
                <c:pt idx="46">
                  <c:v>24147.786242690669</c:v>
                </c:pt>
                <c:pt idx="47">
                  <c:v>24027</c:v>
                </c:pt>
                <c:pt idx="48">
                  <c:v>24027</c:v>
                </c:pt>
                <c:pt idx="49">
                  <c:v>24027</c:v>
                </c:pt>
                <c:pt idx="50">
                  <c:v>24027</c:v>
                </c:pt>
                <c:pt idx="51">
                  <c:v>24027</c:v>
                </c:pt>
                <c:pt idx="52">
                  <c:v>24027</c:v>
                </c:pt>
                <c:pt idx="53">
                  <c:v>24027</c:v>
                </c:pt>
                <c:pt idx="54">
                  <c:v>24027</c:v>
                </c:pt>
                <c:pt idx="55">
                  <c:v>24027</c:v>
                </c:pt>
                <c:pt idx="56">
                  <c:v>24027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DiseñoSinuoso!$D$30:$D$130</c:f>
              <c:numCache>
                <c:formatCode>General</c:formatCode>
                <c:ptCount val="101"/>
                <c:pt idx="0">
                  <c:v>77.5</c:v>
                </c:pt>
                <c:pt idx="1">
                  <c:v>-77.5</c:v>
                </c:pt>
                <c:pt idx="2">
                  <c:v>77.5</c:v>
                </c:pt>
                <c:pt idx="3">
                  <c:v>-77.5</c:v>
                </c:pt>
                <c:pt idx="4">
                  <c:v>77.5</c:v>
                </c:pt>
                <c:pt idx="5">
                  <c:v>-77.5</c:v>
                </c:pt>
                <c:pt idx="6">
                  <c:v>77.5</c:v>
                </c:pt>
                <c:pt idx="7">
                  <c:v>-77.5</c:v>
                </c:pt>
                <c:pt idx="8">
                  <c:v>77.5</c:v>
                </c:pt>
                <c:pt idx="9">
                  <c:v>-77.5</c:v>
                </c:pt>
                <c:pt idx="10">
                  <c:v>77.5</c:v>
                </c:pt>
                <c:pt idx="11">
                  <c:v>-77.5</c:v>
                </c:pt>
                <c:pt idx="12">
                  <c:v>77.5</c:v>
                </c:pt>
                <c:pt idx="13">
                  <c:v>-77.5</c:v>
                </c:pt>
                <c:pt idx="14">
                  <c:v>77.5</c:v>
                </c:pt>
                <c:pt idx="15">
                  <c:v>-77.5</c:v>
                </c:pt>
                <c:pt idx="16">
                  <c:v>77.5</c:v>
                </c:pt>
                <c:pt idx="17">
                  <c:v>-77.5</c:v>
                </c:pt>
                <c:pt idx="18">
                  <c:v>77.5</c:v>
                </c:pt>
                <c:pt idx="19">
                  <c:v>-77.5</c:v>
                </c:pt>
                <c:pt idx="20">
                  <c:v>77.5</c:v>
                </c:pt>
                <c:pt idx="21">
                  <c:v>-77.5</c:v>
                </c:pt>
                <c:pt idx="22">
                  <c:v>77.5</c:v>
                </c:pt>
                <c:pt idx="23">
                  <c:v>-77.5</c:v>
                </c:pt>
                <c:pt idx="24">
                  <c:v>77.5</c:v>
                </c:pt>
                <c:pt idx="25">
                  <c:v>-77.5</c:v>
                </c:pt>
                <c:pt idx="26">
                  <c:v>77.5</c:v>
                </c:pt>
                <c:pt idx="27">
                  <c:v>-77.5</c:v>
                </c:pt>
                <c:pt idx="28">
                  <c:v>77.5</c:v>
                </c:pt>
                <c:pt idx="29">
                  <c:v>-77.5</c:v>
                </c:pt>
                <c:pt idx="30">
                  <c:v>77.5</c:v>
                </c:pt>
                <c:pt idx="31">
                  <c:v>-77.5</c:v>
                </c:pt>
                <c:pt idx="32">
                  <c:v>77.5</c:v>
                </c:pt>
                <c:pt idx="33">
                  <c:v>-77.5</c:v>
                </c:pt>
                <c:pt idx="34">
                  <c:v>77.5</c:v>
                </c:pt>
                <c:pt idx="35">
                  <c:v>-77.5</c:v>
                </c:pt>
                <c:pt idx="36">
                  <c:v>77.5</c:v>
                </c:pt>
                <c:pt idx="37">
                  <c:v>-77.5</c:v>
                </c:pt>
                <c:pt idx="38">
                  <c:v>77.5</c:v>
                </c:pt>
                <c:pt idx="39">
                  <c:v>-77.5</c:v>
                </c:pt>
                <c:pt idx="40">
                  <c:v>77.5</c:v>
                </c:pt>
                <c:pt idx="41">
                  <c:v>-77.5</c:v>
                </c:pt>
                <c:pt idx="42">
                  <c:v>77.5</c:v>
                </c:pt>
                <c:pt idx="43">
                  <c:v>-77.5</c:v>
                </c:pt>
                <c:pt idx="44">
                  <c:v>77.5</c:v>
                </c:pt>
                <c:pt idx="45">
                  <c:v>-77.5</c:v>
                </c:pt>
                <c:pt idx="46">
                  <c:v>77.5</c:v>
                </c:pt>
                <c:pt idx="47">
                  <c:v>-77.5</c:v>
                </c:pt>
                <c:pt idx="48">
                  <c:v>77.5</c:v>
                </c:pt>
                <c:pt idx="49">
                  <c:v>-77.5</c:v>
                </c:pt>
                <c:pt idx="50">
                  <c:v>77.5</c:v>
                </c:pt>
                <c:pt idx="51">
                  <c:v>-77.5</c:v>
                </c:pt>
                <c:pt idx="52">
                  <c:v>77.5</c:v>
                </c:pt>
                <c:pt idx="53">
                  <c:v>-77.5</c:v>
                </c:pt>
                <c:pt idx="54">
                  <c:v>77.5</c:v>
                </c:pt>
                <c:pt idx="55">
                  <c:v>-77.5</c:v>
                </c:pt>
                <c:pt idx="56">
                  <c:v>77.5</c:v>
                </c:pt>
                <c:pt idx="57">
                  <c:v>-77.5</c:v>
                </c:pt>
                <c:pt idx="58">
                  <c:v>77.5</c:v>
                </c:pt>
                <c:pt idx="59">
                  <c:v>-77.5</c:v>
                </c:pt>
                <c:pt idx="60">
                  <c:v>77.5</c:v>
                </c:pt>
                <c:pt idx="61">
                  <c:v>-77.5</c:v>
                </c:pt>
                <c:pt idx="62">
                  <c:v>77.5</c:v>
                </c:pt>
                <c:pt idx="63">
                  <c:v>-77.5</c:v>
                </c:pt>
                <c:pt idx="64">
                  <c:v>77.5</c:v>
                </c:pt>
                <c:pt idx="65">
                  <c:v>-77.5</c:v>
                </c:pt>
                <c:pt idx="66">
                  <c:v>77.5</c:v>
                </c:pt>
                <c:pt idx="67">
                  <c:v>-77.5</c:v>
                </c:pt>
                <c:pt idx="68">
                  <c:v>77.5</c:v>
                </c:pt>
                <c:pt idx="69">
                  <c:v>-77.5</c:v>
                </c:pt>
                <c:pt idx="70">
                  <c:v>77.5</c:v>
                </c:pt>
                <c:pt idx="71">
                  <c:v>-77.5</c:v>
                </c:pt>
                <c:pt idx="72">
                  <c:v>77.5</c:v>
                </c:pt>
                <c:pt idx="73">
                  <c:v>-77.5</c:v>
                </c:pt>
                <c:pt idx="74">
                  <c:v>77.5</c:v>
                </c:pt>
                <c:pt idx="75">
                  <c:v>-77.5</c:v>
                </c:pt>
                <c:pt idx="76">
                  <c:v>77.5</c:v>
                </c:pt>
                <c:pt idx="77">
                  <c:v>-77.5</c:v>
                </c:pt>
                <c:pt idx="78">
                  <c:v>77.5</c:v>
                </c:pt>
                <c:pt idx="79">
                  <c:v>-77.5</c:v>
                </c:pt>
                <c:pt idx="80">
                  <c:v>77.5</c:v>
                </c:pt>
                <c:pt idx="81">
                  <c:v>-77.5</c:v>
                </c:pt>
                <c:pt idx="82">
                  <c:v>77.5</c:v>
                </c:pt>
                <c:pt idx="83">
                  <c:v>-77.5</c:v>
                </c:pt>
                <c:pt idx="84">
                  <c:v>77.5</c:v>
                </c:pt>
                <c:pt idx="85">
                  <c:v>-77.5</c:v>
                </c:pt>
                <c:pt idx="86">
                  <c:v>77.5</c:v>
                </c:pt>
                <c:pt idx="87">
                  <c:v>-77.5</c:v>
                </c:pt>
                <c:pt idx="88">
                  <c:v>77.5</c:v>
                </c:pt>
                <c:pt idx="89">
                  <c:v>-77.5</c:v>
                </c:pt>
                <c:pt idx="90">
                  <c:v>77.5</c:v>
                </c:pt>
                <c:pt idx="91">
                  <c:v>-77.5</c:v>
                </c:pt>
                <c:pt idx="92">
                  <c:v>77.5</c:v>
                </c:pt>
                <c:pt idx="93">
                  <c:v>-77.5</c:v>
                </c:pt>
                <c:pt idx="94">
                  <c:v>77.5</c:v>
                </c:pt>
                <c:pt idx="95">
                  <c:v>-77.5</c:v>
                </c:pt>
                <c:pt idx="96">
                  <c:v>77.5</c:v>
                </c:pt>
                <c:pt idx="97">
                  <c:v>-77.5</c:v>
                </c:pt>
                <c:pt idx="98">
                  <c:v>77.5</c:v>
                </c:pt>
                <c:pt idx="99">
                  <c:v>-77.5</c:v>
                </c:pt>
                <c:pt idx="100">
                  <c:v>77.5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D7-4436-B08B-B333B590D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290192"/>
        <c:axId val="1263295632"/>
      </c:scatterChart>
      <c:valAx>
        <c:axId val="126329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1263295632"/>
        <c:crosses val="autoZero"/>
        <c:crossBetween val="midCat"/>
        <c:majorUnit val="1000"/>
        <c:minorUnit val="500"/>
      </c:valAx>
      <c:valAx>
        <c:axId val="12632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1263290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192230141016524E-3"/>
          <c:y val="0.93581994949494962"/>
          <c:w val="0.99080776985898344"/>
          <c:h val="5.26878787878787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 1 Vs Longitud tramo</a:t>
            </a:r>
            <a:br>
              <a:rPr lang="en-US" sz="1000"/>
            </a:br>
            <a:r>
              <a:rPr lang="en-US" sz="1000"/>
              <a:t>(Valle</a:t>
            </a:r>
            <a:r>
              <a:rPr lang="en-US" sz="1000" baseline="0"/>
              <a:t> recto)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5974461740321"/>
          <c:y val="0.12207942312533328"/>
          <c:w val="0.83406201638659039"/>
          <c:h val="0.66804668700380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CALCULOSINUOSIDAD!$O$3</c:f>
              <c:strCache>
                <c:ptCount val="1"/>
                <c:pt idx="0">
                  <c:v>Indice de Sinuosidad 2 (Lv/Lr)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3190290724005913"/>
                  <c:y val="0.30598312576636466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CALCULOSINUOSIDAD!$M$5:$M$30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CALCULOSINUOSIDAD!$O$5:$O$30</c:f>
              <c:numCache>
                <c:formatCode>0.00</c:formatCode>
                <c:ptCount val="26"/>
                <c:pt idx="0">
                  <c:v>0.79833219219865903</c:v>
                </c:pt>
                <c:pt idx="1">
                  <c:v>0.92135943461250724</c:v>
                </c:pt>
                <c:pt idx="2">
                  <c:v>0.92106461907387749</c:v>
                </c:pt>
                <c:pt idx="3">
                  <c:v>1</c:v>
                </c:pt>
                <c:pt idx="4">
                  <c:v>0.8188023456690795</c:v>
                </c:pt>
                <c:pt idx="5">
                  <c:v>0.8041907257526647</c:v>
                </c:pt>
                <c:pt idx="6">
                  <c:v>0.76555256538133598</c:v>
                </c:pt>
                <c:pt idx="7">
                  <c:v>0.89474715053954923</c:v>
                </c:pt>
                <c:pt idx="8">
                  <c:v>0.77843703863293046</c:v>
                </c:pt>
                <c:pt idx="9">
                  <c:v>0.8800548442874927</c:v>
                </c:pt>
                <c:pt idx="10">
                  <c:v>0.8594766630978623</c:v>
                </c:pt>
                <c:pt idx="11">
                  <c:v>0.83019376503264519</c:v>
                </c:pt>
                <c:pt idx="12">
                  <c:v>0.71883538711151795</c:v>
                </c:pt>
                <c:pt idx="13">
                  <c:v>0.83641163055301593</c:v>
                </c:pt>
                <c:pt idx="14">
                  <c:v>0.80272252206573014</c:v>
                </c:pt>
                <c:pt idx="15">
                  <c:v>0.73047340540643513</c:v>
                </c:pt>
                <c:pt idx="16">
                  <c:v>0.81674656308179461</c:v>
                </c:pt>
                <c:pt idx="17">
                  <c:v>0.84230825909916862</c:v>
                </c:pt>
                <c:pt idx="18">
                  <c:v>0.73926542493285385</c:v>
                </c:pt>
                <c:pt idx="19">
                  <c:v>0.7450346292883343</c:v>
                </c:pt>
                <c:pt idx="20">
                  <c:v>0.84169936359037445</c:v>
                </c:pt>
                <c:pt idx="21">
                  <c:v>0.78646704623559638</c:v>
                </c:pt>
                <c:pt idx="22">
                  <c:v>0.79130098426160633</c:v>
                </c:pt>
                <c:pt idx="23">
                  <c:v>0.9283850939105327</c:v>
                </c:pt>
                <c:pt idx="24">
                  <c:v>0.95948258120178176</c:v>
                </c:pt>
                <c:pt idx="25">
                  <c:v>0.93405214028365158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DF-4CFD-8840-2717EAC49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137920"/>
        <c:axId val="1360130304"/>
      </c:scatterChart>
      <c:valAx>
        <c:axId val="136013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 sz="1000" b="0" i="0" baseline="0">
                    <a:effectLst/>
                  </a:rPr>
                  <a:t>Longitud del Río Lr (m)</a:t>
                </a:r>
                <a:endParaRPr lang="es-CO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39672660984929259"/>
              <c:y val="0.862494214200449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1360130304"/>
        <c:crosses val="autoZero"/>
        <c:crossBetween val="midCat"/>
      </c:valAx>
      <c:valAx>
        <c:axId val="136013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 de Sinuosidad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1360137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 2 Vs Longitud tramo</a:t>
            </a:r>
            <a:br>
              <a:rPr lang="en-US" sz="1000"/>
            </a:br>
            <a:r>
              <a:rPr lang="en-US" sz="1000"/>
              <a:t>(Valle suavizado tangente 2km)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59007936507934"/>
          <c:y val="0.12195635726063905"/>
          <c:w val="0.81889265873015882"/>
          <c:h val="0.6786838602770380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CALCULOSINUOSIDAD!$I$4</c:f>
              <c:strCache>
                <c:ptCount val="1"/>
                <c:pt idx="0">
                  <c:v>IndiceSinuosidad2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1875740740740741"/>
                  <c:y val="0.35254905332928804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CALCULOSINUOSIDAD!$D$5:$D$30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E4-4CFD-9CFA-6388320E2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141184"/>
        <c:axId val="1360130848"/>
      </c:scatterChart>
      <c:valAx>
        <c:axId val="13601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Longitud</a:t>
                </a:r>
                <a:r>
                  <a:rPr lang="es-CO" baseline="0"/>
                  <a:t> del Río Lr (m)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1360130848"/>
        <c:crosses val="autoZero"/>
        <c:crossBetween val="midCat"/>
      </c:valAx>
      <c:valAx>
        <c:axId val="136013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</a:t>
                </a:r>
                <a:r>
                  <a:rPr lang="es-CO" baseline="0"/>
                  <a:t> de Sinuosidad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13601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168166666666668"/>
          <c:y val="0.92759749688895821"/>
          <c:w val="0.76643947815764002"/>
          <c:h val="6.52793644576198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Sinuosidad2 Vs Qm</a:t>
            </a:r>
            <a:br>
              <a:rPr lang="en-US" sz="1000"/>
            </a:br>
            <a:r>
              <a:rPr lang="en-US" sz="1000"/>
              <a:t>(Valle Suavizado tangente</a:t>
            </a:r>
            <a:r>
              <a:rPr lang="en-US" sz="1000" baseline="0"/>
              <a:t> 2km)</a:t>
            </a:r>
            <a:endParaRPr lang="en-US" sz="1000"/>
          </a:p>
        </c:rich>
      </c:tx>
      <c:layout>
        <c:manualLayout>
          <c:xMode val="edge"/>
          <c:yMode val="edge"/>
          <c:x val="0.3517009920634920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9984126984127"/>
          <c:y val="0.12175250000000001"/>
          <c:w val="0.84059900793650799"/>
          <c:h val="0.5958430555555555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CALCULOSINUOSIDAD!$U$3</c:f>
              <c:strCache>
                <c:ptCount val="1"/>
                <c:pt idx="0">
                  <c:v>Q Medio Natural Cenicafé (m3/s)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2.5031349206349113E-2"/>
                  <c:y val="0.25882555555555553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CALCULOSINUOSIDAD!$U$5:$U$30</c:f>
              <c:numCache>
                <c:formatCode>0.00</c:formatCode>
                <c:ptCount val="26"/>
                <c:pt idx="0">
                  <c:v>0.39746400713899999</c:v>
                </c:pt>
                <c:pt idx="1">
                  <c:v>1.9762699604</c:v>
                </c:pt>
                <c:pt idx="2">
                  <c:v>1.77485001087</c:v>
                </c:pt>
                <c:pt idx="3">
                  <c:v>1.21992003918</c:v>
                </c:pt>
                <c:pt idx="4">
                  <c:v>1.1562299728400001</c:v>
                </c:pt>
                <c:pt idx="5">
                  <c:v>0.61550897359800005</c:v>
                </c:pt>
                <c:pt idx="6">
                  <c:v>2.8408699035599998</c:v>
                </c:pt>
                <c:pt idx="7">
                  <c:v>3.9305400848400001</c:v>
                </c:pt>
                <c:pt idx="8">
                  <c:v>3.2136399745899999</c:v>
                </c:pt>
                <c:pt idx="9">
                  <c:v>2.3293600082400001</c:v>
                </c:pt>
                <c:pt idx="10">
                  <c:v>1.1562299728400001</c:v>
                </c:pt>
                <c:pt idx="11">
                  <c:v>3.9305400848400001</c:v>
                </c:pt>
                <c:pt idx="12">
                  <c:v>2.8180799484299999</c:v>
                </c:pt>
                <c:pt idx="13">
                  <c:v>4.6260800361600003</c:v>
                </c:pt>
                <c:pt idx="14">
                  <c:v>0.987866997719</c:v>
                </c:pt>
                <c:pt idx="15">
                  <c:v>3.2136399745899999</c:v>
                </c:pt>
                <c:pt idx="16">
                  <c:v>4.6260800361600003</c:v>
                </c:pt>
                <c:pt idx="17">
                  <c:v>0.61273598670999996</c:v>
                </c:pt>
                <c:pt idx="18">
                  <c:v>4.8513298034699996</c:v>
                </c:pt>
                <c:pt idx="19">
                  <c:v>5.5006399154699999</c:v>
                </c:pt>
                <c:pt idx="20">
                  <c:v>5.4903798103300003</c:v>
                </c:pt>
                <c:pt idx="21">
                  <c:v>5.17547988892</c:v>
                </c:pt>
                <c:pt idx="22">
                  <c:v>2.8180799484299999</c:v>
                </c:pt>
                <c:pt idx="23">
                  <c:v>5.5637202262900001</c:v>
                </c:pt>
                <c:pt idx="24">
                  <c:v>5.1854500770599996</c:v>
                </c:pt>
                <c:pt idx="25">
                  <c:v>0.98973298072799998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AD-4CF8-A081-2D688AB8E385}"/>
            </c:ext>
          </c:extLst>
        </c:ser>
        <c:ser>
          <c:idx val="1"/>
          <c:order val="1"/>
          <c:tx>
            <c:strRef>
              <c:f>CALCULOSINUOSIDAD!$V$3</c:f>
              <c:strCache>
                <c:ptCount val="1"/>
                <c:pt idx="0">
                  <c:v>Q Medio Natural Turc (m3/s)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CALCULOSINUOSIDAD!$V$5:$V$30</c:f>
              <c:numCache>
                <c:formatCode>0.00</c:formatCode>
                <c:ptCount val="26"/>
                <c:pt idx="0">
                  <c:v>0.212243005633</c:v>
                </c:pt>
                <c:pt idx="1">
                  <c:v>1.3838000297499999</c:v>
                </c:pt>
                <c:pt idx="2">
                  <c:v>1.27044999599</c:v>
                </c:pt>
                <c:pt idx="3">
                  <c:v>0.84997302293800003</c:v>
                </c:pt>
                <c:pt idx="4">
                  <c:v>0.814208984375</c:v>
                </c:pt>
                <c:pt idx="5">
                  <c:v>0.32557201385500001</c:v>
                </c:pt>
                <c:pt idx="6">
                  <c:v>1.8976800441699999</c:v>
                </c:pt>
                <c:pt idx="7">
                  <c:v>2.4770998954799999</c:v>
                </c:pt>
                <c:pt idx="8">
                  <c:v>2.1009199619299999</c:v>
                </c:pt>
                <c:pt idx="9">
                  <c:v>1.5946799516700001</c:v>
                </c:pt>
                <c:pt idx="10">
                  <c:v>0.814208984375</c:v>
                </c:pt>
                <c:pt idx="11">
                  <c:v>2.4770998954799999</c:v>
                </c:pt>
                <c:pt idx="12">
                  <c:v>1.8853600025199999</c:v>
                </c:pt>
                <c:pt idx="13">
                  <c:v>2.8387699127200001</c:v>
                </c:pt>
                <c:pt idx="14">
                  <c:v>0.71818500757199999</c:v>
                </c:pt>
                <c:pt idx="15">
                  <c:v>2.1009199619299999</c:v>
                </c:pt>
                <c:pt idx="16">
                  <c:v>2.8387699127200001</c:v>
                </c:pt>
                <c:pt idx="17">
                  <c:v>0.32110199332200001</c:v>
                </c:pt>
                <c:pt idx="18">
                  <c:v>2.9491500854499999</c:v>
                </c:pt>
                <c:pt idx="19">
                  <c:v>3.2609701156600002</c:v>
                </c:pt>
                <c:pt idx="20">
                  <c:v>3.25608992577</c:v>
                </c:pt>
                <c:pt idx="21">
                  <c:v>3.1074199676499998</c:v>
                </c:pt>
                <c:pt idx="22">
                  <c:v>1.8853600025199999</c:v>
                </c:pt>
                <c:pt idx="23">
                  <c:v>3.2902300357800001</c:v>
                </c:pt>
                <c:pt idx="24">
                  <c:v>3.1121299266800002</c:v>
                </c:pt>
                <c:pt idx="25">
                  <c:v>0.719223976135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AD-4CF8-A081-2D688AB8E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142272"/>
        <c:axId val="1360131936"/>
      </c:scatterChart>
      <c:valAx>
        <c:axId val="136014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Caudal</a:t>
                </a:r>
                <a:r>
                  <a:rPr lang="es-CO" baseline="0"/>
                  <a:t> Medio Qm (m3/s)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1360131936"/>
        <c:crosses val="autoZero"/>
        <c:crossBetween val="midCat"/>
      </c:valAx>
      <c:valAx>
        <c:axId val="1360131936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 de Sinuosidad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136014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0317460317462E-2"/>
          <c:y val="0.85271972222222225"/>
          <c:w val="0.95621904761904764"/>
          <c:h val="0.1402247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/>
              <a:t>y=Sin(x)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'y=sin(x)'!$C$3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'y=sin(x)'!$B$4:$B$24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'y=sin(x)'!$C$4:$C$24</c:f>
              <c:numCache>
                <c:formatCode>General</c:formatCode>
                <c:ptCount val="21"/>
                <c:pt idx="0">
                  <c:v>0</c:v>
                </c:pt>
                <c:pt idx="1">
                  <c:v>0.47942553860420301</c:v>
                </c:pt>
                <c:pt idx="2">
                  <c:v>0.8414709848078965</c:v>
                </c:pt>
                <c:pt idx="3">
                  <c:v>0.99749498660405445</c:v>
                </c:pt>
                <c:pt idx="4">
                  <c:v>0.90929742682568171</c:v>
                </c:pt>
                <c:pt idx="5">
                  <c:v>0.59847214410395655</c:v>
                </c:pt>
                <c:pt idx="6">
                  <c:v>0.14112000805986721</c:v>
                </c:pt>
                <c:pt idx="7">
                  <c:v>-0.35078322768961984</c:v>
                </c:pt>
                <c:pt idx="8">
                  <c:v>-0.7568024953079282</c:v>
                </c:pt>
                <c:pt idx="9">
                  <c:v>-0.97753011766509701</c:v>
                </c:pt>
                <c:pt idx="10">
                  <c:v>-0.95892427466313845</c:v>
                </c:pt>
                <c:pt idx="11">
                  <c:v>-0.70554032557039192</c:v>
                </c:pt>
                <c:pt idx="12">
                  <c:v>-0.27941549819892586</c:v>
                </c:pt>
                <c:pt idx="13">
                  <c:v>0.21511998808781552</c:v>
                </c:pt>
                <c:pt idx="14">
                  <c:v>0.65698659871878906</c:v>
                </c:pt>
                <c:pt idx="15">
                  <c:v>0.9379999767747389</c:v>
                </c:pt>
                <c:pt idx="16">
                  <c:v>0.98935824662338179</c:v>
                </c:pt>
                <c:pt idx="17">
                  <c:v>0.79848711262349026</c:v>
                </c:pt>
                <c:pt idx="18">
                  <c:v>0.41211848524175659</c:v>
                </c:pt>
                <c:pt idx="19">
                  <c:v>-7.5151120461809301E-2</c:v>
                </c:pt>
                <c:pt idx="20">
                  <c:v>-0.54402111088936977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02-423F-BE84-21CFC07BC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135744"/>
        <c:axId val="1360129760"/>
      </c:scatterChart>
      <c:valAx>
        <c:axId val="136013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1360129760"/>
        <c:crosses val="autoZero"/>
        <c:crossBetween val="midCat"/>
      </c:valAx>
      <c:valAx>
        <c:axId val="136012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136013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647953</xdr:colOff>
      <xdr:row>25</xdr:row>
      <xdr:rowOff>94290</xdr:rowOff>
    </xdr:from>
    <xdr:to>
      <xdr:col>4</xdr:col>
      <xdr:colOff>709117</xdr:colOff>
      <xdr:row>27</xdr:row>
      <xdr:rowOff>99390</xdr:rowOff>
    </xdr:to>
    <xdr:sp macro="[0]!FUNCIONOBJ_ALPHA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72562" y="4434377"/>
          <a:ext cx="823164" cy="33640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050">
              <a:solidFill>
                <a:schemeClr val="tx1"/>
              </a:solidFill>
            </a:rPr>
            <a:t>Calcular </a:t>
          </a:r>
          <a:r>
            <a:rPr lang="es-CO" sz="1200" baseline="0">
              <a:solidFill>
                <a:schemeClr val="tx1"/>
              </a:solidFill>
              <a:latin typeface="Symbol" panose="05050102010706020507" pitchFamily="18" charset="2"/>
            </a:rPr>
            <a:t>a</a:t>
          </a:r>
          <a:endParaRPr lang="es-CO" sz="1050">
            <a:solidFill>
              <a:schemeClr val="tx1"/>
            </a:solidFill>
            <a:latin typeface="Symbol" panose="05050102010706020507" pitchFamily="18" charset="2"/>
          </a:endParaRPr>
        </a:p>
      </xdr:txBody>
    </xdr:sp>
    <xdr:clientData/>
  </xdr:twoCellAnchor>
  <xdr:twoCellAnchor editAs="oneCell">
    <xdr:from>
      <xdr:col>6</xdr:col>
      <xdr:colOff>153195</xdr:colOff>
      <xdr:row>2</xdr:row>
      <xdr:rowOff>26282</xdr:rowOff>
    </xdr:from>
    <xdr:to>
      <xdr:col>14</xdr:col>
      <xdr:colOff>451108</xdr:colOff>
      <xdr:row>21</xdr:row>
      <xdr:rowOff>2346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597145</xdr:colOff>
      <xdr:row>2</xdr:row>
      <xdr:rowOff>23351</xdr:rowOff>
    </xdr:from>
    <xdr:to>
      <xdr:col>21</xdr:col>
      <xdr:colOff>621732</xdr:colOff>
      <xdr:row>20</xdr:row>
      <xdr:rowOff>165068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36541</xdr:colOff>
      <xdr:row>30</xdr:row>
      <xdr:rowOff>142107</xdr:rowOff>
    </xdr:from>
    <xdr:to>
      <xdr:col>14</xdr:col>
      <xdr:colOff>896309</xdr:colOff>
      <xdr:row>52</xdr:row>
      <xdr:rowOff>97760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22679</xdr:colOff>
      <xdr:row>30</xdr:row>
      <xdr:rowOff>115436</xdr:rowOff>
    </xdr:from>
    <xdr:to>
      <xdr:col>8</xdr:col>
      <xdr:colOff>747440</xdr:colOff>
      <xdr:row>52</xdr:row>
      <xdr:rowOff>71089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44881</xdr:colOff>
      <xdr:row>30</xdr:row>
      <xdr:rowOff>137995</xdr:rowOff>
    </xdr:from>
    <xdr:to>
      <xdr:col>22</xdr:col>
      <xdr:colOff>604818</xdr:colOff>
      <xdr:row>52</xdr:row>
      <xdr:rowOff>93648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</xdr:row>
      <xdr:rowOff>33336</xdr:rowOff>
    </xdr:from>
    <xdr:to>
      <xdr:col>8</xdr:col>
      <xdr:colOff>276225</xdr:colOff>
      <xdr:row>24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H4"/>
  <sheetViews>
    <sheetView showGridLines="0" zoomScale="115" zoomScaleNormal="115" workbookViewId="0">
      <pane ySplit="5" topLeftCell="A6" activePane="bottomLeft" state="frozen"/>
      <selection pane="bottomLeft" activeCell="C4" sqref="C4"/>
    </sheetView>
  </sheetViews>
  <sheetFormatPr defaultColWidth="11.3984375" defaultRowHeight="13.15" x14ac:dyDescent="0.45"/>
  <cols>
    <col min="1" max="1" width="3" style="27" customWidth="1"/>
    <col min="2" max="2" width="14.59765625" style="27" customWidth="1"/>
    <col min="3" max="3" width="55.59765625" style="27" customWidth="1"/>
    <col min="4" max="4" width="4" style="26" customWidth="1"/>
    <col min="5" max="5" width="28.3984375" style="27" customWidth="1"/>
    <col min="6" max="6" width="26.59765625" style="28" customWidth="1"/>
    <col min="7" max="7" width="27" style="28" customWidth="1"/>
    <col min="8" max="8" width="11.3984375" style="28"/>
    <col min="9" max="16384" width="11.3984375" style="27"/>
  </cols>
  <sheetData>
    <row r="2" spans="2:3" x14ac:dyDescent="0.45">
      <c r="B2" s="24" t="s">
        <v>72</v>
      </c>
      <c r="C2" s="25" t="s">
        <v>73</v>
      </c>
    </row>
    <row r="3" spans="2:3" ht="26.25" x14ac:dyDescent="0.45">
      <c r="B3" s="24" t="s">
        <v>74</v>
      </c>
      <c r="C3" s="45" t="s">
        <v>75</v>
      </c>
    </row>
    <row r="4" spans="2:3" x14ac:dyDescent="0.45">
      <c r="B4" s="24" t="s">
        <v>76</v>
      </c>
      <c r="C4" s="2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Q330"/>
  <sheetViews>
    <sheetView showGridLines="0" zoomScale="115" zoomScaleNormal="115" workbookViewId="0">
      <selection activeCell="I25" sqref="I25"/>
    </sheetView>
  </sheetViews>
  <sheetFormatPr defaultColWidth="11.3984375" defaultRowHeight="13.15" x14ac:dyDescent="0.45"/>
  <cols>
    <col min="1" max="1" width="2.265625" style="14" customWidth="1"/>
    <col min="2" max="2" width="3.86328125" style="14" customWidth="1"/>
    <col min="3" max="3" width="15.265625" style="14" customWidth="1"/>
    <col min="4" max="4" width="11.3984375" style="14" customWidth="1"/>
    <col min="5" max="5" width="11.73046875" style="15" customWidth="1"/>
    <col min="6" max="6" width="32.86328125" style="14" customWidth="1"/>
    <col min="7" max="9" width="6.3984375" style="14" customWidth="1"/>
    <col min="10" max="11" width="11.3984375" style="14"/>
    <col min="12" max="12" width="11.3984375" style="15" customWidth="1"/>
    <col min="13" max="13" width="11.3984375" style="15"/>
    <col min="14" max="16" width="11.3984375" style="14"/>
    <col min="17" max="17" width="12" style="14" bestFit="1" customWidth="1"/>
    <col min="18" max="16384" width="11.3984375" style="14"/>
  </cols>
  <sheetData>
    <row r="1" spans="2:16" x14ac:dyDescent="0.45">
      <c r="P1" s="12" t="s">
        <v>109</v>
      </c>
    </row>
    <row r="2" spans="2:16" ht="12.75" customHeight="1" x14ac:dyDescent="0.45">
      <c r="B2" s="81" t="s">
        <v>102</v>
      </c>
      <c r="C2" s="82"/>
      <c r="D2" s="82"/>
      <c r="E2" s="82"/>
      <c r="F2" s="83"/>
    </row>
    <row r="3" spans="2:16" x14ac:dyDescent="0.45">
      <c r="B3" s="84"/>
      <c r="C3" s="85"/>
      <c r="D3" s="85"/>
      <c r="E3" s="85"/>
      <c r="F3" s="86"/>
    </row>
    <row r="4" spans="2:16" x14ac:dyDescent="0.45">
      <c r="B4" s="87"/>
      <c r="C4" s="88"/>
      <c r="D4" s="88"/>
      <c r="E4" s="88"/>
      <c r="F4" s="89"/>
    </row>
    <row r="5" spans="2:16" ht="15" customHeight="1" x14ac:dyDescent="0.45">
      <c r="B5" s="90" t="s">
        <v>70</v>
      </c>
      <c r="C5" s="91"/>
      <c r="D5" s="16" t="s">
        <v>62</v>
      </c>
      <c r="E5" s="1">
        <v>24027</v>
      </c>
      <c r="F5" s="5" t="s">
        <v>65</v>
      </c>
    </row>
    <row r="6" spans="2:16" x14ac:dyDescent="0.45">
      <c r="B6" s="92"/>
      <c r="C6" s="93"/>
      <c r="D6" s="17" t="s">
        <v>77</v>
      </c>
      <c r="E6" s="18">
        <f>1.2747*Lc^-0.046</f>
        <v>0.80148575250044629</v>
      </c>
      <c r="F6" s="6" t="s">
        <v>124</v>
      </c>
    </row>
    <row r="7" spans="2:16" x14ac:dyDescent="0.45">
      <c r="B7" s="92"/>
      <c r="C7" s="93"/>
      <c r="D7" s="17" t="s">
        <v>63</v>
      </c>
      <c r="E7" s="75">
        <f>Lc/FactSinuosidad</f>
        <v>29978.075000137473</v>
      </c>
      <c r="F7" s="6" t="s">
        <v>78</v>
      </c>
    </row>
    <row r="8" spans="2:16" ht="26.25" x14ac:dyDescent="0.45">
      <c r="B8" s="92"/>
      <c r="C8" s="93"/>
      <c r="D8" s="73" t="s">
        <v>64</v>
      </c>
      <c r="E8" s="2">
        <v>155</v>
      </c>
      <c r="F8" s="6" t="s">
        <v>130</v>
      </c>
    </row>
    <row r="9" spans="2:16" x14ac:dyDescent="0.45">
      <c r="B9" s="92"/>
      <c r="C9" s="93"/>
      <c r="D9" s="73" t="s">
        <v>128</v>
      </c>
      <c r="E9" s="79">
        <f>B-Rcurv+b_anchocanaldominante+(ch^2+Rcurv^2)^0.5</f>
        <v>251.05432184000006</v>
      </c>
      <c r="F9" s="6" t="s">
        <v>131</v>
      </c>
    </row>
    <row r="10" spans="2:16" ht="26.25" x14ac:dyDescent="0.45">
      <c r="B10" s="94"/>
      <c r="C10" s="95"/>
      <c r="D10" s="20" t="s">
        <v>79</v>
      </c>
      <c r="E10" s="4">
        <v>120</v>
      </c>
      <c r="F10" s="7" t="s">
        <v>86</v>
      </c>
    </row>
    <row r="11" spans="2:16" ht="12.75" customHeight="1" x14ac:dyDescent="0.45">
      <c r="B11" s="90" t="s">
        <v>66</v>
      </c>
      <c r="C11" s="91"/>
      <c r="D11" s="16" t="s">
        <v>57</v>
      </c>
      <c r="E11" s="21">
        <f>2*ATAN(Lc/(2*Bprima*(Lr/((2*Bprima/COS(alphaSemilla/2))-(4*(Rcurv*TAN((90*PI()/180)-(alphaSemilla/2))))+(2*Rcurv*alphaSemilla)))))</f>
        <v>1.615271730497049</v>
      </c>
      <c r="F11" s="5" t="s">
        <v>87</v>
      </c>
      <c r="H11" s="22"/>
    </row>
    <row r="12" spans="2:16" x14ac:dyDescent="0.45">
      <c r="B12" s="92"/>
      <c r="C12" s="93"/>
      <c r="D12" s="17" t="s">
        <v>58</v>
      </c>
      <c r="E12" s="3">
        <v>1.6152717304993331</v>
      </c>
      <c r="F12" s="6" t="s">
        <v>67</v>
      </c>
    </row>
    <row r="13" spans="2:16" x14ac:dyDescent="0.45">
      <c r="B13" s="94"/>
      <c r="C13" s="95"/>
      <c r="D13" s="20" t="s">
        <v>59</v>
      </c>
      <c r="E13" s="78">
        <f>alpha-alphaSemilla</f>
        <v>-2.2841728508637971E-12</v>
      </c>
      <c r="F13" s="7" t="s">
        <v>110</v>
      </c>
    </row>
    <row r="14" spans="2:16" ht="15" customHeight="1" x14ac:dyDescent="0.45">
      <c r="B14" s="90" t="s">
        <v>71</v>
      </c>
      <c r="C14" s="91"/>
      <c r="D14" s="16" t="s">
        <v>60</v>
      </c>
      <c r="E14" s="77">
        <f>+alpha*180/PI()</f>
        <v>92.548252924273854</v>
      </c>
      <c r="F14" s="5" t="s">
        <v>88</v>
      </c>
    </row>
    <row r="15" spans="2:16" x14ac:dyDescent="0.45">
      <c r="B15" s="92"/>
      <c r="C15" s="93"/>
      <c r="D15" s="17" t="s">
        <v>61</v>
      </c>
      <c r="E15" s="76">
        <f>Lr/((2*Bprima/COS(alphaSemilla/2))-(4*ch)+(2*E10*alphaSemilla))</f>
        <v>45.769909874639026</v>
      </c>
      <c r="F15" s="6" t="s">
        <v>89</v>
      </c>
    </row>
    <row r="16" spans="2:16" x14ac:dyDescent="0.45">
      <c r="B16" s="92"/>
      <c r="C16" s="93"/>
      <c r="D16" s="17" t="s">
        <v>82</v>
      </c>
      <c r="E16" s="19">
        <f>Bprima/COS(alpha/2)</f>
        <v>363.2105315644622</v>
      </c>
      <c r="F16" s="6" t="s">
        <v>68</v>
      </c>
    </row>
    <row r="17" spans="2:17" x14ac:dyDescent="0.45">
      <c r="B17" s="92"/>
      <c r="C17" s="93"/>
      <c r="D17" s="17" t="s">
        <v>83</v>
      </c>
      <c r="E17" s="75">
        <f>Lc/n</f>
        <v>524.95187484110147</v>
      </c>
      <c r="F17" s="6" t="s">
        <v>69</v>
      </c>
    </row>
    <row r="18" spans="2:17" x14ac:dyDescent="0.45">
      <c r="B18" s="92"/>
      <c r="C18" s="93"/>
      <c r="D18" s="17" t="s">
        <v>83</v>
      </c>
      <c r="E18" s="75">
        <f>2*Bprima*TAN(alpha/2)</f>
        <v>524.95187484110136</v>
      </c>
      <c r="F18" s="6" t="s">
        <v>84</v>
      </c>
    </row>
    <row r="19" spans="2:17" x14ac:dyDescent="0.45">
      <c r="B19" s="92"/>
      <c r="C19" s="93"/>
      <c r="D19" s="17" t="s">
        <v>80</v>
      </c>
      <c r="E19" s="19">
        <f>+Lr/n</f>
        <v>654.97343303156117</v>
      </c>
      <c r="F19" s="6" t="s">
        <v>81</v>
      </c>
    </row>
    <row r="20" spans="2:17" ht="26.25" x14ac:dyDescent="0.45">
      <c r="B20" s="92"/>
      <c r="C20" s="93"/>
      <c r="D20" s="17" t="s">
        <v>80</v>
      </c>
      <c r="E20" s="19">
        <f>2*(H-2*ch+(Rcurv*alphaSemilla/2))+(Rcurv*alphaSemilla)</f>
        <v>654.97343303069374</v>
      </c>
      <c r="F20" s="6" t="s">
        <v>85</v>
      </c>
    </row>
    <row r="21" spans="2:17" x14ac:dyDescent="0.45">
      <c r="B21" s="94"/>
      <c r="C21" s="95"/>
      <c r="D21" s="20" t="s">
        <v>90</v>
      </c>
      <c r="E21" s="23">
        <f>Lb*n</f>
        <v>29978.075000137476</v>
      </c>
      <c r="F21" s="7" t="s">
        <v>91</v>
      </c>
    </row>
    <row r="22" spans="2:17" ht="12.75" customHeight="1" x14ac:dyDescent="0.45">
      <c r="B22" s="90" t="s">
        <v>106</v>
      </c>
      <c r="C22" s="91"/>
      <c r="D22" s="16" t="s">
        <v>92</v>
      </c>
      <c r="E22" s="44">
        <v>50</v>
      </c>
      <c r="F22" s="5" t="s">
        <v>93</v>
      </c>
    </row>
    <row r="23" spans="2:17" x14ac:dyDescent="0.45">
      <c r="B23" s="92"/>
      <c r="C23" s="93"/>
      <c r="D23" s="64" t="s">
        <v>105</v>
      </c>
      <c r="E23" s="65">
        <f>B+b_anchocanaldominante</f>
        <v>205</v>
      </c>
      <c r="F23" s="66" t="s">
        <v>93</v>
      </c>
    </row>
    <row r="24" spans="2:17" x14ac:dyDescent="0.45">
      <c r="B24" s="92"/>
      <c r="C24" s="93"/>
      <c r="D24" s="67" t="s">
        <v>125</v>
      </c>
      <c r="E24" s="68">
        <f>+Rcurv*TAN((90*PI()/180)-(alphaSemilla/2))</f>
        <v>114.77821135451765</v>
      </c>
      <c r="F24" s="69"/>
    </row>
    <row r="25" spans="2:17" x14ac:dyDescent="0.45">
      <c r="B25" s="94"/>
      <c r="C25" s="95"/>
      <c r="D25" s="70" t="s">
        <v>126</v>
      </c>
      <c r="E25" s="71">
        <f>((TAN((90*PI()/180)-(alphaSemilla/2)))*180/PI())*2</f>
        <v>109.60511817790675</v>
      </c>
      <c r="F25" s="72" t="s">
        <v>127</v>
      </c>
      <c r="G25" s="63"/>
      <c r="H25" s="63"/>
    </row>
    <row r="29" spans="2:17" s="8" customFormat="1" ht="26.25" x14ac:dyDescent="0.45">
      <c r="B29" s="13" t="s">
        <v>99</v>
      </c>
      <c r="C29" s="13" t="s">
        <v>97</v>
      </c>
      <c r="D29" s="13" t="s">
        <v>94</v>
      </c>
      <c r="E29" s="13" t="s">
        <v>95</v>
      </c>
      <c r="F29" s="13" t="s">
        <v>96</v>
      </c>
      <c r="G29" s="13" t="s">
        <v>98</v>
      </c>
      <c r="H29" s="80" t="s">
        <v>100</v>
      </c>
      <c r="I29" s="80"/>
      <c r="J29" s="80" t="s">
        <v>101</v>
      </c>
      <c r="K29" s="80"/>
      <c r="L29" s="13" t="s">
        <v>103</v>
      </c>
      <c r="M29" s="13" t="s">
        <v>104</v>
      </c>
      <c r="N29" s="13" t="s">
        <v>56</v>
      </c>
      <c r="O29" s="13" t="s">
        <v>107</v>
      </c>
      <c r="P29" s="13" t="s">
        <v>108</v>
      </c>
      <c r="Q29" s="74" t="s">
        <v>129</v>
      </c>
    </row>
    <row r="30" spans="2:17" s="8" customFormat="1" x14ac:dyDescent="0.45">
      <c r="B30" s="9">
        <v>0</v>
      </c>
      <c r="C30" s="10">
        <f t="shared" ref="C30:C61" si="0">IF(B30=0,0,B30*Lm)</f>
        <v>0</v>
      </c>
      <c r="D30" s="9">
        <f>(B/2)</f>
        <v>77.5</v>
      </c>
      <c r="E30" s="9">
        <f t="shared" ref="E30:E61" si="1">D30+(b_anchocanaldominante/2)</f>
        <v>102.5</v>
      </c>
      <c r="F30" s="9">
        <f t="shared" ref="F30:F61" si="2">D30-(b_anchocanaldominante/2)</f>
        <v>52.5</v>
      </c>
      <c r="G30" s="9">
        <v>0</v>
      </c>
      <c r="H30" s="9">
        <f t="shared" ref="H30:H61" si="3">(B/2)+(b_anchocanaldominante/2)</f>
        <v>102.5</v>
      </c>
      <c r="I30" s="9">
        <f t="shared" ref="I30:I61" si="4">-(B/2)-(b_anchocanaldominante/2)</f>
        <v>-102.5</v>
      </c>
      <c r="J30" s="9">
        <f t="shared" ref="J30:J61" ca="1" si="5">RANDBETWEEN(b_anchocanaldominante,Lc)</f>
        <v>13803</v>
      </c>
      <c r="K30" s="9">
        <f t="shared" ref="K30:K61" ca="1" si="6">RANDBETWEEN(-B/2,B/2)</f>
        <v>-30</v>
      </c>
      <c r="L30" s="9">
        <f>B/2</f>
        <v>77.5</v>
      </c>
      <c r="M30" s="9">
        <f>-M32-(Rcurv/2)</f>
        <v>17.5</v>
      </c>
      <c r="N30" s="9">
        <f>(-(B/2)-(b_anchocanaldominante/2))*1.15</f>
        <v>-117.87499999999999</v>
      </c>
      <c r="O30" s="9">
        <f>(B+b_anchocanaldominante)/2</f>
        <v>102.5</v>
      </c>
      <c r="P30" s="9">
        <f>(B+b_anchocanaldominante)/2</f>
        <v>102.5</v>
      </c>
      <c r="Q30" s="9">
        <f>(Bprima/2)</f>
        <v>125.52716092000003</v>
      </c>
    </row>
    <row r="31" spans="2:17" s="8" customFormat="1" x14ac:dyDescent="0.45">
      <c r="B31" s="9">
        <f t="shared" ref="B31:B62" si="7">IF(B30&lt;n,B30+1,n)</f>
        <v>1</v>
      </c>
      <c r="C31" s="10">
        <f t="shared" si="0"/>
        <v>524.95187484110147</v>
      </c>
      <c r="D31" s="9">
        <f>-(B/2)</f>
        <v>-77.5</v>
      </c>
      <c r="E31" s="9">
        <f t="shared" si="1"/>
        <v>-52.5</v>
      </c>
      <c r="F31" s="9">
        <f t="shared" si="2"/>
        <v>-102.5</v>
      </c>
      <c r="G31" s="9">
        <v>0</v>
      </c>
      <c r="H31" s="9">
        <f t="shared" si="3"/>
        <v>102.5</v>
      </c>
      <c r="I31" s="9">
        <f t="shared" si="4"/>
        <v>-102.5</v>
      </c>
      <c r="J31" s="9">
        <f t="shared" ca="1" si="5"/>
        <v>11870</v>
      </c>
      <c r="K31" s="9">
        <f t="shared" ca="1" si="6"/>
        <v>-19</v>
      </c>
      <c r="L31" s="9">
        <v>0</v>
      </c>
      <c r="M31" s="9">
        <f>M30+(M32-M30)/2</f>
        <v>-30</v>
      </c>
      <c r="N31" s="9">
        <f>(-(B/2)-(b_anchocanaldominante/2))*1.15</f>
        <v>-117.87499999999999</v>
      </c>
      <c r="O31" s="9">
        <v>0</v>
      </c>
      <c r="P31" s="9">
        <f>+P30-(b_anchocanaldominante/2)</f>
        <v>77.5</v>
      </c>
      <c r="Q31" s="9">
        <v>0</v>
      </c>
    </row>
    <row r="32" spans="2:17" s="8" customFormat="1" x14ac:dyDescent="0.45">
      <c r="B32" s="9">
        <f t="shared" si="7"/>
        <v>2</v>
      </c>
      <c r="C32" s="10">
        <f t="shared" si="0"/>
        <v>1049.9037496822029</v>
      </c>
      <c r="D32" s="9">
        <f>(B/2)</f>
        <v>77.5</v>
      </c>
      <c r="E32" s="9">
        <f t="shared" si="1"/>
        <v>102.5</v>
      </c>
      <c r="F32" s="9">
        <f t="shared" si="2"/>
        <v>52.5</v>
      </c>
      <c r="G32" s="9">
        <v>0</v>
      </c>
      <c r="H32" s="9">
        <f t="shared" si="3"/>
        <v>102.5</v>
      </c>
      <c r="I32" s="9">
        <f t="shared" si="4"/>
        <v>-102.5</v>
      </c>
      <c r="J32" s="9">
        <f t="shared" ca="1" si="5"/>
        <v>17985</v>
      </c>
      <c r="K32" s="9">
        <f t="shared" ca="1" si="6"/>
        <v>64</v>
      </c>
      <c r="L32" s="9">
        <f>-B/2</f>
        <v>-77.5</v>
      </c>
      <c r="M32" s="9">
        <f>-B/2</f>
        <v>-77.5</v>
      </c>
      <c r="N32" s="9">
        <f>(-(B/2)-(b_anchocanaldominante/2))*1.15</f>
        <v>-117.87499999999999</v>
      </c>
      <c r="O32" s="9">
        <f>-(B+b_anchocanaldominante)/2</f>
        <v>-102.5</v>
      </c>
      <c r="P32" s="9">
        <f>+P30-b_anchocanaldominante</f>
        <v>52.5</v>
      </c>
      <c r="Q32" s="9">
        <f>-Q30</f>
        <v>-125.52716092000003</v>
      </c>
    </row>
    <row r="33" spans="2:17" s="8" customFormat="1" x14ac:dyDescent="0.45">
      <c r="B33" s="9">
        <f t="shared" si="7"/>
        <v>3</v>
      </c>
      <c r="C33" s="10">
        <f t="shared" si="0"/>
        <v>1574.8556245233044</v>
      </c>
      <c r="D33" s="9">
        <f>-(B/2)</f>
        <v>-77.5</v>
      </c>
      <c r="E33" s="9">
        <f t="shared" si="1"/>
        <v>-52.5</v>
      </c>
      <c r="F33" s="9">
        <f t="shared" si="2"/>
        <v>-102.5</v>
      </c>
      <c r="G33" s="9">
        <v>0</v>
      </c>
      <c r="H33" s="9">
        <f t="shared" si="3"/>
        <v>102.5</v>
      </c>
      <c r="I33" s="9">
        <f t="shared" si="4"/>
        <v>-102.5</v>
      </c>
      <c r="J33" s="9">
        <f t="shared" ca="1" si="5"/>
        <v>18654</v>
      </c>
      <c r="K33" s="9">
        <f t="shared" ca="1" si="6"/>
        <v>-71</v>
      </c>
      <c r="L33" s="9"/>
      <c r="M33" s="9"/>
      <c r="N33" s="11"/>
      <c r="O33" s="11"/>
      <c r="P33" s="11"/>
      <c r="Q33" s="11"/>
    </row>
    <row r="34" spans="2:17" s="8" customFormat="1" x14ac:dyDescent="0.45">
      <c r="B34" s="9">
        <f t="shared" si="7"/>
        <v>4</v>
      </c>
      <c r="C34" s="10">
        <f t="shared" si="0"/>
        <v>2099.8074993644059</v>
      </c>
      <c r="D34" s="9">
        <f>(B/2)</f>
        <v>77.5</v>
      </c>
      <c r="E34" s="9">
        <f t="shared" si="1"/>
        <v>102.5</v>
      </c>
      <c r="F34" s="9">
        <f t="shared" si="2"/>
        <v>52.5</v>
      </c>
      <c r="G34" s="9">
        <v>0</v>
      </c>
      <c r="H34" s="9">
        <f t="shared" si="3"/>
        <v>102.5</v>
      </c>
      <c r="I34" s="9">
        <f t="shared" si="4"/>
        <v>-102.5</v>
      </c>
      <c r="J34" s="9">
        <f t="shared" ca="1" si="5"/>
        <v>21337</v>
      </c>
      <c r="K34" s="9">
        <f t="shared" ca="1" si="6"/>
        <v>-59</v>
      </c>
      <c r="L34" s="9"/>
      <c r="M34" s="9"/>
      <c r="N34" s="11"/>
      <c r="O34" s="11"/>
      <c r="P34" s="11"/>
      <c r="Q34" s="11"/>
    </row>
    <row r="35" spans="2:17" s="8" customFormat="1" x14ac:dyDescent="0.45">
      <c r="B35" s="9">
        <f t="shared" si="7"/>
        <v>5</v>
      </c>
      <c r="C35" s="10">
        <f t="shared" si="0"/>
        <v>2624.7593742055074</v>
      </c>
      <c r="D35" s="9">
        <f>-(B/2)</f>
        <v>-77.5</v>
      </c>
      <c r="E35" s="9">
        <f t="shared" si="1"/>
        <v>-52.5</v>
      </c>
      <c r="F35" s="9">
        <f t="shared" si="2"/>
        <v>-102.5</v>
      </c>
      <c r="G35" s="9">
        <v>0</v>
      </c>
      <c r="H35" s="9">
        <f t="shared" si="3"/>
        <v>102.5</v>
      </c>
      <c r="I35" s="9">
        <f t="shared" si="4"/>
        <v>-102.5</v>
      </c>
      <c r="J35" s="9">
        <f t="shared" ca="1" si="5"/>
        <v>21585</v>
      </c>
      <c r="K35" s="9">
        <f t="shared" ca="1" si="6"/>
        <v>35</v>
      </c>
      <c r="L35" s="9"/>
      <c r="M35" s="9"/>
      <c r="N35" s="11"/>
      <c r="O35" s="11"/>
      <c r="P35" s="11"/>
      <c r="Q35" s="11"/>
    </row>
    <row r="36" spans="2:17" s="8" customFormat="1" x14ac:dyDescent="0.45">
      <c r="B36" s="9">
        <f t="shared" si="7"/>
        <v>6</v>
      </c>
      <c r="C36" s="10">
        <f t="shared" si="0"/>
        <v>3149.7112490466088</v>
      </c>
      <c r="D36" s="9">
        <f>(B/2)</f>
        <v>77.5</v>
      </c>
      <c r="E36" s="9">
        <f t="shared" si="1"/>
        <v>102.5</v>
      </c>
      <c r="F36" s="9">
        <f t="shared" si="2"/>
        <v>52.5</v>
      </c>
      <c r="G36" s="9">
        <v>0</v>
      </c>
      <c r="H36" s="9">
        <f t="shared" si="3"/>
        <v>102.5</v>
      </c>
      <c r="I36" s="9">
        <f t="shared" si="4"/>
        <v>-102.5</v>
      </c>
      <c r="J36" s="9">
        <f t="shared" ca="1" si="5"/>
        <v>10009</v>
      </c>
      <c r="K36" s="9">
        <f t="shared" ca="1" si="6"/>
        <v>-48</v>
      </c>
      <c r="L36" s="9"/>
      <c r="M36" s="9"/>
      <c r="N36" s="11"/>
      <c r="O36" s="11"/>
      <c r="P36" s="11"/>
      <c r="Q36" s="11"/>
    </row>
    <row r="37" spans="2:17" s="8" customFormat="1" x14ac:dyDescent="0.45">
      <c r="B37" s="9">
        <f t="shared" si="7"/>
        <v>7</v>
      </c>
      <c r="C37" s="10">
        <f t="shared" si="0"/>
        <v>3674.6631238877103</v>
      </c>
      <c r="D37" s="9">
        <f>-(B/2)</f>
        <v>-77.5</v>
      </c>
      <c r="E37" s="9">
        <f t="shared" si="1"/>
        <v>-52.5</v>
      </c>
      <c r="F37" s="9">
        <f t="shared" si="2"/>
        <v>-102.5</v>
      </c>
      <c r="G37" s="9">
        <v>0</v>
      </c>
      <c r="H37" s="9">
        <f t="shared" si="3"/>
        <v>102.5</v>
      </c>
      <c r="I37" s="9">
        <f t="shared" si="4"/>
        <v>-102.5</v>
      </c>
      <c r="J37" s="9">
        <f t="shared" ca="1" si="5"/>
        <v>8314</v>
      </c>
      <c r="K37" s="9">
        <f t="shared" ca="1" si="6"/>
        <v>76</v>
      </c>
      <c r="L37" s="9"/>
      <c r="M37" s="9"/>
      <c r="N37" s="11"/>
      <c r="O37" s="11"/>
      <c r="P37" s="11"/>
      <c r="Q37" s="11"/>
    </row>
    <row r="38" spans="2:17" s="8" customFormat="1" x14ac:dyDescent="0.45">
      <c r="B38" s="9">
        <f t="shared" si="7"/>
        <v>8</v>
      </c>
      <c r="C38" s="10">
        <f t="shared" si="0"/>
        <v>4199.6149987288118</v>
      </c>
      <c r="D38" s="9">
        <f>(B/2)</f>
        <v>77.5</v>
      </c>
      <c r="E38" s="9">
        <f t="shared" si="1"/>
        <v>102.5</v>
      </c>
      <c r="F38" s="9">
        <f t="shared" si="2"/>
        <v>52.5</v>
      </c>
      <c r="G38" s="9">
        <v>0</v>
      </c>
      <c r="H38" s="9">
        <f t="shared" si="3"/>
        <v>102.5</v>
      </c>
      <c r="I38" s="9">
        <f t="shared" si="4"/>
        <v>-102.5</v>
      </c>
      <c r="J38" s="9">
        <f t="shared" ca="1" si="5"/>
        <v>17940</v>
      </c>
      <c r="K38" s="9">
        <f t="shared" ca="1" si="6"/>
        <v>-49</v>
      </c>
      <c r="L38" s="9"/>
      <c r="M38" s="9"/>
      <c r="N38" s="11"/>
      <c r="O38" s="11"/>
      <c r="P38" s="11"/>
      <c r="Q38" s="11"/>
    </row>
    <row r="39" spans="2:17" s="8" customFormat="1" x14ac:dyDescent="0.45">
      <c r="B39" s="9">
        <f t="shared" si="7"/>
        <v>9</v>
      </c>
      <c r="C39" s="10">
        <f t="shared" si="0"/>
        <v>4724.5668735699128</v>
      </c>
      <c r="D39" s="9">
        <f>-(B/2)</f>
        <v>-77.5</v>
      </c>
      <c r="E39" s="9">
        <f t="shared" si="1"/>
        <v>-52.5</v>
      </c>
      <c r="F39" s="9">
        <f t="shared" si="2"/>
        <v>-102.5</v>
      </c>
      <c r="G39" s="9">
        <v>0</v>
      </c>
      <c r="H39" s="9">
        <f t="shared" si="3"/>
        <v>102.5</v>
      </c>
      <c r="I39" s="9">
        <f t="shared" si="4"/>
        <v>-102.5</v>
      </c>
      <c r="J39" s="9">
        <f t="shared" ca="1" si="5"/>
        <v>3936</v>
      </c>
      <c r="K39" s="9">
        <f t="shared" ca="1" si="6"/>
        <v>-66</v>
      </c>
      <c r="L39" s="9"/>
      <c r="M39" s="9"/>
      <c r="N39" s="11"/>
      <c r="O39" s="11"/>
      <c r="P39" s="11"/>
      <c r="Q39" s="11"/>
    </row>
    <row r="40" spans="2:17" s="8" customFormat="1" x14ac:dyDescent="0.45">
      <c r="B40" s="9">
        <f t="shared" si="7"/>
        <v>10</v>
      </c>
      <c r="C40" s="10">
        <f t="shared" si="0"/>
        <v>5249.5187484110147</v>
      </c>
      <c r="D40" s="9">
        <f>(B/2)</f>
        <v>77.5</v>
      </c>
      <c r="E40" s="9">
        <f t="shared" si="1"/>
        <v>102.5</v>
      </c>
      <c r="F40" s="9">
        <f t="shared" si="2"/>
        <v>52.5</v>
      </c>
      <c r="G40" s="9">
        <v>0</v>
      </c>
      <c r="H40" s="9">
        <f t="shared" si="3"/>
        <v>102.5</v>
      </c>
      <c r="I40" s="9">
        <f t="shared" si="4"/>
        <v>-102.5</v>
      </c>
      <c r="J40" s="9">
        <f t="shared" ca="1" si="5"/>
        <v>15009</v>
      </c>
      <c r="K40" s="9">
        <f t="shared" ca="1" si="6"/>
        <v>72</v>
      </c>
      <c r="L40" s="9"/>
      <c r="M40" s="9"/>
      <c r="N40" s="11"/>
      <c r="O40" s="11"/>
      <c r="P40" s="11"/>
      <c r="Q40" s="11"/>
    </row>
    <row r="41" spans="2:17" s="8" customFormat="1" x14ac:dyDescent="0.45">
      <c r="B41" s="9">
        <f t="shared" si="7"/>
        <v>11</v>
      </c>
      <c r="C41" s="10">
        <f t="shared" si="0"/>
        <v>5774.4706232521166</v>
      </c>
      <c r="D41" s="9">
        <f>-(B/2)</f>
        <v>-77.5</v>
      </c>
      <c r="E41" s="9">
        <f t="shared" si="1"/>
        <v>-52.5</v>
      </c>
      <c r="F41" s="9">
        <f t="shared" si="2"/>
        <v>-102.5</v>
      </c>
      <c r="G41" s="9">
        <v>0</v>
      </c>
      <c r="H41" s="9">
        <f t="shared" si="3"/>
        <v>102.5</v>
      </c>
      <c r="I41" s="9">
        <f t="shared" si="4"/>
        <v>-102.5</v>
      </c>
      <c r="J41" s="9">
        <f t="shared" ca="1" si="5"/>
        <v>2905</v>
      </c>
      <c r="K41" s="9">
        <f t="shared" ca="1" si="6"/>
        <v>41</v>
      </c>
      <c r="L41" s="9"/>
      <c r="M41" s="9"/>
      <c r="N41" s="11"/>
      <c r="O41" s="11"/>
      <c r="P41" s="11"/>
      <c r="Q41" s="11"/>
    </row>
    <row r="42" spans="2:17" s="8" customFormat="1" x14ac:dyDescent="0.45">
      <c r="B42" s="9">
        <f t="shared" si="7"/>
        <v>12</v>
      </c>
      <c r="C42" s="10">
        <f t="shared" si="0"/>
        <v>6299.4224980932177</v>
      </c>
      <c r="D42" s="9">
        <f>(B/2)</f>
        <v>77.5</v>
      </c>
      <c r="E42" s="9">
        <f t="shared" si="1"/>
        <v>102.5</v>
      </c>
      <c r="F42" s="9">
        <f t="shared" si="2"/>
        <v>52.5</v>
      </c>
      <c r="G42" s="9">
        <v>0</v>
      </c>
      <c r="H42" s="9">
        <f t="shared" si="3"/>
        <v>102.5</v>
      </c>
      <c r="I42" s="9">
        <f t="shared" si="4"/>
        <v>-102.5</v>
      </c>
      <c r="J42" s="9">
        <f t="shared" ca="1" si="5"/>
        <v>19836</v>
      </c>
      <c r="K42" s="9">
        <f t="shared" ca="1" si="6"/>
        <v>37</v>
      </c>
      <c r="L42" s="9"/>
      <c r="M42" s="9"/>
      <c r="N42" s="11"/>
      <c r="O42" s="11"/>
      <c r="P42" s="11"/>
      <c r="Q42" s="11"/>
    </row>
    <row r="43" spans="2:17" s="8" customFormat="1" x14ac:dyDescent="0.45">
      <c r="B43" s="9">
        <f t="shared" si="7"/>
        <v>13</v>
      </c>
      <c r="C43" s="10">
        <f t="shared" si="0"/>
        <v>6824.3743729343187</v>
      </c>
      <c r="D43" s="9">
        <f>-(B/2)</f>
        <v>-77.5</v>
      </c>
      <c r="E43" s="9">
        <f t="shared" si="1"/>
        <v>-52.5</v>
      </c>
      <c r="F43" s="9">
        <f t="shared" si="2"/>
        <v>-102.5</v>
      </c>
      <c r="G43" s="9">
        <v>0</v>
      </c>
      <c r="H43" s="9">
        <f t="shared" si="3"/>
        <v>102.5</v>
      </c>
      <c r="I43" s="9">
        <f t="shared" si="4"/>
        <v>-102.5</v>
      </c>
      <c r="J43" s="9">
        <f t="shared" ca="1" si="5"/>
        <v>20532</v>
      </c>
      <c r="K43" s="9">
        <f t="shared" ca="1" si="6"/>
        <v>-50</v>
      </c>
      <c r="L43" s="9"/>
      <c r="M43" s="9"/>
      <c r="N43" s="11"/>
      <c r="O43" s="11"/>
      <c r="P43" s="11"/>
      <c r="Q43" s="11"/>
    </row>
    <row r="44" spans="2:17" s="8" customFormat="1" x14ac:dyDescent="0.45">
      <c r="B44" s="9">
        <f t="shared" si="7"/>
        <v>14</v>
      </c>
      <c r="C44" s="10">
        <f t="shared" si="0"/>
        <v>7349.3262477754206</v>
      </c>
      <c r="D44" s="9">
        <f>(B/2)</f>
        <v>77.5</v>
      </c>
      <c r="E44" s="9">
        <f t="shared" si="1"/>
        <v>102.5</v>
      </c>
      <c r="F44" s="9">
        <f t="shared" si="2"/>
        <v>52.5</v>
      </c>
      <c r="G44" s="9">
        <v>0</v>
      </c>
      <c r="H44" s="9">
        <f t="shared" si="3"/>
        <v>102.5</v>
      </c>
      <c r="I44" s="9">
        <f t="shared" si="4"/>
        <v>-102.5</v>
      </c>
      <c r="J44" s="9">
        <f t="shared" ca="1" si="5"/>
        <v>9259</v>
      </c>
      <c r="K44" s="9">
        <f t="shared" ca="1" si="6"/>
        <v>-76</v>
      </c>
      <c r="L44" s="9"/>
      <c r="M44" s="9"/>
      <c r="N44" s="11"/>
      <c r="O44" s="11"/>
      <c r="P44" s="11"/>
      <c r="Q44" s="11"/>
    </row>
    <row r="45" spans="2:17" s="8" customFormat="1" x14ac:dyDescent="0.45">
      <c r="B45" s="9">
        <f t="shared" si="7"/>
        <v>15</v>
      </c>
      <c r="C45" s="10">
        <f t="shared" si="0"/>
        <v>7874.2781226165225</v>
      </c>
      <c r="D45" s="9">
        <f>-(B/2)</f>
        <v>-77.5</v>
      </c>
      <c r="E45" s="9">
        <f t="shared" si="1"/>
        <v>-52.5</v>
      </c>
      <c r="F45" s="9">
        <f t="shared" si="2"/>
        <v>-102.5</v>
      </c>
      <c r="G45" s="9">
        <v>0</v>
      </c>
      <c r="H45" s="9">
        <f t="shared" si="3"/>
        <v>102.5</v>
      </c>
      <c r="I45" s="9">
        <f t="shared" si="4"/>
        <v>-102.5</v>
      </c>
      <c r="J45" s="9">
        <f t="shared" ca="1" si="5"/>
        <v>20882</v>
      </c>
      <c r="K45" s="9">
        <f t="shared" ca="1" si="6"/>
        <v>38</v>
      </c>
      <c r="L45" s="9"/>
      <c r="M45" s="9"/>
      <c r="N45" s="11"/>
      <c r="O45" s="11"/>
      <c r="P45" s="11"/>
      <c r="Q45" s="11"/>
    </row>
    <row r="46" spans="2:17" s="8" customFormat="1" x14ac:dyDescent="0.45">
      <c r="B46" s="9">
        <f t="shared" si="7"/>
        <v>16</v>
      </c>
      <c r="C46" s="10">
        <f t="shared" si="0"/>
        <v>8399.2299974576235</v>
      </c>
      <c r="D46" s="9">
        <f>(B/2)</f>
        <v>77.5</v>
      </c>
      <c r="E46" s="9">
        <f t="shared" si="1"/>
        <v>102.5</v>
      </c>
      <c r="F46" s="9">
        <f t="shared" si="2"/>
        <v>52.5</v>
      </c>
      <c r="G46" s="9">
        <v>0</v>
      </c>
      <c r="H46" s="9">
        <f t="shared" si="3"/>
        <v>102.5</v>
      </c>
      <c r="I46" s="9">
        <f t="shared" si="4"/>
        <v>-102.5</v>
      </c>
      <c r="J46" s="9">
        <f t="shared" ca="1" si="5"/>
        <v>8715</v>
      </c>
      <c r="K46" s="9">
        <f t="shared" ca="1" si="6"/>
        <v>61</v>
      </c>
      <c r="L46" s="9"/>
      <c r="M46" s="9"/>
      <c r="N46" s="11"/>
      <c r="O46" s="11"/>
      <c r="P46" s="11"/>
      <c r="Q46" s="11"/>
    </row>
    <row r="47" spans="2:17" s="8" customFormat="1" x14ac:dyDescent="0.45">
      <c r="B47" s="9">
        <f t="shared" si="7"/>
        <v>17</v>
      </c>
      <c r="C47" s="10">
        <f t="shared" si="0"/>
        <v>8924.1818722987246</v>
      </c>
      <c r="D47" s="9">
        <f>-(B/2)</f>
        <v>-77.5</v>
      </c>
      <c r="E47" s="9">
        <f t="shared" si="1"/>
        <v>-52.5</v>
      </c>
      <c r="F47" s="9">
        <f t="shared" si="2"/>
        <v>-102.5</v>
      </c>
      <c r="G47" s="9">
        <v>0</v>
      </c>
      <c r="H47" s="9">
        <f t="shared" si="3"/>
        <v>102.5</v>
      </c>
      <c r="I47" s="9">
        <f t="shared" si="4"/>
        <v>-102.5</v>
      </c>
      <c r="J47" s="9">
        <f t="shared" ca="1" si="5"/>
        <v>15666</v>
      </c>
      <c r="K47" s="9">
        <f t="shared" ca="1" si="6"/>
        <v>14</v>
      </c>
      <c r="L47" s="9"/>
      <c r="M47" s="9"/>
      <c r="N47" s="11"/>
      <c r="O47" s="11"/>
      <c r="P47" s="11"/>
      <c r="Q47" s="11"/>
    </row>
    <row r="48" spans="2:17" s="8" customFormat="1" x14ac:dyDescent="0.45">
      <c r="B48" s="9">
        <f t="shared" si="7"/>
        <v>18</v>
      </c>
      <c r="C48" s="10">
        <f t="shared" si="0"/>
        <v>9449.1337471398256</v>
      </c>
      <c r="D48" s="9">
        <f>(B/2)</f>
        <v>77.5</v>
      </c>
      <c r="E48" s="9">
        <f t="shared" si="1"/>
        <v>102.5</v>
      </c>
      <c r="F48" s="9">
        <f t="shared" si="2"/>
        <v>52.5</v>
      </c>
      <c r="G48" s="9">
        <v>0</v>
      </c>
      <c r="H48" s="9">
        <f t="shared" si="3"/>
        <v>102.5</v>
      </c>
      <c r="I48" s="9">
        <f t="shared" si="4"/>
        <v>-102.5</v>
      </c>
      <c r="J48" s="9">
        <f t="shared" ca="1" si="5"/>
        <v>5962</v>
      </c>
      <c r="K48" s="9">
        <f t="shared" ca="1" si="6"/>
        <v>-46</v>
      </c>
      <c r="L48" s="9"/>
      <c r="M48" s="9"/>
      <c r="N48" s="11"/>
      <c r="O48" s="11"/>
      <c r="P48" s="11"/>
      <c r="Q48" s="11"/>
    </row>
    <row r="49" spans="2:17" s="8" customFormat="1" x14ac:dyDescent="0.45">
      <c r="B49" s="9">
        <f t="shared" si="7"/>
        <v>19</v>
      </c>
      <c r="C49" s="10">
        <f t="shared" si="0"/>
        <v>9974.0856219809284</v>
      </c>
      <c r="D49" s="9">
        <f>-(B/2)</f>
        <v>-77.5</v>
      </c>
      <c r="E49" s="9">
        <f t="shared" si="1"/>
        <v>-52.5</v>
      </c>
      <c r="F49" s="9">
        <f t="shared" si="2"/>
        <v>-102.5</v>
      </c>
      <c r="G49" s="9">
        <v>0</v>
      </c>
      <c r="H49" s="9">
        <f t="shared" si="3"/>
        <v>102.5</v>
      </c>
      <c r="I49" s="9">
        <f t="shared" si="4"/>
        <v>-102.5</v>
      </c>
      <c r="J49" s="9">
        <f t="shared" ca="1" si="5"/>
        <v>21217</v>
      </c>
      <c r="K49" s="9">
        <f t="shared" ca="1" si="6"/>
        <v>-15</v>
      </c>
      <c r="L49" s="9"/>
      <c r="M49" s="9"/>
      <c r="N49" s="11"/>
      <c r="O49" s="11"/>
      <c r="P49" s="11"/>
      <c r="Q49" s="11"/>
    </row>
    <row r="50" spans="2:17" s="8" customFormat="1" x14ac:dyDescent="0.45">
      <c r="B50" s="9">
        <f t="shared" si="7"/>
        <v>20</v>
      </c>
      <c r="C50" s="10">
        <f t="shared" si="0"/>
        <v>10499.037496822029</v>
      </c>
      <c r="D50" s="9">
        <f>(B/2)</f>
        <v>77.5</v>
      </c>
      <c r="E50" s="9">
        <f t="shared" si="1"/>
        <v>102.5</v>
      </c>
      <c r="F50" s="9">
        <f t="shared" si="2"/>
        <v>52.5</v>
      </c>
      <c r="G50" s="9">
        <v>0</v>
      </c>
      <c r="H50" s="9">
        <f t="shared" si="3"/>
        <v>102.5</v>
      </c>
      <c r="I50" s="9">
        <f t="shared" si="4"/>
        <v>-102.5</v>
      </c>
      <c r="J50" s="9">
        <f t="shared" ca="1" si="5"/>
        <v>8688</v>
      </c>
      <c r="K50" s="9">
        <f t="shared" ca="1" si="6"/>
        <v>40</v>
      </c>
      <c r="L50" s="9"/>
      <c r="M50" s="9"/>
      <c r="N50" s="11"/>
      <c r="O50" s="11"/>
      <c r="P50" s="11"/>
      <c r="Q50" s="11"/>
    </row>
    <row r="51" spans="2:17" s="8" customFormat="1" x14ac:dyDescent="0.45">
      <c r="B51" s="9">
        <f t="shared" si="7"/>
        <v>21</v>
      </c>
      <c r="C51" s="10">
        <f t="shared" si="0"/>
        <v>11023.98937166313</v>
      </c>
      <c r="D51" s="9">
        <f>-(B/2)</f>
        <v>-77.5</v>
      </c>
      <c r="E51" s="9">
        <f t="shared" si="1"/>
        <v>-52.5</v>
      </c>
      <c r="F51" s="9">
        <f t="shared" si="2"/>
        <v>-102.5</v>
      </c>
      <c r="G51" s="9">
        <v>0</v>
      </c>
      <c r="H51" s="9">
        <f t="shared" si="3"/>
        <v>102.5</v>
      </c>
      <c r="I51" s="9">
        <f t="shared" si="4"/>
        <v>-102.5</v>
      </c>
      <c r="J51" s="9">
        <f t="shared" ca="1" si="5"/>
        <v>643</v>
      </c>
      <c r="K51" s="9">
        <f t="shared" ca="1" si="6"/>
        <v>-33</v>
      </c>
      <c r="L51" s="9"/>
      <c r="M51" s="9"/>
      <c r="N51" s="11"/>
      <c r="O51" s="11"/>
      <c r="P51" s="11"/>
      <c r="Q51" s="11"/>
    </row>
    <row r="52" spans="2:17" s="8" customFormat="1" x14ac:dyDescent="0.45">
      <c r="B52" s="9">
        <f t="shared" si="7"/>
        <v>22</v>
      </c>
      <c r="C52" s="10">
        <f t="shared" si="0"/>
        <v>11548.941246504233</v>
      </c>
      <c r="D52" s="9">
        <f>(B/2)</f>
        <v>77.5</v>
      </c>
      <c r="E52" s="9">
        <f t="shared" si="1"/>
        <v>102.5</v>
      </c>
      <c r="F52" s="9">
        <f t="shared" si="2"/>
        <v>52.5</v>
      </c>
      <c r="G52" s="9">
        <v>0</v>
      </c>
      <c r="H52" s="9">
        <f t="shared" si="3"/>
        <v>102.5</v>
      </c>
      <c r="I52" s="9">
        <f t="shared" si="4"/>
        <v>-102.5</v>
      </c>
      <c r="J52" s="9">
        <f t="shared" ca="1" si="5"/>
        <v>1948</v>
      </c>
      <c r="K52" s="9">
        <f t="shared" ca="1" si="6"/>
        <v>5</v>
      </c>
      <c r="L52" s="9"/>
      <c r="M52" s="9"/>
      <c r="N52" s="11"/>
      <c r="O52" s="11"/>
      <c r="P52" s="11"/>
      <c r="Q52" s="11"/>
    </row>
    <row r="53" spans="2:17" s="8" customFormat="1" x14ac:dyDescent="0.45">
      <c r="B53" s="9">
        <f t="shared" si="7"/>
        <v>23</v>
      </c>
      <c r="C53" s="10">
        <f t="shared" si="0"/>
        <v>12073.893121345334</v>
      </c>
      <c r="D53" s="9">
        <f>-(B/2)</f>
        <v>-77.5</v>
      </c>
      <c r="E53" s="9">
        <f t="shared" si="1"/>
        <v>-52.5</v>
      </c>
      <c r="F53" s="9">
        <f t="shared" si="2"/>
        <v>-102.5</v>
      </c>
      <c r="G53" s="9">
        <v>0</v>
      </c>
      <c r="H53" s="9">
        <f t="shared" si="3"/>
        <v>102.5</v>
      </c>
      <c r="I53" s="9">
        <f t="shared" si="4"/>
        <v>-102.5</v>
      </c>
      <c r="J53" s="9">
        <f t="shared" ca="1" si="5"/>
        <v>5441</v>
      </c>
      <c r="K53" s="9">
        <f t="shared" ca="1" si="6"/>
        <v>10</v>
      </c>
      <c r="L53" s="9"/>
      <c r="M53" s="9"/>
      <c r="N53" s="11"/>
      <c r="O53" s="11"/>
      <c r="P53" s="11"/>
      <c r="Q53" s="11"/>
    </row>
    <row r="54" spans="2:17" s="8" customFormat="1" x14ac:dyDescent="0.45">
      <c r="B54" s="9">
        <f t="shared" si="7"/>
        <v>24</v>
      </c>
      <c r="C54" s="10">
        <f t="shared" si="0"/>
        <v>12598.844996186435</v>
      </c>
      <c r="D54" s="9">
        <f>(B/2)</f>
        <v>77.5</v>
      </c>
      <c r="E54" s="9">
        <f t="shared" si="1"/>
        <v>102.5</v>
      </c>
      <c r="F54" s="9">
        <f t="shared" si="2"/>
        <v>52.5</v>
      </c>
      <c r="G54" s="9">
        <v>0</v>
      </c>
      <c r="H54" s="9">
        <f t="shared" si="3"/>
        <v>102.5</v>
      </c>
      <c r="I54" s="9">
        <f t="shared" si="4"/>
        <v>-102.5</v>
      </c>
      <c r="J54" s="9">
        <f t="shared" ca="1" si="5"/>
        <v>12592</v>
      </c>
      <c r="K54" s="9">
        <f t="shared" ca="1" si="6"/>
        <v>-5</v>
      </c>
      <c r="L54" s="9"/>
      <c r="M54" s="9"/>
      <c r="N54" s="11"/>
      <c r="O54" s="11"/>
      <c r="P54" s="11"/>
      <c r="Q54" s="11"/>
    </row>
    <row r="55" spans="2:17" s="8" customFormat="1" x14ac:dyDescent="0.45">
      <c r="B55" s="9">
        <f t="shared" si="7"/>
        <v>25</v>
      </c>
      <c r="C55" s="10">
        <f t="shared" si="0"/>
        <v>13123.796871027536</v>
      </c>
      <c r="D55" s="9">
        <f>-(B/2)</f>
        <v>-77.5</v>
      </c>
      <c r="E55" s="9">
        <f t="shared" si="1"/>
        <v>-52.5</v>
      </c>
      <c r="F55" s="9">
        <f t="shared" si="2"/>
        <v>-102.5</v>
      </c>
      <c r="G55" s="9">
        <v>0</v>
      </c>
      <c r="H55" s="9">
        <f t="shared" si="3"/>
        <v>102.5</v>
      </c>
      <c r="I55" s="9">
        <f t="shared" si="4"/>
        <v>-102.5</v>
      </c>
      <c r="J55" s="9">
        <f t="shared" ca="1" si="5"/>
        <v>20596</v>
      </c>
      <c r="K55" s="9">
        <f t="shared" ca="1" si="6"/>
        <v>-76</v>
      </c>
      <c r="L55" s="9"/>
      <c r="M55" s="9"/>
      <c r="N55" s="11"/>
      <c r="O55" s="11"/>
      <c r="P55" s="11"/>
      <c r="Q55" s="11"/>
    </row>
    <row r="56" spans="2:17" s="8" customFormat="1" x14ac:dyDescent="0.45">
      <c r="B56" s="9">
        <f t="shared" si="7"/>
        <v>26</v>
      </c>
      <c r="C56" s="10">
        <f t="shared" si="0"/>
        <v>13648.748745868637</v>
      </c>
      <c r="D56" s="9">
        <f>(B/2)</f>
        <v>77.5</v>
      </c>
      <c r="E56" s="9">
        <f t="shared" si="1"/>
        <v>102.5</v>
      </c>
      <c r="F56" s="9">
        <f t="shared" si="2"/>
        <v>52.5</v>
      </c>
      <c r="G56" s="9">
        <v>0</v>
      </c>
      <c r="H56" s="9">
        <f t="shared" si="3"/>
        <v>102.5</v>
      </c>
      <c r="I56" s="9">
        <f t="shared" si="4"/>
        <v>-102.5</v>
      </c>
      <c r="J56" s="9">
        <f t="shared" ca="1" si="5"/>
        <v>3322</v>
      </c>
      <c r="K56" s="9">
        <f t="shared" ca="1" si="6"/>
        <v>-44</v>
      </c>
      <c r="L56" s="9"/>
      <c r="M56" s="9"/>
      <c r="N56" s="11"/>
      <c r="O56" s="11"/>
      <c r="P56" s="11"/>
      <c r="Q56" s="11"/>
    </row>
    <row r="57" spans="2:17" s="8" customFormat="1" x14ac:dyDescent="0.45">
      <c r="B57" s="9">
        <f t="shared" si="7"/>
        <v>27</v>
      </c>
      <c r="C57" s="10">
        <f t="shared" si="0"/>
        <v>14173.70062070974</v>
      </c>
      <c r="D57" s="9">
        <f>-(B/2)</f>
        <v>-77.5</v>
      </c>
      <c r="E57" s="9">
        <f t="shared" si="1"/>
        <v>-52.5</v>
      </c>
      <c r="F57" s="9">
        <f t="shared" si="2"/>
        <v>-102.5</v>
      </c>
      <c r="G57" s="9">
        <v>0</v>
      </c>
      <c r="H57" s="9">
        <f t="shared" si="3"/>
        <v>102.5</v>
      </c>
      <c r="I57" s="9">
        <f t="shared" si="4"/>
        <v>-102.5</v>
      </c>
      <c r="J57" s="9">
        <f t="shared" ca="1" si="5"/>
        <v>21822</v>
      </c>
      <c r="K57" s="9">
        <f t="shared" ca="1" si="6"/>
        <v>14</v>
      </c>
      <c r="L57" s="9"/>
      <c r="M57" s="9"/>
      <c r="N57" s="11"/>
      <c r="O57" s="11"/>
      <c r="P57" s="11"/>
      <c r="Q57" s="11"/>
    </row>
    <row r="58" spans="2:17" s="8" customFormat="1" x14ac:dyDescent="0.45">
      <c r="B58" s="9">
        <f t="shared" si="7"/>
        <v>28</v>
      </c>
      <c r="C58" s="10">
        <f t="shared" si="0"/>
        <v>14698.652495550841</v>
      </c>
      <c r="D58" s="9">
        <f>(B/2)</f>
        <v>77.5</v>
      </c>
      <c r="E58" s="9">
        <f t="shared" si="1"/>
        <v>102.5</v>
      </c>
      <c r="F58" s="9">
        <f t="shared" si="2"/>
        <v>52.5</v>
      </c>
      <c r="G58" s="9">
        <v>0</v>
      </c>
      <c r="H58" s="9">
        <f t="shared" si="3"/>
        <v>102.5</v>
      </c>
      <c r="I58" s="9">
        <f t="shared" si="4"/>
        <v>-102.5</v>
      </c>
      <c r="J58" s="9">
        <f t="shared" ca="1" si="5"/>
        <v>6871</v>
      </c>
      <c r="K58" s="9">
        <f t="shared" ca="1" si="6"/>
        <v>24</v>
      </c>
      <c r="L58" s="9"/>
      <c r="M58" s="9"/>
      <c r="N58" s="11"/>
      <c r="O58" s="11"/>
      <c r="P58" s="11"/>
      <c r="Q58" s="11"/>
    </row>
    <row r="59" spans="2:17" s="8" customFormat="1" x14ac:dyDescent="0.45">
      <c r="B59" s="9">
        <f t="shared" si="7"/>
        <v>29</v>
      </c>
      <c r="C59" s="10">
        <f t="shared" si="0"/>
        <v>15223.604370391942</v>
      </c>
      <c r="D59" s="9">
        <f>-(B/2)</f>
        <v>-77.5</v>
      </c>
      <c r="E59" s="9">
        <f t="shared" si="1"/>
        <v>-52.5</v>
      </c>
      <c r="F59" s="9">
        <f t="shared" si="2"/>
        <v>-102.5</v>
      </c>
      <c r="G59" s="9">
        <v>0</v>
      </c>
      <c r="H59" s="9">
        <f t="shared" si="3"/>
        <v>102.5</v>
      </c>
      <c r="I59" s="9">
        <f t="shared" si="4"/>
        <v>-102.5</v>
      </c>
      <c r="J59" s="9">
        <f t="shared" ca="1" si="5"/>
        <v>14812</v>
      </c>
      <c r="K59" s="9">
        <f t="shared" ca="1" si="6"/>
        <v>-57</v>
      </c>
      <c r="L59" s="9"/>
      <c r="M59" s="9"/>
      <c r="N59" s="11"/>
      <c r="O59" s="11"/>
      <c r="P59" s="11"/>
      <c r="Q59" s="11"/>
    </row>
    <row r="60" spans="2:17" s="8" customFormat="1" x14ac:dyDescent="0.45">
      <c r="B60" s="9">
        <f t="shared" si="7"/>
        <v>30</v>
      </c>
      <c r="C60" s="10">
        <f t="shared" si="0"/>
        <v>15748.556245233045</v>
      </c>
      <c r="D60" s="9">
        <f>(B/2)</f>
        <v>77.5</v>
      </c>
      <c r="E60" s="9">
        <f t="shared" si="1"/>
        <v>102.5</v>
      </c>
      <c r="F60" s="9">
        <f t="shared" si="2"/>
        <v>52.5</v>
      </c>
      <c r="G60" s="9">
        <v>0</v>
      </c>
      <c r="H60" s="9">
        <f t="shared" si="3"/>
        <v>102.5</v>
      </c>
      <c r="I60" s="9">
        <f t="shared" si="4"/>
        <v>-102.5</v>
      </c>
      <c r="J60" s="9">
        <f t="shared" ca="1" si="5"/>
        <v>8933</v>
      </c>
      <c r="K60" s="9">
        <f t="shared" ca="1" si="6"/>
        <v>57</v>
      </c>
      <c r="L60" s="9"/>
      <c r="M60" s="9"/>
      <c r="N60" s="11"/>
      <c r="O60" s="11"/>
      <c r="P60" s="11"/>
      <c r="Q60" s="11"/>
    </row>
    <row r="61" spans="2:17" s="8" customFormat="1" x14ac:dyDescent="0.45">
      <c r="B61" s="9">
        <f t="shared" si="7"/>
        <v>31</v>
      </c>
      <c r="C61" s="10">
        <f t="shared" si="0"/>
        <v>16273.508120074146</v>
      </c>
      <c r="D61" s="9">
        <f>-(B/2)</f>
        <v>-77.5</v>
      </c>
      <c r="E61" s="9">
        <f t="shared" si="1"/>
        <v>-52.5</v>
      </c>
      <c r="F61" s="9">
        <f t="shared" si="2"/>
        <v>-102.5</v>
      </c>
      <c r="G61" s="9">
        <v>0</v>
      </c>
      <c r="H61" s="9">
        <f t="shared" si="3"/>
        <v>102.5</v>
      </c>
      <c r="I61" s="9">
        <f t="shared" si="4"/>
        <v>-102.5</v>
      </c>
      <c r="J61" s="9">
        <f t="shared" ca="1" si="5"/>
        <v>7488</v>
      </c>
      <c r="K61" s="9">
        <f t="shared" ca="1" si="6"/>
        <v>-65</v>
      </c>
      <c r="L61" s="9"/>
      <c r="M61" s="9"/>
      <c r="N61" s="11"/>
      <c r="O61" s="11"/>
      <c r="P61" s="11"/>
      <c r="Q61" s="11"/>
    </row>
    <row r="62" spans="2:17" s="8" customFormat="1" x14ac:dyDescent="0.45">
      <c r="B62" s="9">
        <f t="shared" si="7"/>
        <v>32</v>
      </c>
      <c r="C62" s="10">
        <f t="shared" ref="C62:C93" si="8">IF(B62=0,0,B62*Lm)</f>
        <v>16798.459994915247</v>
      </c>
      <c r="D62" s="9">
        <f>(B/2)</f>
        <v>77.5</v>
      </c>
      <c r="E62" s="9">
        <f t="shared" ref="E62:E93" si="9">D62+(b_anchocanaldominante/2)</f>
        <v>102.5</v>
      </c>
      <c r="F62" s="9">
        <f t="shared" ref="F62:F93" si="10">D62-(b_anchocanaldominante/2)</f>
        <v>52.5</v>
      </c>
      <c r="G62" s="9">
        <v>0</v>
      </c>
      <c r="H62" s="9">
        <f t="shared" ref="H62:H93" si="11">(B/2)+(b_anchocanaldominante/2)</f>
        <v>102.5</v>
      </c>
      <c r="I62" s="9">
        <f t="shared" ref="I62:I93" si="12">-(B/2)-(b_anchocanaldominante/2)</f>
        <v>-102.5</v>
      </c>
      <c r="J62" s="9">
        <f t="shared" ref="J62:J93" ca="1" si="13">RANDBETWEEN(b_anchocanaldominante,Lc)</f>
        <v>13859</v>
      </c>
      <c r="K62" s="9">
        <f t="shared" ref="K62:K93" ca="1" si="14">RANDBETWEEN(-B/2,B/2)</f>
        <v>17</v>
      </c>
      <c r="L62" s="9"/>
      <c r="M62" s="9"/>
      <c r="N62" s="11"/>
      <c r="O62" s="11"/>
      <c r="P62" s="11"/>
      <c r="Q62" s="11"/>
    </row>
    <row r="63" spans="2:17" s="8" customFormat="1" x14ac:dyDescent="0.45">
      <c r="B63" s="9">
        <f t="shared" ref="B63:B94" si="15">IF(B62&lt;n,B62+1,n)</f>
        <v>33</v>
      </c>
      <c r="C63" s="10">
        <f t="shared" si="8"/>
        <v>17323.41186975635</v>
      </c>
      <c r="D63" s="9">
        <f>-(B/2)</f>
        <v>-77.5</v>
      </c>
      <c r="E63" s="9">
        <f t="shared" si="9"/>
        <v>-52.5</v>
      </c>
      <c r="F63" s="9">
        <f t="shared" si="10"/>
        <v>-102.5</v>
      </c>
      <c r="G63" s="9">
        <v>0</v>
      </c>
      <c r="H63" s="9">
        <f t="shared" si="11"/>
        <v>102.5</v>
      </c>
      <c r="I63" s="9">
        <f t="shared" si="12"/>
        <v>-102.5</v>
      </c>
      <c r="J63" s="9">
        <f t="shared" ca="1" si="13"/>
        <v>1597</v>
      </c>
      <c r="K63" s="9">
        <f t="shared" ca="1" si="14"/>
        <v>-62</v>
      </c>
      <c r="L63" s="9"/>
      <c r="M63" s="9"/>
      <c r="N63" s="11"/>
      <c r="O63" s="11"/>
      <c r="P63" s="11"/>
      <c r="Q63" s="11"/>
    </row>
    <row r="64" spans="2:17" s="8" customFormat="1" x14ac:dyDescent="0.45">
      <c r="B64" s="9">
        <f t="shared" si="15"/>
        <v>34</v>
      </c>
      <c r="C64" s="10">
        <f t="shared" si="8"/>
        <v>17848.363744597449</v>
      </c>
      <c r="D64" s="9">
        <f>(B/2)</f>
        <v>77.5</v>
      </c>
      <c r="E64" s="9">
        <f t="shared" si="9"/>
        <v>102.5</v>
      </c>
      <c r="F64" s="9">
        <f t="shared" si="10"/>
        <v>52.5</v>
      </c>
      <c r="G64" s="9">
        <v>0</v>
      </c>
      <c r="H64" s="9">
        <f t="shared" si="11"/>
        <v>102.5</v>
      </c>
      <c r="I64" s="9">
        <f t="shared" si="12"/>
        <v>-102.5</v>
      </c>
      <c r="J64" s="9">
        <f t="shared" ca="1" si="13"/>
        <v>6482</v>
      </c>
      <c r="K64" s="9">
        <f t="shared" ca="1" si="14"/>
        <v>-31</v>
      </c>
      <c r="L64" s="9"/>
      <c r="M64" s="9"/>
      <c r="N64" s="11"/>
      <c r="O64" s="11"/>
      <c r="P64" s="11"/>
      <c r="Q64" s="11"/>
    </row>
    <row r="65" spans="2:17" s="8" customFormat="1" x14ac:dyDescent="0.45">
      <c r="B65" s="9">
        <f t="shared" si="15"/>
        <v>35</v>
      </c>
      <c r="C65" s="10">
        <f t="shared" si="8"/>
        <v>18373.315619438552</v>
      </c>
      <c r="D65" s="9">
        <f>-(B/2)</f>
        <v>-77.5</v>
      </c>
      <c r="E65" s="9">
        <f t="shared" si="9"/>
        <v>-52.5</v>
      </c>
      <c r="F65" s="9">
        <f t="shared" si="10"/>
        <v>-102.5</v>
      </c>
      <c r="G65" s="9">
        <v>0</v>
      </c>
      <c r="H65" s="9">
        <f t="shared" si="11"/>
        <v>102.5</v>
      </c>
      <c r="I65" s="9">
        <f t="shared" si="12"/>
        <v>-102.5</v>
      </c>
      <c r="J65" s="9">
        <f t="shared" ca="1" si="13"/>
        <v>4624</v>
      </c>
      <c r="K65" s="9">
        <f t="shared" ca="1" si="14"/>
        <v>-64</v>
      </c>
      <c r="L65" s="9"/>
      <c r="M65" s="9"/>
      <c r="N65" s="11"/>
      <c r="O65" s="11"/>
      <c r="P65" s="11"/>
      <c r="Q65" s="11"/>
    </row>
    <row r="66" spans="2:17" s="8" customFormat="1" x14ac:dyDescent="0.45">
      <c r="B66" s="9">
        <f t="shared" si="15"/>
        <v>36</v>
      </c>
      <c r="C66" s="10">
        <f t="shared" si="8"/>
        <v>18898.267494279651</v>
      </c>
      <c r="D66" s="9">
        <f>(B/2)</f>
        <v>77.5</v>
      </c>
      <c r="E66" s="9">
        <f t="shared" si="9"/>
        <v>102.5</v>
      </c>
      <c r="F66" s="9">
        <f t="shared" si="10"/>
        <v>52.5</v>
      </c>
      <c r="G66" s="9">
        <v>0</v>
      </c>
      <c r="H66" s="9">
        <f t="shared" si="11"/>
        <v>102.5</v>
      </c>
      <c r="I66" s="9">
        <f t="shared" si="12"/>
        <v>-102.5</v>
      </c>
      <c r="J66" s="9">
        <f t="shared" ca="1" si="13"/>
        <v>12620</v>
      </c>
      <c r="K66" s="9">
        <f t="shared" ca="1" si="14"/>
        <v>0</v>
      </c>
      <c r="L66" s="9"/>
      <c r="M66" s="9"/>
      <c r="N66" s="11"/>
      <c r="O66" s="11"/>
      <c r="P66" s="11"/>
      <c r="Q66" s="11"/>
    </row>
    <row r="67" spans="2:17" s="8" customFormat="1" x14ac:dyDescent="0.45">
      <c r="B67" s="9">
        <f t="shared" si="15"/>
        <v>37</v>
      </c>
      <c r="C67" s="10">
        <f t="shared" si="8"/>
        <v>19423.219369120754</v>
      </c>
      <c r="D67" s="9">
        <f>-(B/2)</f>
        <v>-77.5</v>
      </c>
      <c r="E67" s="9">
        <f t="shared" si="9"/>
        <v>-52.5</v>
      </c>
      <c r="F67" s="9">
        <f t="shared" si="10"/>
        <v>-102.5</v>
      </c>
      <c r="G67" s="9">
        <v>0</v>
      </c>
      <c r="H67" s="9">
        <f t="shared" si="11"/>
        <v>102.5</v>
      </c>
      <c r="I67" s="9">
        <f t="shared" si="12"/>
        <v>-102.5</v>
      </c>
      <c r="J67" s="9">
        <f t="shared" ca="1" si="13"/>
        <v>20370</v>
      </c>
      <c r="K67" s="9">
        <f t="shared" ca="1" si="14"/>
        <v>-62</v>
      </c>
      <c r="L67" s="9"/>
      <c r="M67" s="9"/>
      <c r="N67" s="11"/>
      <c r="O67" s="11"/>
      <c r="P67" s="11"/>
      <c r="Q67" s="11"/>
    </row>
    <row r="68" spans="2:17" s="8" customFormat="1" x14ac:dyDescent="0.45">
      <c r="B68" s="9">
        <f t="shared" si="15"/>
        <v>38</v>
      </c>
      <c r="C68" s="10">
        <f t="shared" si="8"/>
        <v>19948.171243961857</v>
      </c>
      <c r="D68" s="9">
        <f>(B/2)</f>
        <v>77.5</v>
      </c>
      <c r="E68" s="9">
        <f t="shared" si="9"/>
        <v>102.5</v>
      </c>
      <c r="F68" s="9">
        <f t="shared" si="10"/>
        <v>52.5</v>
      </c>
      <c r="G68" s="9">
        <v>0</v>
      </c>
      <c r="H68" s="9">
        <f t="shared" si="11"/>
        <v>102.5</v>
      </c>
      <c r="I68" s="9">
        <f t="shared" si="12"/>
        <v>-102.5</v>
      </c>
      <c r="J68" s="9">
        <f t="shared" ca="1" si="13"/>
        <v>6820</v>
      </c>
      <c r="K68" s="9">
        <f t="shared" ca="1" si="14"/>
        <v>2</v>
      </c>
      <c r="L68" s="9"/>
      <c r="M68" s="9"/>
      <c r="N68" s="11"/>
      <c r="O68" s="11"/>
      <c r="P68" s="11"/>
      <c r="Q68" s="11"/>
    </row>
    <row r="69" spans="2:17" s="8" customFormat="1" x14ac:dyDescent="0.45">
      <c r="B69" s="9">
        <f t="shared" si="15"/>
        <v>39</v>
      </c>
      <c r="C69" s="10">
        <f t="shared" si="8"/>
        <v>20473.123118802956</v>
      </c>
      <c r="D69" s="9">
        <f>-(B/2)</f>
        <v>-77.5</v>
      </c>
      <c r="E69" s="9">
        <f t="shared" si="9"/>
        <v>-52.5</v>
      </c>
      <c r="F69" s="9">
        <f t="shared" si="10"/>
        <v>-102.5</v>
      </c>
      <c r="G69" s="9">
        <v>0</v>
      </c>
      <c r="H69" s="9">
        <f t="shared" si="11"/>
        <v>102.5</v>
      </c>
      <c r="I69" s="9">
        <f t="shared" si="12"/>
        <v>-102.5</v>
      </c>
      <c r="J69" s="9">
        <f t="shared" ca="1" si="13"/>
        <v>19396</v>
      </c>
      <c r="K69" s="9">
        <f t="shared" ca="1" si="14"/>
        <v>-42</v>
      </c>
      <c r="L69" s="9"/>
      <c r="M69" s="9"/>
      <c r="N69" s="11"/>
      <c r="O69" s="11"/>
      <c r="P69" s="11"/>
      <c r="Q69" s="11"/>
    </row>
    <row r="70" spans="2:17" s="8" customFormat="1" x14ac:dyDescent="0.45">
      <c r="B70" s="9">
        <f t="shared" si="15"/>
        <v>40</v>
      </c>
      <c r="C70" s="10">
        <f t="shared" si="8"/>
        <v>20998.074993644059</v>
      </c>
      <c r="D70" s="9">
        <f>(B/2)</f>
        <v>77.5</v>
      </c>
      <c r="E70" s="9">
        <f t="shared" si="9"/>
        <v>102.5</v>
      </c>
      <c r="F70" s="9">
        <f t="shared" si="10"/>
        <v>52.5</v>
      </c>
      <c r="G70" s="9">
        <v>0</v>
      </c>
      <c r="H70" s="9">
        <f t="shared" si="11"/>
        <v>102.5</v>
      </c>
      <c r="I70" s="9">
        <f t="shared" si="12"/>
        <v>-102.5</v>
      </c>
      <c r="J70" s="9">
        <f t="shared" ca="1" si="13"/>
        <v>15199</v>
      </c>
      <c r="K70" s="9">
        <f t="shared" ca="1" si="14"/>
        <v>76</v>
      </c>
      <c r="L70" s="9"/>
      <c r="M70" s="9"/>
      <c r="N70" s="11"/>
      <c r="O70" s="11"/>
      <c r="P70" s="11"/>
      <c r="Q70" s="11"/>
    </row>
    <row r="71" spans="2:17" s="8" customFormat="1" x14ac:dyDescent="0.45">
      <c r="B71" s="9">
        <f t="shared" si="15"/>
        <v>41</v>
      </c>
      <c r="C71" s="10">
        <f t="shared" si="8"/>
        <v>21523.026868485162</v>
      </c>
      <c r="D71" s="9">
        <f>-(B/2)</f>
        <v>-77.5</v>
      </c>
      <c r="E71" s="9">
        <f t="shared" si="9"/>
        <v>-52.5</v>
      </c>
      <c r="F71" s="9">
        <f t="shared" si="10"/>
        <v>-102.5</v>
      </c>
      <c r="G71" s="9">
        <v>0</v>
      </c>
      <c r="H71" s="9">
        <f t="shared" si="11"/>
        <v>102.5</v>
      </c>
      <c r="I71" s="9">
        <f t="shared" si="12"/>
        <v>-102.5</v>
      </c>
      <c r="J71" s="9">
        <f t="shared" ca="1" si="13"/>
        <v>10753</v>
      </c>
      <c r="K71" s="9">
        <f t="shared" ca="1" si="14"/>
        <v>12</v>
      </c>
      <c r="L71" s="9"/>
      <c r="M71" s="9"/>
      <c r="N71" s="11"/>
      <c r="O71" s="11"/>
      <c r="P71" s="11"/>
      <c r="Q71" s="11"/>
    </row>
    <row r="72" spans="2:17" s="8" customFormat="1" x14ac:dyDescent="0.45">
      <c r="B72" s="9">
        <f t="shared" si="15"/>
        <v>42</v>
      </c>
      <c r="C72" s="10">
        <f t="shared" si="8"/>
        <v>22047.978743326261</v>
      </c>
      <c r="D72" s="9">
        <f>(B/2)</f>
        <v>77.5</v>
      </c>
      <c r="E72" s="9">
        <f t="shared" si="9"/>
        <v>102.5</v>
      </c>
      <c r="F72" s="9">
        <f t="shared" si="10"/>
        <v>52.5</v>
      </c>
      <c r="G72" s="9">
        <v>0</v>
      </c>
      <c r="H72" s="9">
        <f t="shared" si="11"/>
        <v>102.5</v>
      </c>
      <c r="I72" s="9">
        <f t="shared" si="12"/>
        <v>-102.5</v>
      </c>
      <c r="J72" s="9">
        <f t="shared" ca="1" si="13"/>
        <v>19972</v>
      </c>
      <c r="K72" s="9">
        <f t="shared" ca="1" si="14"/>
        <v>-57</v>
      </c>
      <c r="L72" s="9"/>
      <c r="M72" s="9"/>
      <c r="N72" s="11"/>
      <c r="O72" s="11"/>
      <c r="P72" s="11"/>
      <c r="Q72" s="11"/>
    </row>
    <row r="73" spans="2:17" s="8" customFormat="1" x14ac:dyDescent="0.45">
      <c r="B73" s="9">
        <f t="shared" si="15"/>
        <v>43</v>
      </c>
      <c r="C73" s="10">
        <f t="shared" si="8"/>
        <v>22572.930618167364</v>
      </c>
      <c r="D73" s="9">
        <f>-(B/2)</f>
        <v>-77.5</v>
      </c>
      <c r="E73" s="9">
        <f t="shared" si="9"/>
        <v>-52.5</v>
      </c>
      <c r="F73" s="9">
        <f t="shared" si="10"/>
        <v>-102.5</v>
      </c>
      <c r="G73" s="9">
        <v>0</v>
      </c>
      <c r="H73" s="9">
        <f t="shared" si="11"/>
        <v>102.5</v>
      </c>
      <c r="I73" s="9">
        <f t="shared" si="12"/>
        <v>-102.5</v>
      </c>
      <c r="J73" s="9">
        <f t="shared" ca="1" si="13"/>
        <v>178</v>
      </c>
      <c r="K73" s="9">
        <f t="shared" ca="1" si="14"/>
        <v>62</v>
      </c>
      <c r="L73" s="9"/>
      <c r="M73" s="9"/>
      <c r="N73" s="11"/>
      <c r="O73" s="11"/>
      <c r="P73" s="11"/>
      <c r="Q73" s="11"/>
    </row>
    <row r="74" spans="2:17" s="8" customFormat="1" x14ac:dyDescent="0.45">
      <c r="B74" s="9">
        <f t="shared" si="15"/>
        <v>44</v>
      </c>
      <c r="C74" s="10">
        <f t="shared" si="8"/>
        <v>23097.882493008467</v>
      </c>
      <c r="D74" s="9">
        <f>(B/2)</f>
        <v>77.5</v>
      </c>
      <c r="E74" s="9">
        <f t="shared" si="9"/>
        <v>102.5</v>
      </c>
      <c r="F74" s="9">
        <f t="shared" si="10"/>
        <v>52.5</v>
      </c>
      <c r="G74" s="9">
        <v>0</v>
      </c>
      <c r="H74" s="9">
        <f t="shared" si="11"/>
        <v>102.5</v>
      </c>
      <c r="I74" s="9">
        <f t="shared" si="12"/>
        <v>-102.5</v>
      </c>
      <c r="J74" s="9">
        <f t="shared" ca="1" si="13"/>
        <v>4421</v>
      </c>
      <c r="K74" s="9">
        <f t="shared" ca="1" si="14"/>
        <v>-44</v>
      </c>
      <c r="L74" s="9"/>
      <c r="M74" s="9"/>
      <c r="N74" s="11"/>
      <c r="O74" s="11"/>
      <c r="P74" s="11"/>
      <c r="Q74" s="11"/>
    </row>
    <row r="75" spans="2:17" s="8" customFormat="1" x14ac:dyDescent="0.45">
      <c r="B75" s="9">
        <f t="shared" si="15"/>
        <v>45</v>
      </c>
      <c r="C75" s="10">
        <f t="shared" si="8"/>
        <v>23622.834367849566</v>
      </c>
      <c r="D75" s="9">
        <f>-(B/2)</f>
        <v>-77.5</v>
      </c>
      <c r="E75" s="9">
        <f t="shared" si="9"/>
        <v>-52.5</v>
      </c>
      <c r="F75" s="9">
        <f t="shared" si="10"/>
        <v>-102.5</v>
      </c>
      <c r="G75" s="9">
        <v>0</v>
      </c>
      <c r="H75" s="9">
        <f t="shared" si="11"/>
        <v>102.5</v>
      </c>
      <c r="I75" s="9">
        <f t="shared" si="12"/>
        <v>-102.5</v>
      </c>
      <c r="J75" s="9">
        <f t="shared" ca="1" si="13"/>
        <v>22235</v>
      </c>
      <c r="K75" s="9">
        <f t="shared" ca="1" si="14"/>
        <v>50</v>
      </c>
      <c r="L75" s="9"/>
      <c r="M75" s="9"/>
      <c r="N75" s="11"/>
      <c r="O75" s="11"/>
      <c r="P75" s="11"/>
      <c r="Q75" s="11"/>
    </row>
    <row r="76" spans="2:17" s="8" customFormat="1" x14ac:dyDescent="0.45">
      <c r="B76" s="9">
        <f t="shared" si="15"/>
        <v>46</v>
      </c>
      <c r="C76" s="10">
        <f t="shared" si="8"/>
        <v>24147.786242690669</v>
      </c>
      <c r="D76" s="9">
        <f>(B/2)</f>
        <v>77.5</v>
      </c>
      <c r="E76" s="9">
        <f t="shared" si="9"/>
        <v>102.5</v>
      </c>
      <c r="F76" s="9">
        <f t="shared" si="10"/>
        <v>52.5</v>
      </c>
      <c r="G76" s="9">
        <v>0</v>
      </c>
      <c r="H76" s="9">
        <f t="shared" si="11"/>
        <v>102.5</v>
      </c>
      <c r="I76" s="9">
        <f t="shared" si="12"/>
        <v>-102.5</v>
      </c>
      <c r="J76" s="9">
        <f t="shared" ca="1" si="13"/>
        <v>17301</v>
      </c>
      <c r="K76" s="9">
        <f t="shared" ca="1" si="14"/>
        <v>-76</v>
      </c>
      <c r="L76" s="9"/>
      <c r="M76" s="9"/>
      <c r="N76" s="11"/>
      <c r="O76" s="11"/>
      <c r="P76" s="11"/>
      <c r="Q76" s="11"/>
    </row>
    <row r="77" spans="2:17" s="8" customFormat="1" x14ac:dyDescent="0.45">
      <c r="B77" s="9">
        <f t="shared" si="15"/>
        <v>45.769909874639026</v>
      </c>
      <c r="C77" s="10">
        <f t="shared" si="8"/>
        <v>24027</v>
      </c>
      <c r="D77" s="9">
        <f>-(B/2)</f>
        <v>-77.5</v>
      </c>
      <c r="E77" s="9">
        <f t="shared" si="9"/>
        <v>-52.5</v>
      </c>
      <c r="F77" s="9">
        <f t="shared" si="10"/>
        <v>-102.5</v>
      </c>
      <c r="G77" s="9">
        <v>0</v>
      </c>
      <c r="H77" s="9">
        <f t="shared" si="11"/>
        <v>102.5</v>
      </c>
      <c r="I77" s="9">
        <f t="shared" si="12"/>
        <v>-102.5</v>
      </c>
      <c r="J77" s="9">
        <f t="shared" ca="1" si="13"/>
        <v>22136</v>
      </c>
      <c r="K77" s="9">
        <f t="shared" ca="1" si="14"/>
        <v>3</v>
      </c>
      <c r="L77" s="9"/>
      <c r="M77" s="9"/>
      <c r="N77" s="11"/>
      <c r="O77" s="11"/>
      <c r="P77" s="11"/>
      <c r="Q77" s="11"/>
    </row>
    <row r="78" spans="2:17" s="8" customFormat="1" x14ac:dyDescent="0.45">
      <c r="B78" s="9">
        <f t="shared" si="15"/>
        <v>45.769909874639026</v>
      </c>
      <c r="C78" s="10">
        <f t="shared" si="8"/>
        <v>24027</v>
      </c>
      <c r="D78" s="9">
        <f>(B/2)</f>
        <v>77.5</v>
      </c>
      <c r="E78" s="9">
        <f t="shared" si="9"/>
        <v>102.5</v>
      </c>
      <c r="F78" s="9">
        <f t="shared" si="10"/>
        <v>52.5</v>
      </c>
      <c r="G78" s="9">
        <v>0</v>
      </c>
      <c r="H78" s="9">
        <f t="shared" si="11"/>
        <v>102.5</v>
      </c>
      <c r="I78" s="9">
        <f t="shared" si="12"/>
        <v>-102.5</v>
      </c>
      <c r="J78" s="9">
        <f t="shared" ca="1" si="13"/>
        <v>15594</v>
      </c>
      <c r="K78" s="9">
        <f t="shared" ca="1" si="14"/>
        <v>32</v>
      </c>
      <c r="L78" s="9"/>
      <c r="M78" s="9"/>
      <c r="N78" s="11"/>
      <c r="O78" s="11"/>
      <c r="P78" s="11"/>
      <c r="Q78" s="11"/>
    </row>
    <row r="79" spans="2:17" s="8" customFormat="1" x14ac:dyDescent="0.45">
      <c r="B79" s="9">
        <f t="shared" si="15"/>
        <v>45.769909874639026</v>
      </c>
      <c r="C79" s="10">
        <f t="shared" si="8"/>
        <v>24027</v>
      </c>
      <c r="D79" s="9">
        <f>-(B/2)</f>
        <v>-77.5</v>
      </c>
      <c r="E79" s="9">
        <f t="shared" si="9"/>
        <v>-52.5</v>
      </c>
      <c r="F79" s="9">
        <f t="shared" si="10"/>
        <v>-102.5</v>
      </c>
      <c r="G79" s="9">
        <v>0</v>
      </c>
      <c r="H79" s="9">
        <f t="shared" si="11"/>
        <v>102.5</v>
      </c>
      <c r="I79" s="9">
        <f t="shared" si="12"/>
        <v>-102.5</v>
      </c>
      <c r="J79" s="9">
        <f t="shared" ca="1" si="13"/>
        <v>11482</v>
      </c>
      <c r="K79" s="9">
        <f t="shared" ca="1" si="14"/>
        <v>-77</v>
      </c>
      <c r="L79" s="9"/>
      <c r="M79" s="9"/>
      <c r="N79" s="11"/>
      <c r="O79" s="11"/>
      <c r="P79" s="11"/>
      <c r="Q79" s="11"/>
    </row>
    <row r="80" spans="2:17" s="8" customFormat="1" x14ac:dyDescent="0.45">
      <c r="B80" s="9">
        <f t="shared" si="15"/>
        <v>45.769909874639026</v>
      </c>
      <c r="C80" s="10">
        <f t="shared" si="8"/>
        <v>24027</v>
      </c>
      <c r="D80" s="9">
        <f>(B/2)</f>
        <v>77.5</v>
      </c>
      <c r="E80" s="9">
        <f t="shared" si="9"/>
        <v>102.5</v>
      </c>
      <c r="F80" s="9">
        <f t="shared" si="10"/>
        <v>52.5</v>
      </c>
      <c r="G80" s="9">
        <v>0</v>
      </c>
      <c r="H80" s="9">
        <f t="shared" si="11"/>
        <v>102.5</v>
      </c>
      <c r="I80" s="9">
        <f t="shared" si="12"/>
        <v>-102.5</v>
      </c>
      <c r="J80" s="9">
        <f t="shared" ca="1" si="13"/>
        <v>16303</v>
      </c>
      <c r="K80" s="9">
        <f t="shared" ca="1" si="14"/>
        <v>-13</v>
      </c>
      <c r="L80" s="9"/>
      <c r="M80" s="9"/>
      <c r="N80" s="11"/>
      <c r="O80" s="11"/>
      <c r="P80" s="11"/>
      <c r="Q80" s="11"/>
    </row>
    <row r="81" spans="2:17" s="8" customFormat="1" x14ac:dyDescent="0.45">
      <c r="B81" s="9">
        <f t="shared" si="15"/>
        <v>45.769909874639026</v>
      </c>
      <c r="C81" s="10">
        <f t="shared" si="8"/>
        <v>24027</v>
      </c>
      <c r="D81" s="9">
        <f>-(B/2)</f>
        <v>-77.5</v>
      </c>
      <c r="E81" s="9">
        <f t="shared" si="9"/>
        <v>-52.5</v>
      </c>
      <c r="F81" s="9">
        <f t="shared" si="10"/>
        <v>-102.5</v>
      </c>
      <c r="G81" s="9">
        <v>0</v>
      </c>
      <c r="H81" s="9">
        <f t="shared" si="11"/>
        <v>102.5</v>
      </c>
      <c r="I81" s="9">
        <f t="shared" si="12"/>
        <v>-102.5</v>
      </c>
      <c r="J81" s="9">
        <f t="shared" ca="1" si="13"/>
        <v>18442</v>
      </c>
      <c r="K81" s="9">
        <f t="shared" ca="1" si="14"/>
        <v>57</v>
      </c>
      <c r="L81" s="9"/>
      <c r="M81" s="9"/>
      <c r="N81" s="11"/>
      <c r="O81" s="11"/>
      <c r="P81" s="11"/>
      <c r="Q81" s="11"/>
    </row>
    <row r="82" spans="2:17" s="8" customFormat="1" x14ac:dyDescent="0.45">
      <c r="B82" s="9">
        <f t="shared" si="15"/>
        <v>45.769909874639026</v>
      </c>
      <c r="C82" s="10">
        <f t="shared" si="8"/>
        <v>24027</v>
      </c>
      <c r="D82" s="9">
        <f>(B/2)</f>
        <v>77.5</v>
      </c>
      <c r="E82" s="9">
        <f t="shared" si="9"/>
        <v>102.5</v>
      </c>
      <c r="F82" s="9">
        <f t="shared" si="10"/>
        <v>52.5</v>
      </c>
      <c r="G82" s="9">
        <v>0</v>
      </c>
      <c r="H82" s="9">
        <f t="shared" si="11"/>
        <v>102.5</v>
      </c>
      <c r="I82" s="9">
        <f t="shared" si="12"/>
        <v>-102.5</v>
      </c>
      <c r="J82" s="9">
        <f t="shared" ca="1" si="13"/>
        <v>22673</v>
      </c>
      <c r="K82" s="9">
        <f t="shared" ca="1" si="14"/>
        <v>64</v>
      </c>
      <c r="L82" s="9"/>
      <c r="M82" s="9"/>
      <c r="N82" s="11"/>
      <c r="O82" s="11"/>
      <c r="P82" s="11"/>
      <c r="Q82" s="11"/>
    </row>
    <row r="83" spans="2:17" s="8" customFormat="1" x14ac:dyDescent="0.45">
      <c r="B83" s="9">
        <f t="shared" si="15"/>
        <v>45.769909874639026</v>
      </c>
      <c r="C83" s="10">
        <f t="shared" si="8"/>
        <v>24027</v>
      </c>
      <c r="D83" s="9">
        <f>-(B/2)</f>
        <v>-77.5</v>
      </c>
      <c r="E83" s="9">
        <f t="shared" si="9"/>
        <v>-52.5</v>
      </c>
      <c r="F83" s="9">
        <f t="shared" si="10"/>
        <v>-102.5</v>
      </c>
      <c r="G83" s="9">
        <v>0</v>
      </c>
      <c r="H83" s="9">
        <f t="shared" si="11"/>
        <v>102.5</v>
      </c>
      <c r="I83" s="9">
        <f t="shared" si="12"/>
        <v>-102.5</v>
      </c>
      <c r="J83" s="9">
        <f t="shared" ca="1" si="13"/>
        <v>18834</v>
      </c>
      <c r="K83" s="9">
        <f t="shared" ca="1" si="14"/>
        <v>4</v>
      </c>
      <c r="L83" s="9"/>
      <c r="M83" s="9"/>
      <c r="N83" s="11"/>
      <c r="O83" s="11"/>
      <c r="P83" s="11"/>
      <c r="Q83" s="11"/>
    </row>
    <row r="84" spans="2:17" s="8" customFormat="1" x14ac:dyDescent="0.45">
      <c r="B84" s="9">
        <f t="shared" si="15"/>
        <v>45.769909874639026</v>
      </c>
      <c r="C84" s="10">
        <f t="shared" si="8"/>
        <v>24027</v>
      </c>
      <c r="D84" s="9">
        <f>(B/2)</f>
        <v>77.5</v>
      </c>
      <c r="E84" s="9">
        <f t="shared" si="9"/>
        <v>102.5</v>
      </c>
      <c r="F84" s="9">
        <f t="shared" si="10"/>
        <v>52.5</v>
      </c>
      <c r="G84" s="9">
        <v>0</v>
      </c>
      <c r="H84" s="9">
        <f t="shared" si="11"/>
        <v>102.5</v>
      </c>
      <c r="I84" s="9">
        <f t="shared" si="12"/>
        <v>-102.5</v>
      </c>
      <c r="J84" s="9">
        <f t="shared" ca="1" si="13"/>
        <v>16899</v>
      </c>
      <c r="K84" s="9">
        <f t="shared" ca="1" si="14"/>
        <v>-38</v>
      </c>
      <c r="L84" s="9"/>
      <c r="M84" s="9"/>
      <c r="N84" s="11"/>
      <c r="O84" s="11"/>
      <c r="P84" s="11"/>
      <c r="Q84" s="11"/>
    </row>
    <row r="85" spans="2:17" s="8" customFormat="1" x14ac:dyDescent="0.45">
      <c r="B85" s="9">
        <f t="shared" si="15"/>
        <v>45.769909874639026</v>
      </c>
      <c r="C85" s="10">
        <f t="shared" si="8"/>
        <v>24027</v>
      </c>
      <c r="D85" s="9">
        <f>-(B/2)</f>
        <v>-77.5</v>
      </c>
      <c r="E85" s="9">
        <f t="shared" si="9"/>
        <v>-52.5</v>
      </c>
      <c r="F85" s="9">
        <f t="shared" si="10"/>
        <v>-102.5</v>
      </c>
      <c r="G85" s="9">
        <v>0</v>
      </c>
      <c r="H85" s="9">
        <f t="shared" si="11"/>
        <v>102.5</v>
      </c>
      <c r="I85" s="9">
        <f t="shared" si="12"/>
        <v>-102.5</v>
      </c>
      <c r="J85" s="9">
        <f t="shared" ca="1" si="13"/>
        <v>10286</v>
      </c>
      <c r="K85" s="9">
        <f t="shared" ca="1" si="14"/>
        <v>21</v>
      </c>
      <c r="L85" s="9"/>
      <c r="M85" s="9"/>
      <c r="N85" s="11"/>
      <c r="O85" s="11"/>
      <c r="P85" s="11"/>
      <c r="Q85" s="11"/>
    </row>
    <row r="86" spans="2:17" s="8" customFormat="1" x14ac:dyDescent="0.45">
      <c r="B86" s="9">
        <f t="shared" si="15"/>
        <v>45.769909874639026</v>
      </c>
      <c r="C86" s="10">
        <f t="shared" si="8"/>
        <v>24027</v>
      </c>
      <c r="D86" s="9">
        <f>(B/2)</f>
        <v>77.5</v>
      </c>
      <c r="E86" s="9">
        <f t="shared" si="9"/>
        <v>102.5</v>
      </c>
      <c r="F86" s="9">
        <f t="shared" si="10"/>
        <v>52.5</v>
      </c>
      <c r="G86" s="9">
        <v>0</v>
      </c>
      <c r="H86" s="9">
        <f t="shared" si="11"/>
        <v>102.5</v>
      </c>
      <c r="I86" s="9">
        <f t="shared" si="12"/>
        <v>-102.5</v>
      </c>
      <c r="J86" s="9">
        <f t="shared" ca="1" si="13"/>
        <v>2895</v>
      </c>
      <c r="K86" s="9">
        <f t="shared" ca="1" si="14"/>
        <v>-24</v>
      </c>
      <c r="L86" s="9"/>
      <c r="M86" s="9"/>
      <c r="N86" s="11"/>
      <c r="O86" s="11"/>
      <c r="P86" s="11"/>
      <c r="Q86" s="11"/>
    </row>
    <row r="87" spans="2:17" s="8" customFormat="1" x14ac:dyDescent="0.45">
      <c r="B87" s="9">
        <f t="shared" si="15"/>
        <v>45.769909874639026</v>
      </c>
      <c r="C87" s="10">
        <f t="shared" si="8"/>
        <v>24027</v>
      </c>
      <c r="D87" s="9">
        <f>-(B/2)</f>
        <v>-77.5</v>
      </c>
      <c r="E87" s="9">
        <f t="shared" si="9"/>
        <v>-52.5</v>
      </c>
      <c r="F87" s="9">
        <f t="shared" si="10"/>
        <v>-102.5</v>
      </c>
      <c r="G87" s="9">
        <v>0</v>
      </c>
      <c r="H87" s="9">
        <f t="shared" si="11"/>
        <v>102.5</v>
      </c>
      <c r="I87" s="9">
        <f t="shared" si="12"/>
        <v>-102.5</v>
      </c>
      <c r="J87" s="9">
        <f t="shared" ca="1" si="13"/>
        <v>7441</v>
      </c>
      <c r="K87" s="9">
        <f t="shared" ca="1" si="14"/>
        <v>-37</v>
      </c>
      <c r="L87" s="9"/>
      <c r="M87" s="9"/>
      <c r="N87" s="11"/>
      <c r="O87" s="11"/>
      <c r="P87" s="11"/>
      <c r="Q87" s="11"/>
    </row>
    <row r="88" spans="2:17" s="8" customFormat="1" x14ac:dyDescent="0.45">
      <c r="B88" s="9">
        <f t="shared" si="15"/>
        <v>45.769909874639026</v>
      </c>
      <c r="C88" s="10">
        <f t="shared" si="8"/>
        <v>24027</v>
      </c>
      <c r="D88" s="9">
        <f>(B/2)</f>
        <v>77.5</v>
      </c>
      <c r="E88" s="9">
        <f t="shared" si="9"/>
        <v>102.5</v>
      </c>
      <c r="F88" s="9">
        <f t="shared" si="10"/>
        <v>52.5</v>
      </c>
      <c r="G88" s="9">
        <v>0</v>
      </c>
      <c r="H88" s="9">
        <f t="shared" si="11"/>
        <v>102.5</v>
      </c>
      <c r="I88" s="9">
        <f t="shared" si="12"/>
        <v>-102.5</v>
      </c>
      <c r="J88" s="9">
        <f t="shared" ca="1" si="13"/>
        <v>5538</v>
      </c>
      <c r="K88" s="9">
        <f t="shared" ca="1" si="14"/>
        <v>51</v>
      </c>
      <c r="L88" s="9"/>
      <c r="M88" s="9"/>
      <c r="N88" s="11"/>
      <c r="O88" s="11"/>
      <c r="P88" s="11"/>
      <c r="Q88" s="11"/>
    </row>
    <row r="89" spans="2:17" s="8" customFormat="1" x14ac:dyDescent="0.45">
      <c r="B89" s="9">
        <f t="shared" si="15"/>
        <v>45.769909874639026</v>
      </c>
      <c r="C89" s="10">
        <f t="shared" si="8"/>
        <v>24027</v>
      </c>
      <c r="D89" s="9">
        <f>-(B/2)</f>
        <v>-77.5</v>
      </c>
      <c r="E89" s="9">
        <f t="shared" si="9"/>
        <v>-52.5</v>
      </c>
      <c r="F89" s="9">
        <f t="shared" si="10"/>
        <v>-102.5</v>
      </c>
      <c r="G89" s="9">
        <v>0</v>
      </c>
      <c r="H89" s="9">
        <f t="shared" si="11"/>
        <v>102.5</v>
      </c>
      <c r="I89" s="9">
        <f t="shared" si="12"/>
        <v>-102.5</v>
      </c>
      <c r="J89" s="9">
        <f t="shared" ca="1" si="13"/>
        <v>23786</v>
      </c>
      <c r="K89" s="9">
        <f t="shared" ca="1" si="14"/>
        <v>40</v>
      </c>
      <c r="L89" s="9"/>
      <c r="M89" s="9"/>
      <c r="N89" s="11"/>
      <c r="O89" s="11"/>
      <c r="P89" s="11"/>
      <c r="Q89" s="11"/>
    </row>
    <row r="90" spans="2:17" s="8" customFormat="1" x14ac:dyDescent="0.45">
      <c r="B90" s="9">
        <f t="shared" si="15"/>
        <v>45.769909874639026</v>
      </c>
      <c r="C90" s="10">
        <f t="shared" si="8"/>
        <v>24027</v>
      </c>
      <c r="D90" s="9">
        <f>(B/2)</f>
        <v>77.5</v>
      </c>
      <c r="E90" s="9">
        <f t="shared" si="9"/>
        <v>102.5</v>
      </c>
      <c r="F90" s="9">
        <f t="shared" si="10"/>
        <v>52.5</v>
      </c>
      <c r="G90" s="9">
        <v>0</v>
      </c>
      <c r="H90" s="9">
        <f t="shared" si="11"/>
        <v>102.5</v>
      </c>
      <c r="I90" s="9">
        <f t="shared" si="12"/>
        <v>-102.5</v>
      </c>
      <c r="J90" s="9">
        <f t="shared" ca="1" si="13"/>
        <v>21309</v>
      </c>
      <c r="K90" s="9">
        <f t="shared" ca="1" si="14"/>
        <v>77</v>
      </c>
      <c r="L90" s="9"/>
      <c r="M90" s="9"/>
      <c r="N90" s="11"/>
      <c r="O90" s="11"/>
      <c r="P90" s="11"/>
      <c r="Q90" s="11"/>
    </row>
    <row r="91" spans="2:17" s="8" customFormat="1" x14ac:dyDescent="0.45">
      <c r="B91" s="9">
        <f t="shared" si="15"/>
        <v>45.769909874639026</v>
      </c>
      <c r="C91" s="10">
        <f t="shared" si="8"/>
        <v>24027</v>
      </c>
      <c r="D91" s="9">
        <f>-(B/2)</f>
        <v>-77.5</v>
      </c>
      <c r="E91" s="9">
        <f t="shared" si="9"/>
        <v>-52.5</v>
      </c>
      <c r="F91" s="9">
        <f t="shared" si="10"/>
        <v>-102.5</v>
      </c>
      <c r="G91" s="9">
        <v>0</v>
      </c>
      <c r="H91" s="9">
        <f t="shared" si="11"/>
        <v>102.5</v>
      </c>
      <c r="I91" s="9">
        <f t="shared" si="12"/>
        <v>-102.5</v>
      </c>
      <c r="J91" s="9">
        <f t="shared" ca="1" si="13"/>
        <v>9841</v>
      </c>
      <c r="K91" s="9">
        <f t="shared" ca="1" si="14"/>
        <v>-33</v>
      </c>
      <c r="L91" s="9"/>
      <c r="M91" s="9"/>
      <c r="N91" s="11"/>
      <c r="O91" s="11"/>
      <c r="P91" s="11"/>
      <c r="Q91" s="11"/>
    </row>
    <row r="92" spans="2:17" s="8" customFormat="1" x14ac:dyDescent="0.45">
      <c r="B92" s="9">
        <f t="shared" si="15"/>
        <v>45.769909874639026</v>
      </c>
      <c r="C92" s="10">
        <f t="shared" si="8"/>
        <v>24027</v>
      </c>
      <c r="D92" s="9">
        <f>(B/2)</f>
        <v>77.5</v>
      </c>
      <c r="E92" s="9">
        <f t="shared" si="9"/>
        <v>102.5</v>
      </c>
      <c r="F92" s="9">
        <f t="shared" si="10"/>
        <v>52.5</v>
      </c>
      <c r="G92" s="9">
        <v>0</v>
      </c>
      <c r="H92" s="9">
        <f t="shared" si="11"/>
        <v>102.5</v>
      </c>
      <c r="I92" s="9">
        <f t="shared" si="12"/>
        <v>-102.5</v>
      </c>
      <c r="J92" s="9">
        <f t="shared" ca="1" si="13"/>
        <v>8491</v>
      </c>
      <c r="K92" s="9">
        <f t="shared" ca="1" si="14"/>
        <v>28</v>
      </c>
      <c r="L92" s="9"/>
      <c r="M92" s="9"/>
      <c r="N92" s="11"/>
      <c r="O92" s="11"/>
      <c r="P92" s="11"/>
      <c r="Q92" s="11"/>
    </row>
    <row r="93" spans="2:17" s="8" customFormat="1" x14ac:dyDescent="0.45">
      <c r="B93" s="9">
        <f t="shared" si="15"/>
        <v>45.769909874639026</v>
      </c>
      <c r="C93" s="10">
        <f t="shared" si="8"/>
        <v>24027</v>
      </c>
      <c r="D93" s="9">
        <f>-(B/2)</f>
        <v>-77.5</v>
      </c>
      <c r="E93" s="9">
        <f t="shared" si="9"/>
        <v>-52.5</v>
      </c>
      <c r="F93" s="9">
        <f t="shared" si="10"/>
        <v>-102.5</v>
      </c>
      <c r="G93" s="9">
        <v>0</v>
      </c>
      <c r="H93" s="9">
        <f t="shared" si="11"/>
        <v>102.5</v>
      </c>
      <c r="I93" s="9">
        <f t="shared" si="12"/>
        <v>-102.5</v>
      </c>
      <c r="J93" s="9">
        <f t="shared" ca="1" si="13"/>
        <v>13804</v>
      </c>
      <c r="K93" s="9">
        <f t="shared" ca="1" si="14"/>
        <v>47</v>
      </c>
      <c r="L93" s="9"/>
      <c r="M93" s="9"/>
      <c r="N93" s="11"/>
      <c r="O93" s="11"/>
      <c r="P93" s="11"/>
      <c r="Q93" s="11"/>
    </row>
    <row r="94" spans="2:17" s="8" customFormat="1" x14ac:dyDescent="0.45">
      <c r="B94" s="9">
        <f t="shared" si="15"/>
        <v>45.769909874639026</v>
      </c>
      <c r="C94" s="10">
        <f t="shared" ref="C94:C125" si="16">IF(B94=0,0,B94*Lm)</f>
        <v>24027</v>
      </c>
      <c r="D94" s="9">
        <f>(B/2)</f>
        <v>77.5</v>
      </c>
      <c r="E94" s="9">
        <f t="shared" ref="E94:E125" si="17">D94+(b_anchocanaldominante/2)</f>
        <v>102.5</v>
      </c>
      <c r="F94" s="9">
        <f t="shared" ref="F94:F130" si="18">D94-(b_anchocanaldominante/2)</f>
        <v>52.5</v>
      </c>
      <c r="G94" s="9">
        <v>0</v>
      </c>
      <c r="H94" s="9">
        <f t="shared" ref="H94:H130" si="19">(B/2)+(b_anchocanaldominante/2)</f>
        <v>102.5</v>
      </c>
      <c r="I94" s="9">
        <f t="shared" ref="I94:I130" si="20">-(B/2)-(b_anchocanaldominante/2)</f>
        <v>-102.5</v>
      </c>
      <c r="J94" s="9">
        <f t="shared" ref="J94:J130" ca="1" si="21">RANDBETWEEN(b_anchocanaldominante,Lc)</f>
        <v>8073</v>
      </c>
      <c r="K94" s="9">
        <f t="shared" ref="K94:K130" ca="1" si="22">RANDBETWEEN(-B/2,B/2)</f>
        <v>27</v>
      </c>
      <c r="L94" s="9"/>
      <c r="M94" s="9"/>
      <c r="N94" s="11"/>
      <c r="O94" s="11"/>
      <c r="P94" s="11"/>
      <c r="Q94" s="11"/>
    </row>
    <row r="95" spans="2:17" s="8" customFormat="1" x14ac:dyDescent="0.45">
      <c r="B95" s="9">
        <f t="shared" ref="B95:B130" si="23">IF(B94&lt;n,B94+1,n)</f>
        <v>45.769909874639026</v>
      </c>
      <c r="C95" s="10">
        <f t="shared" si="16"/>
        <v>24027</v>
      </c>
      <c r="D95" s="9">
        <f>-(B/2)</f>
        <v>-77.5</v>
      </c>
      <c r="E95" s="9">
        <f t="shared" si="17"/>
        <v>-52.5</v>
      </c>
      <c r="F95" s="9">
        <f t="shared" si="18"/>
        <v>-102.5</v>
      </c>
      <c r="G95" s="9">
        <v>0</v>
      </c>
      <c r="H95" s="9">
        <f t="shared" si="19"/>
        <v>102.5</v>
      </c>
      <c r="I95" s="9">
        <f t="shared" si="20"/>
        <v>-102.5</v>
      </c>
      <c r="J95" s="9">
        <f t="shared" ca="1" si="21"/>
        <v>19729</v>
      </c>
      <c r="K95" s="9">
        <f t="shared" ca="1" si="22"/>
        <v>-29</v>
      </c>
      <c r="L95" s="9"/>
      <c r="M95" s="9"/>
      <c r="N95" s="11"/>
      <c r="O95" s="11"/>
      <c r="P95" s="11"/>
      <c r="Q95" s="11"/>
    </row>
    <row r="96" spans="2:17" s="8" customFormat="1" x14ac:dyDescent="0.45">
      <c r="B96" s="9">
        <f t="shared" si="23"/>
        <v>45.769909874639026</v>
      </c>
      <c r="C96" s="10">
        <f t="shared" si="16"/>
        <v>24027</v>
      </c>
      <c r="D96" s="9">
        <f>(B/2)</f>
        <v>77.5</v>
      </c>
      <c r="E96" s="9">
        <f t="shared" si="17"/>
        <v>102.5</v>
      </c>
      <c r="F96" s="9">
        <f t="shared" si="18"/>
        <v>52.5</v>
      </c>
      <c r="G96" s="9">
        <v>0</v>
      </c>
      <c r="H96" s="9">
        <f t="shared" si="19"/>
        <v>102.5</v>
      </c>
      <c r="I96" s="9">
        <f t="shared" si="20"/>
        <v>-102.5</v>
      </c>
      <c r="J96" s="9">
        <f t="shared" ca="1" si="21"/>
        <v>10108</v>
      </c>
      <c r="K96" s="9">
        <f t="shared" ca="1" si="22"/>
        <v>17</v>
      </c>
      <c r="L96" s="9"/>
      <c r="M96" s="9"/>
      <c r="N96" s="11"/>
      <c r="O96" s="11"/>
      <c r="P96" s="11"/>
      <c r="Q96" s="11"/>
    </row>
    <row r="97" spans="2:17" s="8" customFormat="1" x14ac:dyDescent="0.45">
      <c r="B97" s="9">
        <f t="shared" si="23"/>
        <v>45.769909874639026</v>
      </c>
      <c r="C97" s="10">
        <f t="shared" si="16"/>
        <v>24027</v>
      </c>
      <c r="D97" s="9">
        <f>-(B/2)</f>
        <v>-77.5</v>
      </c>
      <c r="E97" s="9">
        <f t="shared" si="17"/>
        <v>-52.5</v>
      </c>
      <c r="F97" s="9">
        <f t="shared" si="18"/>
        <v>-102.5</v>
      </c>
      <c r="G97" s="9">
        <v>0</v>
      </c>
      <c r="H97" s="9">
        <f t="shared" si="19"/>
        <v>102.5</v>
      </c>
      <c r="I97" s="9">
        <f t="shared" si="20"/>
        <v>-102.5</v>
      </c>
      <c r="J97" s="9">
        <f t="shared" ca="1" si="21"/>
        <v>14990</v>
      </c>
      <c r="K97" s="9">
        <f t="shared" ca="1" si="22"/>
        <v>55</v>
      </c>
      <c r="L97" s="9"/>
      <c r="M97" s="9"/>
      <c r="N97" s="11"/>
      <c r="O97" s="11"/>
      <c r="P97" s="11"/>
      <c r="Q97" s="11"/>
    </row>
    <row r="98" spans="2:17" s="8" customFormat="1" x14ac:dyDescent="0.45">
      <c r="B98" s="9">
        <f t="shared" si="23"/>
        <v>45.769909874639026</v>
      </c>
      <c r="C98" s="10">
        <f t="shared" si="16"/>
        <v>24027</v>
      </c>
      <c r="D98" s="9">
        <f>(B/2)</f>
        <v>77.5</v>
      </c>
      <c r="E98" s="9">
        <f t="shared" si="17"/>
        <v>102.5</v>
      </c>
      <c r="F98" s="9">
        <f t="shared" si="18"/>
        <v>52.5</v>
      </c>
      <c r="G98" s="9">
        <v>0</v>
      </c>
      <c r="H98" s="9">
        <f t="shared" si="19"/>
        <v>102.5</v>
      </c>
      <c r="I98" s="9">
        <f t="shared" si="20"/>
        <v>-102.5</v>
      </c>
      <c r="J98" s="9">
        <f t="shared" ca="1" si="21"/>
        <v>358</v>
      </c>
      <c r="K98" s="9">
        <f t="shared" ca="1" si="22"/>
        <v>54</v>
      </c>
      <c r="L98" s="9"/>
      <c r="M98" s="9"/>
      <c r="N98" s="11"/>
      <c r="O98" s="11"/>
      <c r="P98" s="11"/>
      <c r="Q98" s="11"/>
    </row>
    <row r="99" spans="2:17" s="8" customFormat="1" x14ac:dyDescent="0.45">
      <c r="B99" s="9">
        <f t="shared" si="23"/>
        <v>45.769909874639026</v>
      </c>
      <c r="C99" s="10">
        <f t="shared" si="16"/>
        <v>24027</v>
      </c>
      <c r="D99" s="9">
        <f>-(B/2)</f>
        <v>-77.5</v>
      </c>
      <c r="E99" s="9">
        <f t="shared" si="17"/>
        <v>-52.5</v>
      </c>
      <c r="F99" s="9">
        <f t="shared" si="18"/>
        <v>-102.5</v>
      </c>
      <c r="G99" s="9">
        <v>0</v>
      </c>
      <c r="H99" s="9">
        <f t="shared" si="19"/>
        <v>102.5</v>
      </c>
      <c r="I99" s="9">
        <f t="shared" si="20"/>
        <v>-102.5</v>
      </c>
      <c r="J99" s="9">
        <f t="shared" ca="1" si="21"/>
        <v>16692</v>
      </c>
      <c r="K99" s="9">
        <f t="shared" ca="1" si="22"/>
        <v>27</v>
      </c>
      <c r="L99" s="9"/>
      <c r="M99" s="9"/>
      <c r="N99" s="11"/>
      <c r="O99" s="11"/>
      <c r="P99" s="11"/>
      <c r="Q99" s="11"/>
    </row>
    <row r="100" spans="2:17" s="8" customFormat="1" x14ac:dyDescent="0.45">
      <c r="B100" s="9">
        <f t="shared" si="23"/>
        <v>45.769909874639026</v>
      </c>
      <c r="C100" s="10">
        <f t="shared" si="16"/>
        <v>24027</v>
      </c>
      <c r="D100" s="9">
        <f>(B/2)</f>
        <v>77.5</v>
      </c>
      <c r="E100" s="9">
        <f t="shared" si="17"/>
        <v>102.5</v>
      </c>
      <c r="F100" s="9">
        <f t="shared" si="18"/>
        <v>52.5</v>
      </c>
      <c r="G100" s="9">
        <v>0</v>
      </c>
      <c r="H100" s="9">
        <f t="shared" si="19"/>
        <v>102.5</v>
      </c>
      <c r="I100" s="9">
        <f t="shared" si="20"/>
        <v>-102.5</v>
      </c>
      <c r="J100" s="9">
        <f t="shared" ca="1" si="21"/>
        <v>6765</v>
      </c>
      <c r="K100" s="9">
        <f t="shared" ca="1" si="22"/>
        <v>3</v>
      </c>
      <c r="L100" s="9"/>
      <c r="M100" s="9"/>
      <c r="N100" s="11"/>
      <c r="O100" s="11"/>
      <c r="P100" s="11"/>
      <c r="Q100" s="11"/>
    </row>
    <row r="101" spans="2:17" s="8" customFormat="1" x14ac:dyDescent="0.45">
      <c r="B101" s="9">
        <f t="shared" si="23"/>
        <v>45.769909874639026</v>
      </c>
      <c r="C101" s="10">
        <f t="shared" si="16"/>
        <v>24027</v>
      </c>
      <c r="D101" s="9">
        <f>-(B/2)</f>
        <v>-77.5</v>
      </c>
      <c r="E101" s="9">
        <f t="shared" si="17"/>
        <v>-52.5</v>
      </c>
      <c r="F101" s="9">
        <f t="shared" si="18"/>
        <v>-102.5</v>
      </c>
      <c r="G101" s="9">
        <v>0</v>
      </c>
      <c r="H101" s="9">
        <f t="shared" si="19"/>
        <v>102.5</v>
      </c>
      <c r="I101" s="9">
        <f t="shared" si="20"/>
        <v>-102.5</v>
      </c>
      <c r="J101" s="9">
        <f t="shared" ca="1" si="21"/>
        <v>5075</v>
      </c>
      <c r="K101" s="9">
        <f t="shared" ca="1" si="22"/>
        <v>54</v>
      </c>
      <c r="L101" s="9"/>
      <c r="M101" s="9"/>
      <c r="N101" s="11"/>
      <c r="O101" s="11"/>
      <c r="P101" s="11"/>
      <c r="Q101" s="11"/>
    </row>
    <row r="102" spans="2:17" s="8" customFormat="1" x14ac:dyDescent="0.45">
      <c r="B102" s="9">
        <f t="shared" si="23"/>
        <v>45.769909874639026</v>
      </c>
      <c r="C102" s="10">
        <f t="shared" si="16"/>
        <v>24027</v>
      </c>
      <c r="D102" s="9">
        <f>(B/2)</f>
        <v>77.5</v>
      </c>
      <c r="E102" s="9">
        <f t="shared" si="17"/>
        <v>102.5</v>
      </c>
      <c r="F102" s="9">
        <f t="shared" si="18"/>
        <v>52.5</v>
      </c>
      <c r="G102" s="9">
        <v>0</v>
      </c>
      <c r="H102" s="9">
        <f t="shared" si="19"/>
        <v>102.5</v>
      </c>
      <c r="I102" s="9">
        <f t="shared" si="20"/>
        <v>-102.5</v>
      </c>
      <c r="J102" s="9">
        <f t="shared" ca="1" si="21"/>
        <v>5893</v>
      </c>
      <c r="K102" s="9">
        <f t="shared" ca="1" si="22"/>
        <v>-34</v>
      </c>
      <c r="L102" s="9"/>
      <c r="M102" s="9"/>
      <c r="N102" s="11"/>
      <c r="O102" s="11"/>
      <c r="P102" s="11"/>
      <c r="Q102" s="11"/>
    </row>
    <row r="103" spans="2:17" s="8" customFormat="1" x14ac:dyDescent="0.45">
      <c r="B103" s="9">
        <f t="shared" si="23"/>
        <v>45.769909874639026</v>
      </c>
      <c r="C103" s="10">
        <f t="shared" si="16"/>
        <v>24027</v>
      </c>
      <c r="D103" s="9">
        <f>-(B/2)</f>
        <v>-77.5</v>
      </c>
      <c r="E103" s="9">
        <f t="shared" si="17"/>
        <v>-52.5</v>
      </c>
      <c r="F103" s="9">
        <f t="shared" si="18"/>
        <v>-102.5</v>
      </c>
      <c r="G103" s="9">
        <v>0</v>
      </c>
      <c r="H103" s="9">
        <f t="shared" si="19"/>
        <v>102.5</v>
      </c>
      <c r="I103" s="9">
        <f t="shared" si="20"/>
        <v>-102.5</v>
      </c>
      <c r="J103" s="9">
        <f t="shared" ca="1" si="21"/>
        <v>1133</v>
      </c>
      <c r="K103" s="9">
        <f t="shared" ca="1" si="22"/>
        <v>-65</v>
      </c>
      <c r="L103" s="9"/>
      <c r="M103" s="9"/>
      <c r="N103" s="11"/>
      <c r="O103" s="11"/>
      <c r="P103" s="11"/>
      <c r="Q103" s="11"/>
    </row>
    <row r="104" spans="2:17" s="8" customFormat="1" x14ac:dyDescent="0.45">
      <c r="B104" s="9">
        <f t="shared" si="23"/>
        <v>45.769909874639026</v>
      </c>
      <c r="C104" s="10">
        <f t="shared" si="16"/>
        <v>24027</v>
      </c>
      <c r="D104" s="9">
        <f>(B/2)</f>
        <v>77.5</v>
      </c>
      <c r="E104" s="9">
        <f t="shared" si="17"/>
        <v>102.5</v>
      </c>
      <c r="F104" s="9">
        <f t="shared" si="18"/>
        <v>52.5</v>
      </c>
      <c r="G104" s="9">
        <v>0</v>
      </c>
      <c r="H104" s="9">
        <f t="shared" si="19"/>
        <v>102.5</v>
      </c>
      <c r="I104" s="9">
        <f t="shared" si="20"/>
        <v>-102.5</v>
      </c>
      <c r="J104" s="9">
        <f t="shared" ca="1" si="21"/>
        <v>10034</v>
      </c>
      <c r="K104" s="9">
        <f t="shared" ca="1" si="22"/>
        <v>71</v>
      </c>
      <c r="L104" s="9"/>
      <c r="M104" s="9"/>
      <c r="N104" s="11"/>
      <c r="O104" s="11"/>
      <c r="P104" s="11"/>
      <c r="Q104" s="11"/>
    </row>
    <row r="105" spans="2:17" s="8" customFormat="1" x14ac:dyDescent="0.45">
      <c r="B105" s="9">
        <f t="shared" si="23"/>
        <v>45.769909874639026</v>
      </c>
      <c r="C105" s="10">
        <f t="shared" si="16"/>
        <v>24027</v>
      </c>
      <c r="D105" s="9">
        <f>-(B/2)</f>
        <v>-77.5</v>
      </c>
      <c r="E105" s="9">
        <f t="shared" si="17"/>
        <v>-52.5</v>
      </c>
      <c r="F105" s="9">
        <f t="shared" si="18"/>
        <v>-102.5</v>
      </c>
      <c r="G105" s="9">
        <v>0</v>
      </c>
      <c r="H105" s="9">
        <f t="shared" si="19"/>
        <v>102.5</v>
      </c>
      <c r="I105" s="9">
        <f t="shared" si="20"/>
        <v>-102.5</v>
      </c>
      <c r="J105" s="9">
        <f t="shared" ca="1" si="21"/>
        <v>2564</v>
      </c>
      <c r="K105" s="9">
        <f t="shared" ca="1" si="22"/>
        <v>67</v>
      </c>
      <c r="L105" s="9"/>
      <c r="M105" s="9"/>
      <c r="N105" s="11"/>
      <c r="O105" s="11"/>
      <c r="P105" s="11"/>
      <c r="Q105" s="11"/>
    </row>
    <row r="106" spans="2:17" s="8" customFormat="1" x14ac:dyDescent="0.45">
      <c r="B106" s="9">
        <f t="shared" si="23"/>
        <v>45.769909874639026</v>
      </c>
      <c r="C106" s="10">
        <f t="shared" si="16"/>
        <v>24027</v>
      </c>
      <c r="D106" s="9">
        <f>(B/2)</f>
        <v>77.5</v>
      </c>
      <c r="E106" s="9">
        <f t="shared" si="17"/>
        <v>102.5</v>
      </c>
      <c r="F106" s="9">
        <f t="shared" si="18"/>
        <v>52.5</v>
      </c>
      <c r="G106" s="9">
        <v>0</v>
      </c>
      <c r="H106" s="9">
        <f t="shared" si="19"/>
        <v>102.5</v>
      </c>
      <c r="I106" s="9">
        <f t="shared" si="20"/>
        <v>-102.5</v>
      </c>
      <c r="J106" s="9">
        <f t="shared" ca="1" si="21"/>
        <v>23786</v>
      </c>
      <c r="K106" s="9">
        <f t="shared" ca="1" si="22"/>
        <v>33</v>
      </c>
      <c r="L106" s="9"/>
      <c r="M106" s="9"/>
      <c r="N106" s="11"/>
      <c r="O106" s="11"/>
      <c r="P106" s="11"/>
      <c r="Q106" s="11"/>
    </row>
    <row r="107" spans="2:17" s="8" customFormat="1" x14ac:dyDescent="0.45">
      <c r="B107" s="9">
        <f t="shared" si="23"/>
        <v>45.769909874639026</v>
      </c>
      <c r="C107" s="10">
        <f t="shared" si="16"/>
        <v>24027</v>
      </c>
      <c r="D107" s="9">
        <f>-(B/2)</f>
        <v>-77.5</v>
      </c>
      <c r="E107" s="9">
        <f t="shared" si="17"/>
        <v>-52.5</v>
      </c>
      <c r="F107" s="9">
        <f t="shared" si="18"/>
        <v>-102.5</v>
      </c>
      <c r="G107" s="9">
        <v>0</v>
      </c>
      <c r="H107" s="9">
        <f t="shared" si="19"/>
        <v>102.5</v>
      </c>
      <c r="I107" s="9">
        <f t="shared" si="20"/>
        <v>-102.5</v>
      </c>
      <c r="J107" s="9">
        <f t="shared" ca="1" si="21"/>
        <v>14231</v>
      </c>
      <c r="K107" s="9">
        <f t="shared" ca="1" si="22"/>
        <v>-50</v>
      </c>
      <c r="L107" s="9"/>
      <c r="M107" s="9"/>
      <c r="N107" s="11"/>
      <c r="O107" s="11"/>
      <c r="P107" s="11"/>
      <c r="Q107" s="11"/>
    </row>
    <row r="108" spans="2:17" s="8" customFormat="1" x14ac:dyDescent="0.45">
      <c r="B108" s="9">
        <f t="shared" si="23"/>
        <v>45.769909874639026</v>
      </c>
      <c r="C108" s="10">
        <f t="shared" si="16"/>
        <v>24027</v>
      </c>
      <c r="D108" s="9">
        <f>(B/2)</f>
        <v>77.5</v>
      </c>
      <c r="E108" s="9">
        <f t="shared" si="17"/>
        <v>102.5</v>
      </c>
      <c r="F108" s="9">
        <f t="shared" si="18"/>
        <v>52.5</v>
      </c>
      <c r="G108" s="9">
        <v>0</v>
      </c>
      <c r="H108" s="9">
        <f t="shared" si="19"/>
        <v>102.5</v>
      </c>
      <c r="I108" s="9">
        <f t="shared" si="20"/>
        <v>-102.5</v>
      </c>
      <c r="J108" s="9">
        <f t="shared" ca="1" si="21"/>
        <v>11960</v>
      </c>
      <c r="K108" s="9">
        <f t="shared" ca="1" si="22"/>
        <v>-22</v>
      </c>
      <c r="L108" s="9"/>
      <c r="M108" s="9"/>
      <c r="N108" s="11"/>
      <c r="O108" s="11"/>
      <c r="P108" s="11"/>
      <c r="Q108" s="11"/>
    </row>
    <row r="109" spans="2:17" s="8" customFormat="1" x14ac:dyDescent="0.45">
      <c r="B109" s="9">
        <f t="shared" si="23"/>
        <v>45.769909874639026</v>
      </c>
      <c r="C109" s="10">
        <f t="shared" si="16"/>
        <v>24027</v>
      </c>
      <c r="D109" s="9">
        <f>-(B/2)</f>
        <v>-77.5</v>
      </c>
      <c r="E109" s="9">
        <f t="shared" si="17"/>
        <v>-52.5</v>
      </c>
      <c r="F109" s="9">
        <f t="shared" si="18"/>
        <v>-102.5</v>
      </c>
      <c r="G109" s="9">
        <v>0</v>
      </c>
      <c r="H109" s="9">
        <f t="shared" si="19"/>
        <v>102.5</v>
      </c>
      <c r="I109" s="9">
        <f t="shared" si="20"/>
        <v>-102.5</v>
      </c>
      <c r="J109" s="9">
        <f t="shared" ca="1" si="21"/>
        <v>12541</v>
      </c>
      <c r="K109" s="9">
        <f t="shared" ca="1" si="22"/>
        <v>40</v>
      </c>
      <c r="L109" s="9"/>
      <c r="M109" s="9"/>
      <c r="N109" s="11"/>
      <c r="O109" s="11"/>
      <c r="P109" s="11"/>
      <c r="Q109" s="11"/>
    </row>
    <row r="110" spans="2:17" s="8" customFormat="1" x14ac:dyDescent="0.45">
      <c r="B110" s="9">
        <f t="shared" si="23"/>
        <v>45.769909874639026</v>
      </c>
      <c r="C110" s="10">
        <f t="shared" si="16"/>
        <v>24027</v>
      </c>
      <c r="D110" s="9">
        <f>(B/2)</f>
        <v>77.5</v>
      </c>
      <c r="E110" s="9">
        <f t="shared" si="17"/>
        <v>102.5</v>
      </c>
      <c r="F110" s="9">
        <f t="shared" si="18"/>
        <v>52.5</v>
      </c>
      <c r="G110" s="9">
        <v>0</v>
      </c>
      <c r="H110" s="9">
        <f t="shared" si="19"/>
        <v>102.5</v>
      </c>
      <c r="I110" s="9">
        <f t="shared" si="20"/>
        <v>-102.5</v>
      </c>
      <c r="J110" s="9">
        <f t="shared" ca="1" si="21"/>
        <v>17784</v>
      </c>
      <c r="K110" s="9">
        <f t="shared" ca="1" si="22"/>
        <v>-58</v>
      </c>
      <c r="L110" s="9"/>
      <c r="M110" s="9"/>
      <c r="N110" s="11"/>
      <c r="O110" s="11"/>
      <c r="P110" s="11"/>
      <c r="Q110" s="11"/>
    </row>
    <row r="111" spans="2:17" s="8" customFormat="1" x14ac:dyDescent="0.45">
      <c r="B111" s="9">
        <f t="shared" si="23"/>
        <v>45.769909874639026</v>
      </c>
      <c r="C111" s="10">
        <f t="shared" si="16"/>
        <v>24027</v>
      </c>
      <c r="D111" s="9">
        <f>-(B/2)</f>
        <v>-77.5</v>
      </c>
      <c r="E111" s="9">
        <f t="shared" si="17"/>
        <v>-52.5</v>
      </c>
      <c r="F111" s="9">
        <f t="shared" si="18"/>
        <v>-102.5</v>
      </c>
      <c r="G111" s="9">
        <v>0</v>
      </c>
      <c r="H111" s="9">
        <f t="shared" si="19"/>
        <v>102.5</v>
      </c>
      <c r="I111" s="9">
        <f t="shared" si="20"/>
        <v>-102.5</v>
      </c>
      <c r="J111" s="9">
        <f t="shared" ca="1" si="21"/>
        <v>10606</v>
      </c>
      <c r="K111" s="9">
        <f t="shared" ca="1" si="22"/>
        <v>-45</v>
      </c>
      <c r="L111" s="9"/>
      <c r="M111" s="9"/>
      <c r="N111" s="11"/>
      <c r="O111" s="11"/>
      <c r="P111" s="11"/>
      <c r="Q111" s="11"/>
    </row>
    <row r="112" spans="2:17" s="8" customFormat="1" x14ac:dyDescent="0.45">
      <c r="B112" s="9">
        <f t="shared" si="23"/>
        <v>45.769909874639026</v>
      </c>
      <c r="C112" s="10">
        <f t="shared" si="16"/>
        <v>24027</v>
      </c>
      <c r="D112" s="9">
        <f>(B/2)</f>
        <v>77.5</v>
      </c>
      <c r="E112" s="9">
        <f t="shared" si="17"/>
        <v>102.5</v>
      </c>
      <c r="F112" s="9">
        <f t="shared" si="18"/>
        <v>52.5</v>
      </c>
      <c r="G112" s="9">
        <v>0</v>
      </c>
      <c r="H112" s="9">
        <f t="shared" si="19"/>
        <v>102.5</v>
      </c>
      <c r="I112" s="9">
        <f t="shared" si="20"/>
        <v>-102.5</v>
      </c>
      <c r="J112" s="9">
        <f t="shared" ca="1" si="21"/>
        <v>3524</v>
      </c>
      <c r="K112" s="9">
        <f t="shared" ca="1" si="22"/>
        <v>20</v>
      </c>
      <c r="L112" s="9"/>
      <c r="M112" s="9"/>
      <c r="N112" s="11"/>
      <c r="O112" s="11"/>
      <c r="P112" s="11"/>
      <c r="Q112" s="11"/>
    </row>
    <row r="113" spans="2:17" s="8" customFormat="1" x14ac:dyDescent="0.45">
      <c r="B113" s="9">
        <f t="shared" si="23"/>
        <v>45.769909874639026</v>
      </c>
      <c r="C113" s="10">
        <f t="shared" si="16"/>
        <v>24027</v>
      </c>
      <c r="D113" s="9">
        <f>-(B/2)</f>
        <v>-77.5</v>
      </c>
      <c r="E113" s="9">
        <f t="shared" si="17"/>
        <v>-52.5</v>
      </c>
      <c r="F113" s="9">
        <f t="shared" si="18"/>
        <v>-102.5</v>
      </c>
      <c r="G113" s="9">
        <v>0</v>
      </c>
      <c r="H113" s="9">
        <f t="shared" si="19"/>
        <v>102.5</v>
      </c>
      <c r="I113" s="9">
        <f t="shared" si="20"/>
        <v>-102.5</v>
      </c>
      <c r="J113" s="9">
        <f t="shared" ca="1" si="21"/>
        <v>17403</v>
      </c>
      <c r="K113" s="9">
        <f t="shared" ca="1" si="22"/>
        <v>-48</v>
      </c>
      <c r="L113" s="9"/>
      <c r="M113" s="9"/>
      <c r="N113" s="11"/>
      <c r="O113" s="11"/>
      <c r="P113" s="11"/>
      <c r="Q113" s="11"/>
    </row>
    <row r="114" spans="2:17" s="8" customFormat="1" x14ac:dyDescent="0.45">
      <c r="B114" s="9">
        <f t="shared" si="23"/>
        <v>45.769909874639026</v>
      </c>
      <c r="C114" s="10">
        <f t="shared" si="16"/>
        <v>24027</v>
      </c>
      <c r="D114" s="9">
        <f>(B/2)</f>
        <v>77.5</v>
      </c>
      <c r="E114" s="9">
        <f t="shared" si="17"/>
        <v>102.5</v>
      </c>
      <c r="F114" s="9">
        <f t="shared" si="18"/>
        <v>52.5</v>
      </c>
      <c r="G114" s="9">
        <v>0</v>
      </c>
      <c r="H114" s="9">
        <f t="shared" si="19"/>
        <v>102.5</v>
      </c>
      <c r="I114" s="9">
        <f t="shared" si="20"/>
        <v>-102.5</v>
      </c>
      <c r="J114" s="9">
        <f t="shared" ca="1" si="21"/>
        <v>10552</v>
      </c>
      <c r="K114" s="9">
        <f t="shared" ca="1" si="22"/>
        <v>-28</v>
      </c>
      <c r="L114" s="9"/>
      <c r="M114" s="9"/>
      <c r="N114" s="11"/>
      <c r="O114" s="11"/>
      <c r="P114" s="11"/>
      <c r="Q114" s="11"/>
    </row>
    <row r="115" spans="2:17" s="8" customFormat="1" x14ac:dyDescent="0.45">
      <c r="B115" s="9">
        <f t="shared" si="23"/>
        <v>45.769909874639026</v>
      </c>
      <c r="C115" s="10">
        <f t="shared" si="16"/>
        <v>24027</v>
      </c>
      <c r="D115" s="9">
        <f>-(B/2)</f>
        <v>-77.5</v>
      </c>
      <c r="E115" s="9">
        <f t="shared" si="17"/>
        <v>-52.5</v>
      </c>
      <c r="F115" s="9">
        <f t="shared" si="18"/>
        <v>-102.5</v>
      </c>
      <c r="G115" s="9">
        <v>0</v>
      </c>
      <c r="H115" s="9">
        <f t="shared" si="19"/>
        <v>102.5</v>
      </c>
      <c r="I115" s="9">
        <f t="shared" si="20"/>
        <v>-102.5</v>
      </c>
      <c r="J115" s="9">
        <f t="shared" ca="1" si="21"/>
        <v>6807</v>
      </c>
      <c r="K115" s="9">
        <f t="shared" ca="1" si="22"/>
        <v>15</v>
      </c>
      <c r="L115" s="9"/>
      <c r="M115" s="9"/>
      <c r="N115" s="11"/>
      <c r="O115" s="11"/>
      <c r="P115" s="11"/>
      <c r="Q115" s="11"/>
    </row>
    <row r="116" spans="2:17" s="8" customFormat="1" x14ac:dyDescent="0.45">
      <c r="B116" s="9">
        <f t="shared" si="23"/>
        <v>45.769909874639026</v>
      </c>
      <c r="C116" s="10">
        <f t="shared" si="16"/>
        <v>24027</v>
      </c>
      <c r="D116" s="9">
        <f>(B/2)</f>
        <v>77.5</v>
      </c>
      <c r="E116" s="9">
        <f t="shared" si="17"/>
        <v>102.5</v>
      </c>
      <c r="F116" s="9">
        <f t="shared" si="18"/>
        <v>52.5</v>
      </c>
      <c r="G116" s="9">
        <v>0</v>
      </c>
      <c r="H116" s="9">
        <f t="shared" si="19"/>
        <v>102.5</v>
      </c>
      <c r="I116" s="9">
        <f t="shared" si="20"/>
        <v>-102.5</v>
      </c>
      <c r="J116" s="9">
        <f t="shared" ca="1" si="21"/>
        <v>5008</v>
      </c>
      <c r="K116" s="9">
        <f t="shared" ca="1" si="22"/>
        <v>68</v>
      </c>
      <c r="L116" s="9"/>
      <c r="M116" s="9"/>
      <c r="N116" s="11"/>
      <c r="O116" s="11"/>
      <c r="P116" s="11"/>
      <c r="Q116" s="11"/>
    </row>
    <row r="117" spans="2:17" s="8" customFormat="1" x14ac:dyDescent="0.45">
      <c r="B117" s="9">
        <f t="shared" si="23"/>
        <v>45.769909874639026</v>
      </c>
      <c r="C117" s="10">
        <f t="shared" si="16"/>
        <v>24027</v>
      </c>
      <c r="D117" s="9">
        <f>-(B/2)</f>
        <v>-77.5</v>
      </c>
      <c r="E117" s="9">
        <f t="shared" si="17"/>
        <v>-52.5</v>
      </c>
      <c r="F117" s="9">
        <f t="shared" si="18"/>
        <v>-102.5</v>
      </c>
      <c r="G117" s="9">
        <v>0</v>
      </c>
      <c r="H117" s="9">
        <f t="shared" si="19"/>
        <v>102.5</v>
      </c>
      <c r="I117" s="9">
        <f t="shared" si="20"/>
        <v>-102.5</v>
      </c>
      <c r="J117" s="9">
        <f t="shared" ca="1" si="21"/>
        <v>6651</v>
      </c>
      <c r="K117" s="9">
        <f t="shared" ca="1" si="22"/>
        <v>9</v>
      </c>
      <c r="L117" s="9"/>
      <c r="M117" s="9"/>
      <c r="N117" s="11"/>
      <c r="O117" s="11"/>
      <c r="P117" s="11"/>
      <c r="Q117" s="11"/>
    </row>
    <row r="118" spans="2:17" s="8" customFormat="1" x14ac:dyDescent="0.45">
      <c r="B118" s="9">
        <f t="shared" si="23"/>
        <v>45.769909874639026</v>
      </c>
      <c r="C118" s="10">
        <f t="shared" si="16"/>
        <v>24027</v>
      </c>
      <c r="D118" s="9">
        <f>(B/2)</f>
        <v>77.5</v>
      </c>
      <c r="E118" s="9">
        <f t="shared" si="17"/>
        <v>102.5</v>
      </c>
      <c r="F118" s="9">
        <f t="shared" si="18"/>
        <v>52.5</v>
      </c>
      <c r="G118" s="9">
        <v>0</v>
      </c>
      <c r="H118" s="9">
        <f t="shared" si="19"/>
        <v>102.5</v>
      </c>
      <c r="I118" s="9">
        <f t="shared" si="20"/>
        <v>-102.5</v>
      </c>
      <c r="J118" s="9">
        <f t="shared" ca="1" si="21"/>
        <v>990</v>
      </c>
      <c r="K118" s="9">
        <f t="shared" ca="1" si="22"/>
        <v>11</v>
      </c>
      <c r="L118" s="9"/>
      <c r="M118" s="9"/>
      <c r="N118" s="11"/>
      <c r="O118" s="11"/>
      <c r="P118" s="11"/>
      <c r="Q118" s="11"/>
    </row>
    <row r="119" spans="2:17" s="8" customFormat="1" x14ac:dyDescent="0.45">
      <c r="B119" s="9">
        <f t="shared" si="23"/>
        <v>45.769909874639026</v>
      </c>
      <c r="C119" s="10">
        <f t="shared" si="16"/>
        <v>24027</v>
      </c>
      <c r="D119" s="9">
        <f>-(B/2)</f>
        <v>-77.5</v>
      </c>
      <c r="E119" s="9">
        <f t="shared" si="17"/>
        <v>-52.5</v>
      </c>
      <c r="F119" s="9">
        <f t="shared" si="18"/>
        <v>-102.5</v>
      </c>
      <c r="G119" s="9">
        <v>0</v>
      </c>
      <c r="H119" s="9">
        <f t="shared" si="19"/>
        <v>102.5</v>
      </c>
      <c r="I119" s="9">
        <f t="shared" si="20"/>
        <v>-102.5</v>
      </c>
      <c r="J119" s="9">
        <f t="shared" ca="1" si="21"/>
        <v>4946</v>
      </c>
      <c r="K119" s="9">
        <f t="shared" ca="1" si="22"/>
        <v>11</v>
      </c>
      <c r="L119" s="9"/>
      <c r="M119" s="9"/>
      <c r="N119" s="11"/>
      <c r="O119" s="11"/>
      <c r="P119" s="11"/>
      <c r="Q119" s="11"/>
    </row>
    <row r="120" spans="2:17" s="8" customFormat="1" x14ac:dyDescent="0.45">
      <c r="B120" s="9">
        <f t="shared" si="23"/>
        <v>45.769909874639026</v>
      </c>
      <c r="C120" s="10">
        <f t="shared" si="16"/>
        <v>24027</v>
      </c>
      <c r="D120" s="9">
        <f>(B/2)</f>
        <v>77.5</v>
      </c>
      <c r="E120" s="9">
        <f t="shared" si="17"/>
        <v>102.5</v>
      </c>
      <c r="F120" s="9">
        <f t="shared" si="18"/>
        <v>52.5</v>
      </c>
      <c r="G120" s="9">
        <v>0</v>
      </c>
      <c r="H120" s="9">
        <f t="shared" si="19"/>
        <v>102.5</v>
      </c>
      <c r="I120" s="9">
        <f t="shared" si="20"/>
        <v>-102.5</v>
      </c>
      <c r="J120" s="9">
        <f t="shared" ca="1" si="21"/>
        <v>21666</v>
      </c>
      <c r="K120" s="9">
        <f t="shared" ca="1" si="22"/>
        <v>9</v>
      </c>
      <c r="L120" s="9"/>
      <c r="M120" s="9"/>
      <c r="N120" s="11"/>
      <c r="O120" s="11"/>
      <c r="P120" s="11"/>
      <c r="Q120" s="11"/>
    </row>
    <row r="121" spans="2:17" s="8" customFormat="1" x14ac:dyDescent="0.45">
      <c r="B121" s="9">
        <f t="shared" si="23"/>
        <v>45.769909874639026</v>
      </c>
      <c r="C121" s="10">
        <f t="shared" si="16"/>
        <v>24027</v>
      </c>
      <c r="D121" s="9">
        <f>-(B/2)</f>
        <v>-77.5</v>
      </c>
      <c r="E121" s="9">
        <f t="shared" si="17"/>
        <v>-52.5</v>
      </c>
      <c r="F121" s="9">
        <f t="shared" si="18"/>
        <v>-102.5</v>
      </c>
      <c r="G121" s="9">
        <v>0</v>
      </c>
      <c r="H121" s="9">
        <f t="shared" si="19"/>
        <v>102.5</v>
      </c>
      <c r="I121" s="9">
        <f t="shared" si="20"/>
        <v>-102.5</v>
      </c>
      <c r="J121" s="9">
        <f t="shared" ca="1" si="21"/>
        <v>16511</v>
      </c>
      <c r="K121" s="9">
        <f t="shared" ca="1" si="22"/>
        <v>74</v>
      </c>
      <c r="L121" s="9"/>
      <c r="M121" s="9"/>
      <c r="N121" s="11"/>
      <c r="O121" s="11"/>
      <c r="P121" s="11"/>
      <c r="Q121" s="11"/>
    </row>
    <row r="122" spans="2:17" s="8" customFormat="1" x14ac:dyDescent="0.45">
      <c r="B122" s="9">
        <f t="shared" si="23"/>
        <v>45.769909874639026</v>
      </c>
      <c r="C122" s="10">
        <f t="shared" si="16"/>
        <v>24027</v>
      </c>
      <c r="D122" s="9">
        <f>(B/2)</f>
        <v>77.5</v>
      </c>
      <c r="E122" s="9">
        <f t="shared" si="17"/>
        <v>102.5</v>
      </c>
      <c r="F122" s="9">
        <f t="shared" si="18"/>
        <v>52.5</v>
      </c>
      <c r="G122" s="9">
        <v>0</v>
      </c>
      <c r="H122" s="9">
        <f t="shared" si="19"/>
        <v>102.5</v>
      </c>
      <c r="I122" s="9">
        <f t="shared" si="20"/>
        <v>-102.5</v>
      </c>
      <c r="J122" s="9">
        <f t="shared" ca="1" si="21"/>
        <v>5855</v>
      </c>
      <c r="K122" s="9">
        <f t="shared" ca="1" si="22"/>
        <v>-2</v>
      </c>
      <c r="L122" s="9"/>
      <c r="M122" s="9"/>
      <c r="N122" s="11"/>
      <c r="O122" s="11"/>
      <c r="P122" s="11"/>
      <c r="Q122" s="11"/>
    </row>
    <row r="123" spans="2:17" s="8" customFormat="1" x14ac:dyDescent="0.45">
      <c r="B123" s="9">
        <f t="shared" si="23"/>
        <v>45.769909874639026</v>
      </c>
      <c r="C123" s="10">
        <f t="shared" si="16"/>
        <v>24027</v>
      </c>
      <c r="D123" s="9">
        <f>-(B/2)</f>
        <v>-77.5</v>
      </c>
      <c r="E123" s="9">
        <f t="shared" si="17"/>
        <v>-52.5</v>
      </c>
      <c r="F123" s="9">
        <f t="shared" si="18"/>
        <v>-102.5</v>
      </c>
      <c r="G123" s="9">
        <v>0</v>
      </c>
      <c r="H123" s="9">
        <f t="shared" si="19"/>
        <v>102.5</v>
      </c>
      <c r="I123" s="9">
        <f t="shared" si="20"/>
        <v>-102.5</v>
      </c>
      <c r="J123" s="9">
        <f t="shared" ca="1" si="21"/>
        <v>23041</v>
      </c>
      <c r="K123" s="9">
        <f t="shared" ca="1" si="22"/>
        <v>-37</v>
      </c>
      <c r="L123" s="9"/>
      <c r="M123" s="9"/>
      <c r="N123" s="11"/>
      <c r="O123" s="11"/>
      <c r="P123" s="11"/>
      <c r="Q123" s="11"/>
    </row>
    <row r="124" spans="2:17" s="8" customFormat="1" x14ac:dyDescent="0.45">
      <c r="B124" s="9">
        <f t="shared" si="23"/>
        <v>45.769909874639026</v>
      </c>
      <c r="C124" s="10">
        <f t="shared" si="16"/>
        <v>24027</v>
      </c>
      <c r="D124" s="9">
        <f>(B/2)</f>
        <v>77.5</v>
      </c>
      <c r="E124" s="9">
        <f t="shared" si="17"/>
        <v>102.5</v>
      </c>
      <c r="F124" s="9">
        <f t="shared" si="18"/>
        <v>52.5</v>
      </c>
      <c r="G124" s="9">
        <v>0</v>
      </c>
      <c r="H124" s="9">
        <f t="shared" si="19"/>
        <v>102.5</v>
      </c>
      <c r="I124" s="9">
        <f t="shared" si="20"/>
        <v>-102.5</v>
      </c>
      <c r="J124" s="9">
        <f t="shared" ca="1" si="21"/>
        <v>16859</v>
      </c>
      <c r="K124" s="9">
        <f t="shared" ca="1" si="22"/>
        <v>-55</v>
      </c>
      <c r="L124" s="9"/>
      <c r="M124" s="9"/>
      <c r="N124" s="11"/>
      <c r="O124" s="11"/>
      <c r="P124" s="11"/>
      <c r="Q124" s="11"/>
    </row>
    <row r="125" spans="2:17" s="8" customFormat="1" x14ac:dyDescent="0.45">
      <c r="B125" s="9">
        <f t="shared" si="23"/>
        <v>45.769909874639026</v>
      </c>
      <c r="C125" s="10">
        <f t="shared" si="16"/>
        <v>24027</v>
      </c>
      <c r="D125" s="9">
        <f>-(B/2)</f>
        <v>-77.5</v>
      </c>
      <c r="E125" s="9">
        <f t="shared" si="17"/>
        <v>-52.5</v>
      </c>
      <c r="F125" s="9">
        <f t="shared" si="18"/>
        <v>-102.5</v>
      </c>
      <c r="G125" s="9">
        <v>0</v>
      </c>
      <c r="H125" s="9">
        <f t="shared" si="19"/>
        <v>102.5</v>
      </c>
      <c r="I125" s="9">
        <f t="shared" si="20"/>
        <v>-102.5</v>
      </c>
      <c r="J125" s="9">
        <f t="shared" ca="1" si="21"/>
        <v>9933</v>
      </c>
      <c r="K125" s="9">
        <f t="shared" ca="1" si="22"/>
        <v>67</v>
      </c>
      <c r="L125" s="9"/>
      <c r="M125" s="9"/>
      <c r="N125" s="11"/>
      <c r="O125" s="11"/>
      <c r="P125" s="11"/>
      <c r="Q125" s="11"/>
    </row>
    <row r="126" spans="2:17" s="8" customFormat="1" x14ac:dyDescent="0.45">
      <c r="B126" s="9">
        <f t="shared" si="23"/>
        <v>45.769909874639026</v>
      </c>
      <c r="C126" s="10">
        <f t="shared" ref="C126:C130" si="24">IF(B126=0,0,B126*Lm)</f>
        <v>24027</v>
      </c>
      <c r="D126" s="9">
        <f>(B/2)</f>
        <v>77.5</v>
      </c>
      <c r="E126" s="9">
        <f t="shared" ref="E126:E130" si="25">D126+(b_anchocanaldominante/2)</f>
        <v>102.5</v>
      </c>
      <c r="F126" s="9">
        <f t="shared" si="18"/>
        <v>52.5</v>
      </c>
      <c r="G126" s="9">
        <v>0</v>
      </c>
      <c r="H126" s="9">
        <f t="shared" si="19"/>
        <v>102.5</v>
      </c>
      <c r="I126" s="9">
        <f t="shared" si="20"/>
        <v>-102.5</v>
      </c>
      <c r="J126" s="9">
        <f t="shared" ca="1" si="21"/>
        <v>213</v>
      </c>
      <c r="K126" s="9">
        <f t="shared" ca="1" si="22"/>
        <v>41</v>
      </c>
      <c r="L126" s="9"/>
      <c r="M126" s="9"/>
      <c r="N126" s="11"/>
      <c r="O126" s="11"/>
      <c r="P126" s="11"/>
      <c r="Q126" s="11"/>
    </row>
    <row r="127" spans="2:17" s="8" customFormat="1" x14ac:dyDescent="0.45">
      <c r="B127" s="9">
        <f t="shared" si="23"/>
        <v>45.769909874639026</v>
      </c>
      <c r="C127" s="10">
        <f t="shared" si="24"/>
        <v>24027</v>
      </c>
      <c r="D127" s="9">
        <f>-(B/2)</f>
        <v>-77.5</v>
      </c>
      <c r="E127" s="9">
        <f t="shared" si="25"/>
        <v>-52.5</v>
      </c>
      <c r="F127" s="9">
        <f t="shared" si="18"/>
        <v>-102.5</v>
      </c>
      <c r="G127" s="9">
        <v>0</v>
      </c>
      <c r="H127" s="9">
        <f t="shared" si="19"/>
        <v>102.5</v>
      </c>
      <c r="I127" s="9">
        <f t="shared" si="20"/>
        <v>-102.5</v>
      </c>
      <c r="J127" s="9">
        <f t="shared" ca="1" si="21"/>
        <v>12371</v>
      </c>
      <c r="K127" s="9">
        <f t="shared" ca="1" si="22"/>
        <v>2</v>
      </c>
      <c r="L127" s="9"/>
      <c r="M127" s="9"/>
      <c r="N127" s="11"/>
      <c r="O127" s="11"/>
      <c r="P127" s="11"/>
      <c r="Q127" s="11"/>
    </row>
    <row r="128" spans="2:17" s="8" customFormat="1" x14ac:dyDescent="0.45">
      <c r="B128" s="9">
        <f t="shared" si="23"/>
        <v>45.769909874639026</v>
      </c>
      <c r="C128" s="10">
        <f t="shared" si="24"/>
        <v>24027</v>
      </c>
      <c r="D128" s="9">
        <f>(B/2)</f>
        <v>77.5</v>
      </c>
      <c r="E128" s="9">
        <f t="shared" si="25"/>
        <v>102.5</v>
      </c>
      <c r="F128" s="9">
        <f t="shared" si="18"/>
        <v>52.5</v>
      </c>
      <c r="G128" s="9">
        <v>0</v>
      </c>
      <c r="H128" s="9">
        <f t="shared" si="19"/>
        <v>102.5</v>
      </c>
      <c r="I128" s="9">
        <f t="shared" si="20"/>
        <v>-102.5</v>
      </c>
      <c r="J128" s="9">
        <f t="shared" ca="1" si="21"/>
        <v>892</v>
      </c>
      <c r="K128" s="9">
        <f t="shared" ca="1" si="22"/>
        <v>49</v>
      </c>
      <c r="L128" s="9"/>
      <c r="M128" s="9"/>
      <c r="N128" s="11"/>
      <c r="O128" s="11"/>
      <c r="P128" s="11"/>
      <c r="Q128" s="11"/>
    </row>
    <row r="129" spans="2:17" s="8" customFormat="1" x14ac:dyDescent="0.45">
      <c r="B129" s="9">
        <f t="shared" si="23"/>
        <v>45.769909874639026</v>
      </c>
      <c r="C129" s="10">
        <f t="shared" si="24"/>
        <v>24027</v>
      </c>
      <c r="D129" s="9">
        <f>-(B/2)</f>
        <v>-77.5</v>
      </c>
      <c r="E129" s="9">
        <f t="shared" si="25"/>
        <v>-52.5</v>
      </c>
      <c r="F129" s="9">
        <f t="shared" si="18"/>
        <v>-102.5</v>
      </c>
      <c r="G129" s="9">
        <v>0</v>
      </c>
      <c r="H129" s="9">
        <f t="shared" si="19"/>
        <v>102.5</v>
      </c>
      <c r="I129" s="9">
        <f t="shared" si="20"/>
        <v>-102.5</v>
      </c>
      <c r="J129" s="9">
        <f t="shared" ca="1" si="21"/>
        <v>17054</v>
      </c>
      <c r="K129" s="9">
        <f t="shared" ca="1" si="22"/>
        <v>-61</v>
      </c>
      <c r="L129" s="9"/>
      <c r="M129" s="9"/>
      <c r="N129" s="11"/>
      <c r="O129" s="11"/>
      <c r="P129" s="11"/>
      <c r="Q129" s="11"/>
    </row>
    <row r="130" spans="2:17" s="8" customFormat="1" x14ac:dyDescent="0.45">
      <c r="B130" s="9">
        <f t="shared" si="23"/>
        <v>45.769909874639026</v>
      </c>
      <c r="C130" s="10">
        <f t="shared" si="24"/>
        <v>24027</v>
      </c>
      <c r="D130" s="9">
        <f>(B/2)</f>
        <v>77.5</v>
      </c>
      <c r="E130" s="9">
        <f t="shared" si="25"/>
        <v>102.5</v>
      </c>
      <c r="F130" s="9">
        <f t="shared" si="18"/>
        <v>52.5</v>
      </c>
      <c r="G130" s="9">
        <v>0</v>
      </c>
      <c r="H130" s="9">
        <f t="shared" si="19"/>
        <v>102.5</v>
      </c>
      <c r="I130" s="9">
        <f t="shared" si="20"/>
        <v>-102.5</v>
      </c>
      <c r="J130" s="9">
        <f t="shared" ca="1" si="21"/>
        <v>1670</v>
      </c>
      <c r="K130" s="9">
        <f t="shared" ca="1" si="22"/>
        <v>-67</v>
      </c>
      <c r="L130" s="9"/>
      <c r="M130" s="9"/>
      <c r="N130" s="11"/>
      <c r="O130" s="11"/>
      <c r="P130" s="11"/>
      <c r="Q130" s="11"/>
    </row>
    <row r="131" spans="2:17" x14ac:dyDescent="0.45">
      <c r="E131" s="14"/>
    </row>
    <row r="132" spans="2:17" x14ac:dyDescent="0.45">
      <c r="E132" s="14"/>
    </row>
    <row r="133" spans="2:17" x14ac:dyDescent="0.45">
      <c r="E133" s="14"/>
    </row>
    <row r="134" spans="2:17" x14ac:dyDescent="0.45">
      <c r="E134" s="14"/>
    </row>
    <row r="135" spans="2:17" x14ac:dyDescent="0.45">
      <c r="E135" s="14"/>
    </row>
    <row r="136" spans="2:17" x14ac:dyDescent="0.45">
      <c r="E136" s="14"/>
    </row>
    <row r="137" spans="2:17" x14ac:dyDescent="0.45">
      <c r="E137" s="14"/>
    </row>
    <row r="138" spans="2:17" x14ac:dyDescent="0.45">
      <c r="E138" s="14"/>
    </row>
    <row r="139" spans="2:17" x14ac:dyDescent="0.45">
      <c r="E139" s="14"/>
    </row>
    <row r="140" spans="2:17" x14ac:dyDescent="0.45">
      <c r="E140" s="14"/>
    </row>
    <row r="141" spans="2:17" x14ac:dyDescent="0.45">
      <c r="E141" s="14"/>
    </row>
    <row r="142" spans="2:17" x14ac:dyDescent="0.45">
      <c r="E142" s="14"/>
    </row>
    <row r="143" spans="2:17" x14ac:dyDescent="0.45">
      <c r="E143" s="14"/>
    </row>
    <row r="144" spans="2:17" x14ac:dyDescent="0.45">
      <c r="E144" s="14"/>
    </row>
    <row r="145" spans="5:5" x14ac:dyDescent="0.45">
      <c r="E145" s="14"/>
    </row>
    <row r="146" spans="5:5" x14ac:dyDescent="0.45">
      <c r="E146" s="14"/>
    </row>
    <row r="147" spans="5:5" x14ac:dyDescent="0.45">
      <c r="E147" s="14"/>
    </row>
    <row r="148" spans="5:5" x14ac:dyDescent="0.45">
      <c r="E148" s="14"/>
    </row>
    <row r="149" spans="5:5" x14ac:dyDescent="0.45">
      <c r="E149" s="14"/>
    </row>
    <row r="150" spans="5:5" x14ac:dyDescent="0.45">
      <c r="E150" s="14"/>
    </row>
    <row r="151" spans="5:5" x14ac:dyDescent="0.45">
      <c r="E151" s="14"/>
    </row>
    <row r="152" spans="5:5" x14ac:dyDescent="0.45">
      <c r="E152" s="14"/>
    </row>
    <row r="153" spans="5:5" x14ac:dyDescent="0.45">
      <c r="E153" s="14"/>
    </row>
    <row r="154" spans="5:5" x14ac:dyDescent="0.45">
      <c r="E154" s="14"/>
    </row>
    <row r="155" spans="5:5" x14ac:dyDescent="0.45">
      <c r="E155" s="14"/>
    </row>
    <row r="156" spans="5:5" x14ac:dyDescent="0.45">
      <c r="E156" s="14"/>
    </row>
    <row r="157" spans="5:5" x14ac:dyDescent="0.45">
      <c r="E157" s="14"/>
    </row>
    <row r="158" spans="5:5" x14ac:dyDescent="0.45">
      <c r="E158" s="14"/>
    </row>
    <row r="159" spans="5:5" x14ac:dyDescent="0.45">
      <c r="E159" s="14"/>
    </row>
    <row r="160" spans="5:5" x14ac:dyDescent="0.45">
      <c r="E160" s="14"/>
    </row>
    <row r="161" spans="5:5" x14ac:dyDescent="0.45">
      <c r="E161" s="14"/>
    </row>
    <row r="162" spans="5:5" x14ac:dyDescent="0.45">
      <c r="E162" s="14"/>
    </row>
    <row r="163" spans="5:5" x14ac:dyDescent="0.45">
      <c r="E163" s="14"/>
    </row>
    <row r="164" spans="5:5" x14ac:dyDescent="0.45">
      <c r="E164" s="14"/>
    </row>
    <row r="165" spans="5:5" x14ac:dyDescent="0.45">
      <c r="E165" s="14"/>
    </row>
    <row r="166" spans="5:5" x14ac:dyDescent="0.45">
      <c r="E166" s="14"/>
    </row>
    <row r="167" spans="5:5" x14ac:dyDescent="0.45">
      <c r="E167" s="14"/>
    </row>
    <row r="168" spans="5:5" x14ac:dyDescent="0.45">
      <c r="E168" s="14"/>
    </row>
    <row r="169" spans="5:5" x14ac:dyDescent="0.45">
      <c r="E169" s="14"/>
    </row>
    <row r="170" spans="5:5" x14ac:dyDescent="0.45">
      <c r="E170" s="14"/>
    </row>
    <row r="171" spans="5:5" x14ac:dyDescent="0.45">
      <c r="E171" s="14"/>
    </row>
    <row r="172" spans="5:5" x14ac:dyDescent="0.45">
      <c r="E172" s="14"/>
    </row>
    <row r="173" spans="5:5" x14ac:dyDescent="0.45">
      <c r="E173" s="14"/>
    </row>
    <row r="174" spans="5:5" x14ac:dyDescent="0.45">
      <c r="E174" s="14"/>
    </row>
    <row r="175" spans="5:5" x14ac:dyDescent="0.45">
      <c r="E175" s="14"/>
    </row>
    <row r="176" spans="5:5" x14ac:dyDescent="0.45">
      <c r="E176" s="14"/>
    </row>
    <row r="177" spans="5:5" x14ac:dyDescent="0.45">
      <c r="E177" s="14"/>
    </row>
    <row r="178" spans="5:5" x14ac:dyDescent="0.45">
      <c r="E178" s="14"/>
    </row>
    <row r="179" spans="5:5" x14ac:dyDescent="0.45">
      <c r="E179" s="14"/>
    </row>
    <row r="180" spans="5:5" x14ac:dyDescent="0.45">
      <c r="E180" s="14"/>
    </row>
    <row r="181" spans="5:5" x14ac:dyDescent="0.45">
      <c r="E181" s="14"/>
    </row>
    <row r="182" spans="5:5" x14ac:dyDescent="0.45">
      <c r="E182" s="14"/>
    </row>
    <row r="183" spans="5:5" x14ac:dyDescent="0.45">
      <c r="E183" s="14"/>
    </row>
    <row r="184" spans="5:5" x14ac:dyDescent="0.45">
      <c r="E184" s="14"/>
    </row>
    <row r="185" spans="5:5" x14ac:dyDescent="0.45">
      <c r="E185" s="14"/>
    </row>
    <row r="186" spans="5:5" x14ac:dyDescent="0.45">
      <c r="E186" s="14"/>
    </row>
    <row r="187" spans="5:5" x14ac:dyDescent="0.45">
      <c r="E187" s="14"/>
    </row>
    <row r="188" spans="5:5" x14ac:dyDescent="0.45">
      <c r="E188" s="14"/>
    </row>
    <row r="189" spans="5:5" x14ac:dyDescent="0.45">
      <c r="E189" s="14"/>
    </row>
    <row r="190" spans="5:5" x14ac:dyDescent="0.45">
      <c r="E190" s="14"/>
    </row>
    <row r="191" spans="5:5" x14ac:dyDescent="0.45">
      <c r="E191" s="14"/>
    </row>
    <row r="192" spans="5:5" x14ac:dyDescent="0.45">
      <c r="E192" s="14"/>
    </row>
    <row r="193" spans="5:5" x14ac:dyDescent="0.45">
      <c r="E193" s="14"/>
    </row>
    <row r="194" spans="5:5" x14ac:dyDescent="0.45">
      <c r="E194" s="14"/>
    </row>
    <row r="195" spans="5:5" x14ac:dyDescent="0.45">
      <c r="E195" s="14"/>
    </row>
    <row r="196" spans="5:5" x14ac:dyDescent="0.45">
      <c r="E196" s="14"/>
    </row>
    <row r="197" spans="5:5" x14ac:dyDescent="0.45">
      <c r="E197" s="14"/>
    </row>
    <row r="198" spans="5:5" x14ac:dyDescent="0.45">
      <c r="E198" s="14"/>
    </row>
    <row r="199" spans="5:5" x14ac:dyDescent="0.45">
      <c r="E199" s="14"/>
    </row>
    <row r="200" spans="5:5" x14ac:dyDescent="0.45">
      <c r="E200" s="14"/>
    </row>
    <row r="201" spans="5:5" x14ac:dyDescent="0.45">
      <c r="E201" s="14"/>
    </row>
    <row r="202" spans="5:5" x14ac:dyDescent="0.45">
      <c r="E202" s="14"/>
    </row>
    <row r="203" spans="5:5" x14ac:dyDescent="0.45">
      <c r="E203" s="14"/>
    </row>
    <row r="204" spans="5:5" x14ac:dyDescent="0.45">
      <c r="E204" s="14"/>
    </row>
    <row r="205" spans="5:5" x14ac:dyDescent="0.45">
      <c r="E205" s="14"/>
    </row>
    <row r="206" spans="5:5" x14ac:dyDescent="0.45">
      <c r="E206" s="14"/>
    </row>
    <row r="207" spans="5:5" x14ac:dyDescent="0.45">
      <c r="E207" s="14"/>
    </row>
    <row r="208" spans="5:5" x14ac:dyDescent="0.45">
      <c r="E208" s="14"/>
    </row>
    <row r="209" spans="5:5" x14ac:dyDescent="0.45">
      <c r="E209" s="14"/>
    </row>
    <row r="210" spans="5:5" x14ac:dyDescent="0.45">
      <c r="E210" s="14"/>
    </row>
    <row r="211" spans="5:5" x14ac:dyDescent="0.45">
      <c r="E211" s="14"/>
    </row>
    <row r="212" spans="5:5" x14ac:dyDescent="0.45">
      <c r="E212" s="14"/>
    </row>
    <row r="213" spans="5:5" x14ac:dyDescent="0.45">
      <c r="E213" s="14"/>
    </row>
    <row r="214" spans="5:5" x14ac:dyDescent="0.45">
      <c r="E214" s="14"/>
    </row>
    <row r="215" spans="5:5" x14ac:dyDescent="0.45">
      <c r="E215" s="14"/>
    </row>
    <row r="216" spans="5:5" x14ac:dyDescent="0.45">
      <c r="E216" s="14"/>
    </row>
    <row r="217" spans="5:5" x14ac:dyDescent="0.45">
      <c r="E217" s="14"/>
    </row>
    <row r="218" spans="5:5" x14ac:dyDescent="0.45">
      <c r="E218" s="14"/>
    </row>
    <row r="219" spans="5:5" x14ac:dyDescent="0.45">
      <c r="E219" s="14"/>
    </row>
    <row r="220" spans="5:5" x14ac:dyDescent="0.45">
      <c r="E220" s="14"/>
    </row>
    <row r="221" spans="5:5" x14ac:dyDescent="0.45">
      <c r="E221" s="14"/>
    </row>
    <row r="222" spans="5:5" x14ac:dyDescent="0.45">
      <c r="E222" s="14"/>
    </row>
    <row r="223" spans="5:5" x14ac:dyDescent="0.45">
      <c r="E223" s="14"/>
    </row>
    <row r="224" spans="5:5" x14ac:dyDescent="0.45">
      <c r="E224" s="14"/>
    </row>
    <row r="225" spans="5:5" x14ac:dyDescent="0.45">
      <c r="E225" s="14"/>
    </row>
    <row r="226" spans="5:5" x14ac:dyDescent="0.45">
      <c r="E226" s="14"/>
    </row>
    <row r="227" spans="5:5" x14ac:dyDescent="0.45">
      <c r="E227" s="14"/>
    </row>
    <row r="228" spans="5:5" x14ac:dyDescent="0.45">
      <c r="E228" s="14"/>
    </row>
    <row r="229" spans="5:5" x14ac:dyDescent="0.45">
      <c r="E229" s="14"/>
    </row>
    <row r="230" spans="5:5" x14ac:dyDescent="0.45">
      <c r="E230" s="14"/>
    </row>
    <row r="231" spans="5:5" x14ac:dyDescent="0.45">
      <c r="E231" s="14"/>
    </row>
    <row r="232" spans="5:5" x14ac:dyDescent="0.45">
      <c r="E232" s="14"/>
    </row>
    <row r="233" spans="5:5" x14ac:dyDescent="0.45">
      <c r="E233" s="14"/>
    </row>
    <row r="234" spans="5:5" x14ac:dyDescent="0.45">
      <c r="E234" s="14"/>
    </row>
    <row r="235" spans="5:5" x14ac:dyDescent="0.45">
      <c r="E235" s="14"/>
    </row>
    <row r="236" spans="5:5" x14ac:dyDescent="0.45">
      <c r="E236" s="14"/>
    </row>
    <row r="237" spans="5:5" x14ac:dyDescent="0.45">
      <c r="E237" s="14"/>
    </row>
    <row r="238" spans="5:5" x14ac:dyDescent="0.45">
      <c r="E238" s="14"/>
    </row>
    <row r="239" spans="5:5" x14ac:dyDescent="0.45">
      <c r="E239" s="14"/>
    </row>
    <row r="240" spans="5:5" x14ac:dyDescent="0.45">
      <c r="E240" s="14"/>
    </row>
    <row r="241" spans="5:5" x14ac:dyDescent="0.45">
      <c r="E241" s="14"/>
    </row>
    <row r="242" spans="5:5" x14ac:dyDescent="0.45">
      <c r="E242" s="14"/>
    </row>
    <row r="243" spans="5:5" x14ac:dyDescent="0.45">
      <c r="E243" s="14"/>
    </row>
    <row r="244" spans="5:5" x14ac:dyDescent="0.45">
      <c r="E244" s="14"/>
    </row>
    <row r="245" spans="5:5" x14ac:dyDescent="0.45">
      <c r="E245" s="14"/>
    </row>
    <row r="246" spans="5:5" x14ac:dyDescent="0.45">
      <c r="E246" s="14"/>
    </row>
    <row r="247" spans="5:5" x14ac:dyDescent="0.45">
      <c r="E247" s="14"/>
    </row>
    <row r="248" spans="5:5" x14ac:dyDescent="0.45">
      <c r="E248" s="14"/>
    </row>
    <row r="249" spans="5:5" x14ac:dyDescent="0.45">
      <c r="E249" s="14"/>
    </row>
    <row r="250" spans="5:5" x14ac:dyDescent="0.45">
      <c r="E250" s="14"/>
    </row>
    <row r="251" spans="5:5" x14ac:dyDescent="0.45">
      <c r="E251" s="14"/>
    </row>
    <row r="252" spans="5:5" x14ac:dyDescent="0.45">
      <c r="E252" s="14"/>
    </row>
    <row r="253" spans="5:5" x14ac:dyDescent="0.45">
      <c r="E253" s="14"/>
    </row>
    <row r="254" spans="5:5" x14ac:dyDescent="0.45">
      <c r="E254" s="14"/>
    </row>
    <row r="255" spans="5:5" x14ac:dyDescent="0.45">
      <c r="E255" s="14"/>
    </row>
    <row r="256" spans="5:5" x14ac:dyDescent="0.45">
      <c r="E256" s="14"/>
    </row>
    <row r="257" spans="5:5" x14ac:dyDescent="0.45">
      <c r="E257" s="14"/>
    </row>
    <row r="258" spans="5:5" x14ac:dyDescent="0.45">
      <c r="E258" s="14"/>
    </row>
    <row r="259" spans="5:5" x14ac:dyDescent="0.45">
      <c r="E259" s="14"/>
    </row>
    <row r="260" spans="5:5" x14ac:dyDescent="0.45">
      <c r="E260" s="14"/>
    </row>
    <row r="261" spans="5:5" x14ac:dyDescent="0.45">
      <c r="E261" s="14"/>
    </row>
    <row r="262" spans="5:5" x14ac:dyDescent="0.45">
      <c r="E262" s="14"/>
    </row>
    <row r="263" spans="5:5" x14ac:dyDescent="0.45">
      <c r="E263" s="14"/>
    </row>
    <row r="264" spans="5:5" x14ac:dyDescent="0.45">
      <c r="E264" s="14"/>
    </row>
    <row r="265" spans="5:5" x14ac:dyDescent="0.45">
      <c r="E265" s="14"/>
    </row>
    <row r="266" spans="5:5" x14ac:dyDescent="0.45">
      <c r="E266" s="14"/>
    </row>
    <row r="267" spans="5:5" x14ac:dyDescent="0.45">
      <c r="E267" s="14"/>
    </row>
    <row r="268" spans="5:5" x14ac:dyDescent="0.45">
      <c r="E268" s="14"/>
    </row>
    <row r="269" spans="5:5" x14ac:dyDescent="0.45">
      <c r="E269" s="14"/>
    </row>
    <row r="270" spans="5:5" x14ac:dyDescent="0.45">
      <c r="E270" s="14"/>
    </row>
    <row r="271" spans="5:5" x14ac:dyDescent="0.45">
      <c r="E271" s="14"/>
    </row>
    <row r="272" spans="5:5" x14ac:dyDescent="0.45">
      <c r="E272" s="14"/>
    </row>
    <row r="273" spans="5:5" x14ac:dyDescent="0.45">
      <c r="E273" s="14"/>
    </row>
    <row r="274" spans="5:5" x14ac:dyDescent="0.45">
      <c r="E274" s="14"/>
    </row>
    <row r="275" spans="5:5" x14ac:dyDescent="0.45">
      <c r="E275" s="14"/>
    </row>
    <row r="276" spans="5:5" x14ac:dyDescent="0.45">
      <c r="E276" s="14"/>
    </row>
    <row r="277" spans="5:5" x14ac:dyDescent="0.45">
      <c r="E277" s="14"/>
    </row>
    <row r="278" spans="5:5" x14ac:dyDescent="0.45">
      <c r="E278" s="14"/>
    </row>
    <row r="279" spans="5:5" x14ac:dyDescent="0.45">
      <c r="E279" s="14"/>
    </row>
    <row r="280" spans="5:5" x14ac:dyDescent="0.45">
      <c r="E280" s="14"/>
    </row>
    <row r="281" spans="5:5" x14ac:dyDescent="0.45">
      <c r="E281" s="14"/>
    </row>
    <row r="282" spans="5:5" x14ac:dyDescent="0.45">
      <c r="E282" s="14"/>
    </row>
    <row r="283" spans="5:5" x14ac:dyDescent="0.45">
      <c r="E283" s="14"/>
    </row>
    <row r="284" spans="5:5" x14ac:dyDescent="0.45">
      <c r="E284" s="14"/>
    </row>
    <row r="285" spans="5:5" x14ac:dyDescent="0.45">
      <c r="E285" s="14"/>
    </row>
    <row r="286" spans="5:5" x14ac:dyDescent="0.45">
      <c r="E286" s="14"/>
    </row>
    <row r="287" spans="5:5" x14ac:dyDescent="0.45">
      <c r="E287" s="14"/>
    </row>
    <row r="288" spans="5:5" x14ac:dyDescent="0.45">
      <c r="E288" s="14"/>
    </row>
    <row r="289" spans="5:5" x14ac:dyDescent="0.45">
      <c r="E289" s="14"/>
    </row>
    <row r="290" spans="5:5" x14ac:dyDescent="0.45">
      <c r="E290" s="14"/>
    </row>
    <row r="291" spans="5:5" x14ac:dyDescent="0.45">
      <c r="E291" s="14"/>
    </row>
    <row r="292" spans="5:5" x14ac:dyDescent="0.45">
      <c r="E292" s="14"/>
    </row>
    <row r="293" spans="5:5" x14ac:dyDescent="0.45">
      <c r="E293" s="14"/>
    </row>
    <row r="294" spans="5:5" x14ac:dyDescent="0.45">
      <c r="E294" s="14"/>
    </row>
    <row r="295" spans="5:5" x14ac:dyDescent="0.45">
      <c r="E295" s="14"/>
    </row>
    <row r="296" spans="5:5" x14ac:dyDescent="0.45">
      <c r="E296" s="14"/>
    </row>
    <row r="297" spans="5:5" x14ac:dyDescent="0.45">
      <c r="E297" s="14"/>
    </row>
    <row r="298" spans="5:5" x14ac:dyDescent="0.45">
      <c r="E298" s="14"/>
    </row>
    <row r="299" spans="5:5" x14ac:dyDescent="0.45">
      <c r="E299" s="14"/>
    </row>
    <row r="300" spans="5:5" x14ac:dyDescent="0.45">
      <c r="E300" s="14"/>
    </row>
    <row r="301" spans="5:5" x14ac:dyDescent="0.45">
      <c r="E301" s="14"/>
    </row>
    <row r="302" spans="5:5" x14ac:dyDescent="0.45">
      <c r="E302" s="14"/>
    </row>
    <row r="303" spans="5:5" x14ac:dyDescent="0.45">
      <c r="E303" s="14"/>
    </row>
    <row r="304" spans="5:5" x14ac:dyDescent="0.45">
      <c r="E304" s="14"/>
    </row>
    <row r="305" spans="5:5" x14ac:dyDescent="0.45">
      <c r="E305" s="14"/>
    </row>
    <row r="306" spans="5:5" x14ac:dyDescent="0.45">
      <c r="E306" s="14"/>
    </row>
    <row r="307" spans="5:5" x14ac:dyDescent="0.45">
      <c r="E307" s="14"/>
    </row>
    <row r="308" spans="5:5" x14ac:dyDescent="0.45">
      <c r="E308" s="14"/>
    </row>
    <row r="309" spans="5:5" x14ac:dyDescent="0.45">
      <c r="E309" s="14"/>
    </row>
    <row r="310" spans="5:5" x14ac:dyDescent="0.45">
      <c r="E310" s="14"/>
    </row>
    <row r="311" spans="5:5" x14ac:dyDescent="0.45">
      <c r="E311" s="14"/>
    </row>
    <row r="312" spans="5:5" x14ac:dyDescent="0.45">
      <c r="E312" s="14"/>
    </row>
    <row r="313" spans="5:5" x14ac:dyDescent="0.45">
      <c r="E313" s="14"/>
    </row>
    <row r="314" spans="5:5" x14ac:dyDescent="0.45">
      <c r="E314" s="14"/>
    </row>
    <row r="315" spans="5:5" x14ac:dyDescent="0.45">
      <c r="E315" s="14"/>
    </row>
    <row r="316" spans="5:5" x14ac:dyDescent="0.45">
      <c r="E316" s="14"/>
    </row>
    <row r="317" spans="5:5" x14ac:dyDescent="0.45">
      <c r="E317" s="14"/>
    </row>
    <row r="318" spans="5:5" x14ac:dyDescent="0.45">
      <c r="E318" s="14"/>
    </row>
    <row r="319" spans="5:5" x14ac:dyDescent="0.45">
      <c r="E319" s="14"/>
    </row>
    <row r="320" spans="5:5" x14ac:dyDescent="0.45">
      <c r="E320" s="14"/>
    </row>
    <row r="321" spans="5:5" x14ac:dyDescent="0.45">
      <c r="E321" s="14"/>
    </row>
    <row r="322" spans="5:5" x14ac:dyDescent="0.45">
      <c r="E322" s="14"/>
    </row>
    <row r="323" spans="5:5" x14ac:dyDescent="0.45">
      <c r="E323" s="14"/>
    </row>
    <row r="324" spans="5:5" x14ac:dyDescent="0.45">
      <c r="E324" s="14"/>
    </row>
    <row r="325" spans="5:5" x14ac:dyDescent="0.45">
      <c r="E325" s="14"/>
    </row>
    <row r="326" spans="5:5" x14ac:dyDescent="0.45">
      <c r="E326" s="14"/>
    </row>
    <row r="327" spans="5:5" x14ac:dyDescent="0.45">
      <c r="E327" s="14"/>
    </row>
    <row r="328" spans="5:5" x14ac:dyDescent="0.45">
      <c r="E328" s="14"/>
    </row>
    <row r="329" spans="5:5" x14ac:dyDescent="0.45">
      <c r="E329" s="14"/>
    </row>
    <row r="330" spans="5:5" x14ac:dyDescent="0.45">
      <c r="E330" s="14"/>
    </row>
  </sheetData>
  <scenarios current="0">
    <scenario name="Solver Alpha" count="1" user="william.aguilar" comment="Creado por william.aguilar el 9/8/2014">
      <inputCells r="E12" val="1.61527173056503" numFmtId="165"/>
    </scenario>
  </scenarios>
  <mergeCells count="7">
    <mergeCell ref="H29:I29"/>
    <mergeCell ref="J29:K29"/>
    <mergeCell ref="B2:F4"/>
    <mergeCell ref="B5:C10"/>
    <mergeCell ref="B11:C13"/>
    <mergeCell ref="B14:C21"/>
    <mergeCell ref="B22:C25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W40"/>
  <sheetViews>
    <sheetView showGridLines="0" zoomScaleNormal="100" workbookViewId="0">
      <selection activeCell="A2" sqref="A2"/>
    </sheetView>
  </sheetViews>
  <sheetFormatPr defaultColWidth="7.73046875" defaultRowHeight="13.15" x14ac:dyDescent="0.45"/>
  <cols>
    <col min="1" max="1" width="4.3984375" style="34" customWidth="1"/>
    <col min="2" max="2" width="8" style="33" customWidth="1"/>
    <col min="3" max="3" width="11.73046875" style="33" bestFit="1" customWidth="1"/>
    <col min="4" max="4" width="8.86328125" style="32" customWidth="1"/>
    <col min="5" max="5" width="11.73046875" style="34" customWidth="1"/>
    <col min="6" max="7" width="9.3984375" style="32" bestFit="1" customWidth="1"/>
    <col min="8" max="8" width="5.73046875" style="32" customWidth="1"/>
    <col min="9" max="9" width="11.3984375" style="36" customWidth="1"/>
    <col min="10" max="10" width="3.73046875" style="32" customWidth="1"/>
    <col min="11" max="11" width="15.73046875" style="32" customWidth="1"/>
    <col min="12" max="12" width="15.73046875" style="33" customWidth="1"/>
    <col min="13" max="14" width="15.73046875" style="32" customWidth="1"/>
    <col min="15" max="15" width="15.73046875" style="36" customWidth="1"/>
    <col min="16" max="16" width="2.86328125" style="34" customWidth="1"/>
    <col min="17" max="17" width="10.3984375" style="32" customWidth="1"/>
    <col min="18" max="18" width="10.3984375" style="35" customWidth="1"/>
    <col min="19" max="20" width="10.86328125" style="35" customWidth="1"/>
    <col min="21" max="22" width="12.265625" style="34" customWidth="1"/>
    <col min="23" max="23" width="10.3984375" style="36" customWidth="1"/>
    <col min="24" max="16384" width="7.73046875" style="34"/>
  </cols>
  <sheetData>
    <row r="2" spans="2:23" ht="12.75" customHeight="1" x14ac:dyDescent="0.45">
      <c r="B2" s="96" t="s">
        <v>111</v>
      </c>
      <c r="C2" s="97"/>
      <c r="D2" s="97"/>
      <c r="E2" s="97"/>
      <c r="F2" s="97"/>
      <c r="G2" s="97"/>
      <c r="H2" s="97"/>
      <c r="I2" s="98"/>
      <c r="K2" s="107" t="s">
        <v>117</v>
      </c>
      <c r="L2" s="108"/>
      <c r="M2" s="108"/>
      <c r="N2" s="108"/>
      <c r="O2" s="109"/>
      <c r="Q2" s="107" t="s">
        <v>118</v>
      </c>
      <c r="R2" s="108"/>
      <c r="S2" s="108"/>
      <c r="T2" s="108"/>
      <c r="U2" s="108"/>
      <c r="V2" s="108"/>
      <c r="W2" s="109"/>
    </row>
    <row r="3" spans="2:23" ht="28.5" customHeight="1" x14ac:dyDescent="0.45">
      <c r="B3" s="105" t="s">
        <v>1</v>
      </c>
      <c r="C3" s="105" t="s">
        <v>0</v>
      </c>
      <c r="D3" s="104" t="s">
        <v>119</v>
      </c>
      <c r="E3" s="105" t="s">
        <v>120</v>
      </c>
      <c r="F3" s="104" t="s">
        <v>113</v>
      </c>
      <c r="G3" s="104"/>
      <c r="H3" s="104"/>
      <c r="I3" s="99" t="s">
        <v>121</v>
      </c>
      <c r="K3" s="101" t="s">
        <v>1</v>
      </c>
      <c r="L3" s="105" t="s">
        <v>5</v>
      </c>
      <c r="M3" s="104" t="s">
        <v>119</v>
      </c>
      <c r="N3" s="99" t="s">
        <v>123</v>
      </c>
      <c r="O3" s="99" t="s">
        <v>122</v>
      </c>
      <c r="Q3" s="105" t="s">
        <v>1</v>
      </c>
      <c r="R3" s="99" t="s">
        <v>116</v>
      </c>
      <c r="S3" s="102" t="s">
        <v>114</v>
      </c>
      <c r="T3" s="103"/>
      <c r="U3" s="99" t="s">
        <v>112</v>
      </c>
      <c r="V3" s="99" t="s">
        <v>115</v>
      </c>
      <c r="W3" s="99" t="s">
        <v>122</v>
      </c>
    </row>
    <row r="4" spans="2:23" ht="20.25" customHeight="1" x14ac:dyDescent="0.45">
      <c r="B4" s="101"/>
      <c r="C4" s="101"/>
      <c r="D4" s="106"/>
      <c r="E4" s="101"/>
      <c r="F4" s="42" t="s">
        <v>2</v>
      </c>
      <c r="G4" s="42" t="s">
        <v>3</v>
      </c>
      <c r="H4" s="42" t="s">
        <v>4</v>
      </c>
      <c r="I4" s="100" t="s">
        <v>55</v>
      </c>
      <c r="K4" s="101"/>
      <c r="L4" s="101"/>
      <c r="M4" s="106"/>
      <c r="N4" s="100"/>
      <c r="O4" s="100" t="s">
        <v>55</v>
      </c>
      <c r="Q4" s="101"/>
      <c r="R4" s="100"/>
      <c r="S4" s="42" t="s">
        <v>32</v>
      </c>
      <c r="T4" s="42" t="s">
        <v>33</v>
      </c>
      <c r="U4" s="100"/>
      <c r="V4" s="100"/>
      <c r="W4" s="100" t="s">
        <v>55</v>
      </c>
    </row>
    <row r="5" spans="2:23" x14ac:dyDescent="0.45">
      <c r="B5" s="55" t="s">
        <v>6</v>
      </c>
      <c r="C5" s="46">
        <v>1863</v>
      </c>
      <c r="D5" s="47">
        <v>11515.182765400001</v>
      </c>
      <c r="E5" s="48">
        <v>9637.8710358299995</v>
      </c>
      <c r="F5" s="46">
        <v>1075861.6004999999</v>
      </c>
      <c r="G5" s="46">
        <v>1576890.5456999999</v>
      </c>
      <c r="H5" s="47">
        <v>65.665008544900004</v>
      </c>
      <c r="I5" s="43">
        <f t="shared" ref="I5:I30" si="0">E5/D5</f>
        <v>0.83697073960381996</v>
      </c>
      <c r="J5" s="38"/>
      <c r="K5" s="60" t="str">
        <f>B5</f>
        <v>R18630</v>
      </c>
      <c r="L5" s="46">
        <v>1863</v>
      </c>
      <c r="M5" s="47">
        <v>11515.182765400001</v>
      </c>
      <c r="N5" s="47">
        <v>9192.9411006699993</v>
      </c>
      <c r="O5" s="43">
        <f t="shared" ref="O5:O30" si="1">N5/D5</f>
        <v>0.79833219219865903</v>
      </c>
      <c r="Q5" s="60" t="str">
        <f>B5</f>
        <v>R18630</v>
      </c>
      <c r="R5" s="48" t="s">
        <v>34</v>
      </c>
      <c r="S5" s="46">
        <v>1071530</v>
      </c>
      <c r="T5" s="46">
        <v>1575500</v>
      </c>
      <c r="U5" s="48">
        <v>0.39746400713899999</v>
      </c>
      <c r="V5" s="48">
        <v>0.212243005633</v>
      </c>
      <c r="W5" s="43">
        <f>O5</f>
        <v>0.79833219219865903</v>
      </c>
    </row>
    <row r="6" spans="2:23" x14ac:dyDescent="0.45">
      <c r="B6" s="56" t="s">
        <v>7</v>
      </c>
      <c r="C6" s="49">
        <v>1871</v>
      </c>
      <c r="D6" s="50">
        <v>724.19690746599997</v>
      </c>
      <c r="E6" s="51">
        <v>693.21260211599997</v>
      </c>
      <c r="F6" s="49">
        <v>1084458.8296000001</v>
      </c>
      <c r="G6" s="49">
        <v>1574265.5436</v>
      </c>
      <c r="H6" s="50">
        <v>73</v>
      </c>
      <c r="I6" s="37">
        <f t="shared" si="0"/>
        <v>0.95721563426939282</v>
      </c>
      <c r="J6" s="38"/>
      <c r="K6" s="61" t="str">
        <f t="shared" ref="K6:K30" si="2">B6</f>
        <v>R18710</v>
      </c>
      <c r="L6" s="49">
        <v>1871</v>
      </c>
      <c r="M6" s="50">
        <v>724.19690746599997</v>
      </c>
      <c r="N6" s="50">
        <v>667.24565321099999</v>
      </c>
      <c r="O6" s="37">
        <f t="shared" si="1"/>
        <v>0.92135943461250724</v>
      </c>
      <c r="Q6" s="61" t="str">
        <f t="shared" ref="Q6:Q30" si="3">B6</f>
        <v>R18710</v>
      </c>
      <c r="R6" s="51" t="s">
        <v>35</v>
      </c>
      <c r="S6" s="49">
        <v>1084140</v>
      </c>
      <c r="T6" s="49">
        <v>1574280</v>
      </c>
      <c r="U6" s="51">
        <v>1.9762699604</v>
      </c>
      <c r="V6" s="51">
        <v>1.3838000297499999</v>
      </c>
      <c r="W6" s="37">
        <f t="shared" ref="W6:W30" si="4">O6</f>
        <v>0.92135943461250724</v>
      </c>
    </row>
    <row r="7" spans="2:23" x14ac:dyDescent="0.45">
      <c r="B7" s="56" t="s">
        <v>8</v>
      </c>
      <c r="C7" s="49">
        <v>1872</v>
      </c>
      <c r="D7" s="50">
        <v>1147.6039319399999</v>
      </c>
      <c r="E7" s="51">
        <v>1069.93624363</v>
      </c>
      <c r="F7" s="49">
        <v>1085333.8303</v>
      </c>
      <c r="G7" s="49">
        <v>1574307.2102999999</v>
      </c>
      <c r="H7" s="50">
        <v>73</v>
      </c>
      <c r="I7" s="37">
        <f t="shared" si="0"/>
        <v>0.93232186981208376</v>
      </c>
      <c r="J7" s="38"/>
      <c r="K7" s="61" t="str">
        <f t="shared" si="2"/>
        <v>R18720</v>
      </c>
      <c r="L7" s="49">
        <v>1872</v>
      </c>
      <c r="M7" s="50">
        <v>1147.6039319399999</v>
      </c>
      <c r="N7" s="50">
        <v>1057.0173784200001</v>
      </c>
      <c r="O7" s="37">
        <f t="shared" si="1"/>
        <v>0.92106461907387749</v>
      </c>
      <c r="Q7" s="61" t="str">
        <f t="shared" si="3"/>
        <v>R18720</v>
      </c>
      <c r="R7" s="51" t="s">
        <v>36</v>
      </c>
      <c r="S7" s="49">
        <v>1084810</v>
      </c>
      <c r="T7" s="49">
        <v>1574310</v>
      </c>
      <c r="U7" s="51">
        <v>1.77485001087</v>
      </c>
      <c r="V7" s="51">
        <v>1.27044999599</v>
      </c>
      <c r="W7" s="37">
        <f t="shared" si="4"/>
        <v>0.92106461907387749</v>
      </c>
    </row>
    <row r="8" spans="2:23" x14ac:dyDescent="0.45">
      <c r="B8" s="56" t="s">
        <v>9</v>
      </c>
      <c r="C8" s="49">
        <v>1873</v>
      </c>
      <c r="D8" s="50">
        <v>305.55579999999998</v>
      </c>
      <c r="E8" s="51">
        <v>305.55579999999998</v>
      </c>
      <c r="F8" s="49">
        <v>1086014.3864</v>
      </c>
      <c r="G8" s="49">
        <v>1574251.6547000001</v>
      </c>
      <c r="H8" s="50">
        <v>73</v>
      </c>
      <c r="I8" s="37">
        <f t="shared" si="0"/>
        <v>1</v>
      </c>
      <c r="J8" s="38"/>
      <c r="K8" s="61" t="str">
        <f t="shared" si="2"/>
        <v>R18730</v>
      </c>
      <c r="L8" s="49">
        <v>1873</v>
      </c>
      <c r="M8" s="50">
        <v>305.55579999999998</v>
      </c>
      <c r="N8" s="50">
        <v>305.55579999999998</v>
      </c>
      <c r="O8" s="37">
        <f t="shared" si="1"/>
        <v>1</v>
      </c>
      <c r="Q8" s="61" t="str">
        <f t="shared" si="3"/>
        <v>R18730</v>
      </c>
      <c r="R8" s="51" t="s">
        <v>37</v>
      </c>
      <c r="S8" s="49">
        <v>1085860</v>
      </c>
      <c r="T8" s="49">
        <v>1574250</v>
      </c>
      <c r="U8" s="51">
        <v>1.21992003918</v>
      </c>
      <c r="V8" s="51">
        <v>0.84997302293800003</v>
      </c>
      <c r="W8" s="37">
        <f t="shared" si="4"/>
        <v>1</v>
      </c>
    </row>
    <row r="9" spans="2:23" x14ac:dyDescent="0.45">
      <c r="B9" s="56" t="s">
        <v>10</v>
      </c>
      <c r="C9" s="49">
        <v>1874</v>
      </c>
      <c r="D9" s="50">
        <v>1234.8855468700001</v>
      </c>
      <c r="E9" s="51">
        <v>1104.58623059</v>
      </c>
      <c r="F9" s="49">
        <v>1086646.3314</v>
      </c>
      <c r="G9" s="49">
        <v>1574383.5992999999</v>
      </c>
      <c r="H9" s="50">
        <v>78</v>
      </c>
      <c r="I9" s="37">
        <f t="shared" si="0"/>
        <v>0.89448470215700315</v>
      </c>
      <c r="J9" s="38"/>
      <c r="K9" s="61" t="str">
        <f t="shared" si="2"/>
        <v>R18740</v>
      </c>
      <c r="L9" s="49">
        <v>1874</v>
      </c>
      <c r="M9" s="50">
        <v>1234.8855468700001</v>
      </c>
      <c r="N9" s="50">
        <v>1011.12718241</v>
      </c>
      <c r="O9" s="37">
        <f t="shared" si="1"/>
        <v>0.8188023456690795</v>
      </c>
      <c r="Q9" s="61" t="str">
        <f t="shared" si="3"/>
        <v>R18740</v>
      </c>
      <c r="R9" s="51" t="s">
        <v>38</v>
      </c>
      <c r="S9" s="49">
        <v>1086170</v>
      </c>
      <c r="T9" s="49">
        <v>1574250</v>
      </c>
      <c r="U9" s="51">
        <v>1.1562299728400001</v>
      </c>
      <c r="V9" s="51">
        <v>0.814208984375</v>
      </c>
      <c r="W9" s="37">
        <f t="shared" si="4"/>
        <v>0.8188023456690795</v>
      </c>
    </row>
    <row r="10" spans="2:23" x14ac:dyDescent="0.45">
      <c r="B10" s="56" t="s">
        <v>11</v>
      </c>
      <c r="C10" s="49">
        <v>1876</v>
      </c>
      <c r="D10" s="50">
        <v>4093.54584062</v>
      </c>
      <c r="E10" s="51">
        <v>3695.84302437</v>
      </c>
      <c r="F10" s="49">
        <v>1069778.2623000001</v>
      </c>
      <c r="G10" s="49">
        <v>1575279.4332999999</v>
      </c>
      <c r="H10" s="50">
        <v>55.660377502400003</v>
      </c>
      <c r="I10" s="37">
        <f t="shared" si="0"/>
        <v>0.90284637531022127</v>
      </c>
      <c r="J10" s="38"/>
      <c r="K10" s="61" t="str">
        <f t="shared" si="2"/>
        <v>R18760</v>
      </c>
      <c r="L10" s="49">
        <v>1876</v>
      </c>
      <c r="M10" s="50">
        <v>4093.54584062</v>
      </c>
      <c r="N10" s="50">
        <v>3291.9916004699999</v>
      </c>
      <c r="O10" s="37">
        <f t="shared" si="1"/>
        <v>0.8041907257526647</v>
      </c>
      <c r="Q10" s="61" t="str">
        <f t="shared" si="3"/>
        <v>R18760</v>
      </c>
      <c r="R10" s="51" t="s">
        <v>39</v>
      </c>
      <c r="S10" s="49">
        <v>1068610</v>
      </c>
      <c r="T10" s="49">
        <v>1574030</v>
      </c>
      <c r="U10" s="51">
        <v>0.61550897359800005</v>
      </c>
      <c r="V10" s="51">
        <v>0.32557201385500001</v>
      </c>
      <c r="W10" s="37">
        <f t="shared" si="4"/>
        <v>0.8041907257526647</v>
      </c>
    </row>
    <row r="11" spans="2:23" x14ac:dyDescent="0.45">
      <c r="B11" s="56" t="s">
        <v>12</v>
      </c>
      <c r="C11" s="49">
        <v>1879</v>
      </c>
      <c r="D11" s="50">
        <v>1560.66142031</v>
      </c>
      <c r="E11" s="51">
        <v>1408.14403335</v>
      </c>
      <c r="F11" s="49">
        <v>1079868.5482000001</v>
      </c>
      <c r="G11" s="49">
        <v>1573439.1540999999</v>
      </c>
      <c r="H11" s="50">
        <v>76.133247375500005</v>
      </c>
      <c r="I11" s="37">
        <f t="shared" si="0"/>
        <v>0.90227387889827826</v>
      </c>
      <c r="J11" s="38"/>
      <c r="K11" s="61" t="str">
        <f t="shared" si="2"/>
        <v>R18790</v>
      </c>
      <c r="L11" s="49">
        <v>1879</v>
      </c>
      <c r="M11" s="50">
        <v>1560.66142031</v>
      </c>
      <c r="N11" s="50">
        <v>1194.7683540099999</v>
      </c>
      <c r="O11" s="37">
        <f t="shared" si="1"/>
        <v>0.76555256538133598</v>
      </c>
      <c r="Q11" s="61" t="str">
        <f t="shared" si="3"/>
        <v>R18790</v>
      </c>
      <c r="R11" s="51" t="s">
        <v>40</v>
      </c>
      <c r="S11" s="49">
        <v>1079310</v>
      </c>
      <c r="T11" s="49">
        <v>1573400</v>
      </c>
      <c r="U11" s="51">
        <v>2.8408699035599998</v>
      </c>
      <c r="V11" s="51">
        <v>1.8976800441699999</v>
      </c>
      <c r="W11" s="37">
        <f t="shared" si="4"/>
        <v>0.76555256538133598</v>
      </c>
    </row>
    <row r="12" spans="2:23" x14ac:dyDescent="0.45">
      <c r="B12" s="56" t="s">
        <v>13</v>
      </c>
      <c r="C12" s="49">
        <v>1880</v>
      </c>
      <c r="D12" s="50">
        <v>1230.11962986</v>
      </c>
      <c r="E12" s="51">
        <v>1128.2738463200001</v>
      </c>
      <c r="F12" s="49">
        <v>1068250.4833</v>
      </c>
      <c r="G12" s="49">
        <v>1573584.9875</v>
      </c>
      <c r="H12" s="50">
        <v>54</v>
      </c>
      <c r="I12" s="37">
        <f t="shared" si="0"/>
        <v>0.91720660245736341</v>
      </c>
      <c r="J12" s="38"/>
      <c r="K12" s="61" t="str">
        <f t="shared" si="2"/>
        <v>R18800</v>
      </c>
      <c r="L12" s="49">
        <v>1880</v>
      </c>
      <c r="M12" s="50">
        <v>1230.11962986</v>
      </c>
      <c r="N12" s="50">
        <v>1100.64603364</v>
      </c>
      <c r="O12" s="37">
        <f t="shared" si="1"/>
        <v>0.89474715053954923</v>
      </c>
      <c r="Q12" s="61" t="str">
        <f t="shared" si="3"/>
        <v>R18800</v>
      </c>
      <c r="R12" s="51" t="s">
        <v>41</v>
      </c>
      <c r="S12" s="49">
        <v>1067780</v>
      </c>
      <c r="T12" s="49">
        <v>1573280</v>
      </c>
      <c r="U12" s="51">
        <v>3.9305400848400001</v>
      </c>
      <c r="V12" s="51">
        <v>2.4770998954799999</v>
      </c>
      <c r="W12" s="37">
        <f t="shared" si="4"/>
        <v>0.89474715053954923</v>
      </c>
    </row>
    <row r="13" spans="2:23" x14ac:dyDescent="0.45">
      <c r="B13" s="56" t="s">
        <v>14</v>
      </c>
      <c r="C13" s="49">
        <v>1881</v>
      </c>
      <c r="D13" s="50">
        <v>5501.0205098799997</v>
      </c>
      <c r="E13" s="51">
        <v>4506.2848614000004</v>
      </c>
      <c r="F13" s="49">
        <v>1076931.0458</v>
      </c>
      <c r="G13" s="49">
        <v>1573793.321</v>
      </c>
      <c r="H13" s="50">
        <v>67.665191650400004</v>
      </c>
      <c r="I13" s="37">
        <f t="shared" si="0"/>
        <v>0.81917252504450333</v>
      </c>
      <c r="J13" s="38"/>
      <c r="K13" s="61" t="str">
        <f t="shared" si="2"/>
        <v>R18810</v>
      </c>
      <c r="L13" s="49">
        <v>1881</v>
      </c>
      <c r="M13" s="50">
        <v>5501.0205098799997</v>
      </c>
      <c r="N13" s="50">
        <v>4282.1981151700002</v>
      </c>
      <c r="O13" s="37">
        <f t="shared" si="1"/>
        <v>0.77843703863293046</v>
      </c>
      <c r="Q13" s="61" t="str">
        <f t="shared" si="3"/>
        <v>R18810</v>
      </c>
      <c r="R13" s="51" t="s">
        <v>42</v>
      </c>
      <c r="S13" s="49">
        <v>1075030</v>
      </c>
      <c r="T13" s="49">
        <v>1573170</v>
      </c>
      <c r="U13" s="51">
        <v>3.2136399745899999</v>
      </c>
      <c r="V13" s="51">
        <v>2.1009199619299999</v>
      </c>
      <c r="W13" s="37">
        <f t="shared" si="4"/>
        <v>0.77843703863293046</v>
      </c>
    </row>
    <row r="14" spans="2:23" x14ac:dyDescent="0.45">
      <c r="B14" s="56" t="s">
        <v>15</v>
      </c>
      <c r="C14" s="49">
        <v>1882</v>
      </c>
      <c r="D14" s="50">
        <v>2134.4633862800001</v>
      </c>
      <c r="E14" s="51">
        <v>1952.16024823</v>
      </c>
      <c r="F14" s="49">
        <v>1083382.4399000001</v>
      </c>
      <c r="G14" s="49">
        <v>1573716.9321000001</v>
      </c>
      <c r="H14" s="50">
        <v>72</v>
      </c>
      <c r="I14" s="37">
        <f t="shared" si="0"/>
        <v>0.91459064642578713</v>
      </c>
      <c r="J14" s="38"/>
      <c r="K14" s="61" t="str">
        <f t="shared" si="2"/>
        <v>R18820</v>
      </c>
      <c r="L14" s="49">
        <v>1882</v>
      </c>
      <c r="M14" s="50">
        <v>2134.4633862800001</v>
      </c>
      <c r="N14" s="50">
        <v>1878.4448430499999</v>
      </c>
      <c r="O14" s="37">
        <f t="shared" si="1"/>
        <v>0.8800548442874927</v>
      </c>
      <c r="Q14" s="61" t="str">
        <f t="shared" si="3"/>
        <v>R18820</v>
      </c>
      <c r="R14" s="51" t="s">
        <v>43</v>
      </c>
      <c r="S14" s="49">
        <v>1082670</v>
      </c>
      <c r="T14" s="49">
        <v>1573090</v>
      </c>
      <c r="U14" s="51">
        <v>2.3293600082400001</v>
      </c>
      <c r="V14" s="51">
        <v>1.5946799516700001</v>
      </c>
      <c r="W14" s="37">
        <f t="shared" si="4"/>
        <v>0.8800548442874927</v>
      </c>
    </row>
    <row r="15" spans="2:23" x14ac:dyDescent="0.45">
      <c r="B15" s="56" t="s">
        <v>31</v>
      </c>
      <c r="C15" s="49">
        <v>1883</v>
      </c>
      <c r="D15" s="50">
        <v>2970.9278991199999</v>
      </c>
      <c r="E15" s="51">
        <v>2695.6828228300001</v>
      </c>
      <c r="F15" s="49">
        <v>1087472.7209000001</v>
      </c>
      <c r="G15" s="49">
        <v>1573807.2098999999</v>
      </c>
      <c r="H15" s="50">
        <v>75</v>
      </c>
      <c r="I15" s="37">
        <f t="shared" si="0"/>
        <v>0.90735383501850431</v>
      </c>
      <c r="J15" s="38"/>
      <c r="K15" s="61" t="str">
        <f t="shared" si="2"/>
        <v>R18830</v>
      </c>
      <c r="L15" s="49">
        <v>1883</v>
      </c>
      <c r="M15" s="50">
        <v>2970.9278991199999</v>
      </c>
      <c r="N15" s="50">
        <v>2553.4431970400001</v>
      </c>
      <c r="O15" s="37">
        <f t="shared" si="1"/>
        <v>0.8594766630978623</v>
      </c>
      <c r="Q15" s="61" t="str">
        <f t="shared" si="3"/>
        <v>R18830</v>
      </c>
      <c r="R15" s="51" t="s">
        <v>38</v>
      </c>
      <c r="S15" s="49">
        <v>1086170</v>
      </c>
      <c r="T15" s="49">
        <v>1574250</v>
      </c>
      <c r="U15" s="51">
        <v>1.1562299728400001</v>
      </c>
      <c r="V15" s="51">
        <v>0.814208984375</v>
      </c>
      <c r="W15" s="37">
        <f t="shared" si="4"/>
        <v>0.8594766630978623</v>
      </c>
    </row>
    <row r="16" spans="2:23" x14ac:dyDescent="0.45">
      <c r="B16" s="56" t="s">
        <v>16</v>
      </c>
      <c r="C16" s="49">
        <v>1885</v>
      </c>
      <c r="D16" s="50">
        <v>8733.9335492900009</v>
      </c>
      <c r="E16" s="51">
        <v>7478.5120660499997</v>
      </c>
      <c r="F16" s="49">
        <v>1071333.8191</v>
      </c>
      <c r="G16" s="49">
        <v>1573779.4321000001</v>
      </c>
      <c r="H16" s="50">
        <v>57.667308807399998</v>
      </c>
      <c r="I16" s="37">
        <f t="shared" si="0"/>
        <v>0.85625932735175703</v>
      </c>
      <c r="J16" s="38"/>
      <c r="K16" s="61" t="str">
        <f t="shared" si="2"/>
        <v>R18850</v>
      </c>
      <c r="L16" s="49">
        <v>1885</v>
      </c>
      <c r="M16" s="50">
        <v>8733.9335492900009</v>
      </c>
      <c r="N16" s="50">
        <v>7250.8571768299998</v>
      </c>
      <c r="O16" s="37">
        <f t="shared" si="1"/>
        <v>0.83019376503264519</v>
      </c>
      <c r="Q16" s="61" t="str">
        <f t="shared" si="3"/>
        <v>R18850</v>
      </c>
      <c r="R16" s="51" t="s">
        <v>41</v>
      </c>
      <c r="S16" s="49">
        <v>1067780</v>
      </c>
      <c r="T16" s="49">
        <v>1573280</v>
      </c>
      <c r="U16" s="51">
        <v>3.9305400848400001</v>
      </c>
      <c r="V16" s="51">
        <v>2.4770998954799999</v>
      </c>
      <c r="W16" s="37">
        <f t="shared" si="4"/>
        <v>0.83019376503264519</v>
      </c>
    </row>
    <row r="17" spans="2:23" x14ac:dyDescent="0.45">
      <c r="B17" s="56" t="s">
        <v>17</v>
      </c>
      <c r="C17" s="49">
        <v>1886</v>
      </c>
      <c r="D17" s="50">
        <v>3038.8071427</v>
      </c>
      <c r="E17" s="51">
        <v>2766.27718577</v>
      </c>
      <c r="F17" s="49">
        <v>1081278.2715</v>
      </c>
      <c r="G17" s="49">
        <v>1572807.2091000001</v>
      </c>
      <c r="H17" s="50">
        <v>74</v>
      </c>
      <c r="I17" s="37">
        <f t="shared" si="0"/>
        <v>0.91031679730492687</v>
      </c>
      <c r="J17" s="38"/>
      <c r="K17" s="61" t="str">
        <f t="shared" si="2"/>
        <v>R18860</v>
      </c>
      <c r="L17" s="49">
        <v>1886</v>
      </c>
      <c r="M17" s="50">
        <v>3038.8071427</v>
      </c>
      <c r="N17" s="50">
        <v>2184.4021087800002</v>
      </c>
      <c r="O17" s="37">
        <f t="shared" si="1"/>
        <v>0.71883538711151795</v>
      </c>
      <c r="Q17" s="61" t="str">
        <f t="shared" si="3"/>
        <v>R18860</v>
      </c>
      <c r="R17" s="51" t="s">
        <v>44</v>
      </c>
      <c r="S17" s="49">
        <v>1080530</v>
      </c>
      <c r="T17" s="49">
        <v>1573390</v>
      </c>
      <c r="U17" s="51">
        <v>2.8180799484299999</v>
      </c>
      <c r="V17" s="51">
        <v>1.8853600025199999</v>
      </c>
      <c r="W17" s="37">
        <f t="shared" si="4"/>
        <v>0.71883538711151795</v>
      </c>
    </row>
    <row r="18" spans="2:23" x14ac:dyDescent="0.45">
      <c r="B18" s="56" t="s">
        <v>18</v>
      </c>
      <c r="C18" s="49">
        <v>1887</v>
      </c>
      <c r="D18" s="50">
        <v>1667.8244053799999</v>
      </c>
      <c r="E18" s="51">
        <v>1480.5706924399999</v>
      </c>
      <c r="F18" s="49">
        <v>1067208.8158</v>
      </c>
      <c r="G18" s="49">
        <v>1572862.7646999999</v>
      </c>
      <c r="H18" s="50">
        <v>52.829547882100002</v>
      </c>
      <c r="I18" s="37">
        <f t="shared" si="0"/>
        <v>0.8877257627745675</v>
      </c>
      <c r="J18" s="38"/>
      <c r="K18" s="61" t="str">
        <f t="shared" si="2"/>
        <v>R18870</v>
      </c>
      <c r="L18" s="49">
        <v>1887</v>
      </c>
      <c r="M18" s="50">
        <v>1667.8244053799999</v>
      </c>
      <c r="N18" s="50">
        <v>1394.9877303799999</v>
      </c>
      <c r="O18" s="37">
        <f t="shared" si="1"/>
        <v>0.83641163055301593</v>
      </c>
      <c r="Q18" s="61" t="str">
        <f t="shared" si="3"/>
        <v>R18870</v>
      </c>
      <c r="R18" s="51" t="s">
        <v>45</v>
      </c>
      <c r="S18" s="49">
        <v>1066640</v>
      </c>
      <c r="T18" s="49">
        <v>1572450</v>
      </c>
      <c r="U18" s="51">
        <v>4.6260800361600003</v>
      </c>
      <c r="V18" s="51">
        <v>2.8387699127200001</v>
      </c>
      <c r="W18" s="37">
        <f t="shared" si="4"/>
        <v>0.83641163055301593</v>
      </c>
    </row>
    <row r="19" spans="2:23" x14ac:dyDescent="0.45">
      <c r="B19" s="56" t="s">
        <v>19</v>
      </c>
      <c r="C19" s="49">
        <v>1889</v>
      </c>
      <c r="D19" s="50">
        <v>1524.16948837</v>
      </c>
      <c r="E19" s="51">
        <v>1355.2499831499999</v>
      </c>
      <c r="F19" s="49">
        <v>1088889.3887</v>
      </c>
      <c r="G19" s="49">
        <v>1572584.9867</v>
      </c>
      <c r="H19" s="50">
        <v>75</v>
      </c>
      <c r="I19" s="37">
        <f t="shared" si="0"/>
        <v>0.88917275505846238</v>
      </c>
      <c r="J19" s="38"/>
      <c r="K19" s="61" t="str">
        <f t="shared" si="2"/>
        <v>R18890</v>
      </c>
      <c r="L19" s="49">
        <v>1889</v>
      </c>
      <c r="M19" s="50">
        <v>1524.16948837</v>
      </c>
      <c r="N19" s="50">
        <v>1223.4851757599999</v>
      </c>
      <c r="O19" s="37">
        <f t="shared" si="1"/>
        <v>0.80272252206573014</v>
      </c>
      <c r="Q19" s="61" t="str">
        <f t="shared" si="3"/>
        <v>R18890</v>
      </c>
      <c r="R19" s="51" t="s">
        <v>46</v>
      </c>
      <c r="S19" s="49">
        <v>1088470</v>
      </c>
      <c r="T19" s="49">
        <v>1572970</v>
      </c>
      <c r="U19" s="51">
        <v>0.987866997719</v>
      </c>
      <c r="V19" s="51">
        <v>0.71818500757199999</v>
      </c>
      <c r="W19" s="37">
        <f t="shared" si="4"/>
        <v>0.80272252206573014</v>
      </c>
    </row>
    <row r="20" spans="2:23" x14ac:dyDescent="0.45">
      <c r="B20" s="56" t="s">
        <v>20</v>
      </c>
      <c r="C20" s="49">
        <v>1894</v>
      </c>
      <c r="D20" s="50">
        <v>4047.52207464</v>
      </c>
      <c r="E20" s="51">
        <v>3280.8368989000001</v>
      </c>
      <c r="F20" s="49">
        <v>1076500.4898999999</v>
      </c>
      <c r="G20" s="49">
        <v>1572557.2089</v>
      </c>
      <c r="H20" s="50">
        <v>67.683654785200005</v>
      </c>
      <c r="I20" s="37">
        <f t="shared" si="0"/>
        <v>0.81057912431319068</v>
      </c>
      <c r="J20" s="38"/>
      <c r="K20" s="61" t="str">
        <f t="shared" si="2"/>
        <v>R18940</v>
      </c>
      <c r="L20" s="49">
        <v>1894</v>
      </c>
      <c r="M20" s="50">
        <v>4047.52207464</v>
      </c>
      <c r="N20" s="50">
        <v>2956.60723332</v>
      </c>
      <c r="O20" s="37">
        <f t="shared" si="1"/>
        <v>0.73047340540643513</v>
      </c>
      <c r="Q20" s="61" t="str">
        <f t="shared" si="3"/>
        <v>R18940</v>
      </c>
      <c r="R20" s="51" t="s">
        <v>42</v>
      </c>
      <c r="S20" s="49">
        <v>1075030</v>
      </c>
      <c r="T20" s="49">
        <v>1573170</v>
      </c>
      <c r="U20" s="51">
        <v>3.2136399745899999</v>
      </c>
      <c r="V20" s="51">
        <v>2.1009199619299999</v>
      </c>
      <c r="W20" s="37">
        <f t="shared" si="4"/>
        <v>0.73047340540643513</v>
      </c>
    </row>
    <row r="21" spans="2:23" x14ac:dyDescent="0.45">
      <c r="B21" s="56" t="s">
        <v>21</v>
      </c>
      <c r="C21" s="49">
        <v>1895</v>
      </c>
      <c r="D21" s="50">
        <v>4389.5698065899996</v>
      </c>
      <c r="E21" s="51">
        <v>3699.5186592700002</v>
      </c>
      <c r="F21" s="49">
        <v>1068403.2612000001</v>
      </c>
      <c r="G21" s="49">
        <v>1572001.6529000001</v>
      </c>
      <c r="H21" s="50">
        <v>54.163673400900002</v>
      </c>
      <c r="I21" s="37">
        <f t="shared" si="0"/>
        <v>0.84279754560821984</v>
      </c>
      <c r="J21" s="38"/>
      <c r="K21" s="61" t="str">
        <f t="shared" si="2"/>
        <v>R18950</v>
      </c>
      <c r="L21" s="49">
        <v>1895</v>
      </c>
      <c r="M21" s="50">
        <v>4389.5698065899996</v>
      </c>
      <c r="N21" s="50">
        <v>3585.1660529400001</v>
      </c>
      <c r="O21" s="37">
        <f t="shared" si="1"/>
        <v>0.81674656308179461</v>
      </c>
      <c r="Q21" s="61" t="str">
        <f t="shared" si="3"/>
        <v>R18950</v>
      </c>
      <c r="R21" s="51" t="s">
        <v>45</v>
      </c>
      <c r="S21" s="49">
        <v>1066640</v>
      </c>
      <c r="T21" s="49">
        <v>1572450</v>
      </c>
      <c r="U21" s="51">
        <v>4.6260800361600003</v>
      </c>
      <c r="V21" s="51">
        <v>2.8387699127200001</v>
      </c>
      <c r="W21" s="37">
        <f t="shared" si="4"/>
        <v>0.81674656308179461</v>
      </c>
    </row>
    <row r="22" spans="2:23" x14ac:dyDescent="0.45">
      <c r="B22" s="56" t="s">
        <v>22</v>
      </c>
      <c r="C22" s="49">
        <v>1898</v>
      </c>
      <c r="D22" s="50">
        <v>855.52818090100004</v>
      </c>
      <c r="E22" s="51">
        <v>786.46272456700001</v>
      </c>
      <c r="F22" s="49">
        <v>1070500.4850999999</v>
      </c>
      <c r="G22" s="49">
        <v>1571751.6527</v>
      </c>
      <c r="H22" s="50">
        <v>56.427665710399999</v>
      </c>
      <c r="I22" s="37">
        <f t="shared" si="0"/>
        <v>0.9192715589318593</v>
      </c>
      <c r="J22" s="38"/>
      <c r="K22" s="61" t="str">
        <f t="shared" si="2"/>
        <v>R18980</v>
      </c>
      <c r="L22" s="49">
        <v>1898</v>
      </c>
      <c r="M22" s="50">
        <v>855.52818090100004</v>
      </c>
      <c r="N22" s="50">
        <v>720.61845266499995</v>
      </c>
      <c r="O22" s="37">
        <f t="shared" si="1"/>
        <v>0.84230825909916862</v>
      </c>
      <c r="Q22" s="61" t="str">
        <f t="shared" si="3"/>
        <v>R18980</v>
      </c>
      <c r="R22" s="51" t="s">
        <v>47</v>
      </c>
      <c r="S22" s="49">
        <v>1070190</v>
      </c>
      <c r="T22" s="49">
        <v>1571840</v>
      </c>
      <c r="U22" s="51">
        <v>0.61273598670999996</v>
      </c>
      <c r="V22" s="51">
        <v>0.32110199332200001</v>
      </c>
      <c r="W22" s="37">
        <f t="shared" si="4"/>
        <v>0.84230825909916862</v>
      </c>
    </row>
    <row r="23" spans="2:23" x14ac:dyDescent="0.45">
      <c r="B23" s="56" t="s">
        <v>23</v>
      </c>
      <c r="C23" s="49">
        <v>1903</v>
      </c>
      <c r="D23" s="50">
        <v>3420.1386161400001</v>
      </c>
      <c r="E23" s="51">
        <v>2809.8867406700001</v>
      </c>
      <c r="F23" s="49">
        <v>1066278.2594999999</v>
      </c>
      <c r="G23" s="49">
        <v>1571223.8744999999</v>
      </c>
      <c r="H23" s="50">
        <v>51.155326843300003</v>
      </c>
      <c r="I23" s="37">
        <f t="shared" si="0"/>
        <v>0.82157101101395247</v>
      </c>
      <c r="J23" s="38"/>
      <c r="K23" s="61" t="str">
        <f t="shared" si="2"/>
        <v>R19030</v>
      </c>
      <c r="L23" s="49">
        <v>1903</v>
      </c>
      <c r="M23" s="50">
        <v>3420.1386161400001</v>
      </c>
      <c r="N23" s="50">
        <v>2528.3902273899998</v>
      </c>
      <c r="O23" s="37">
        <f t="shared" si="1"/>
        <v>0.73926542493285385</v>
      </c>
      <c r="Q23" s="61" t="str">
        <f t="shared" si="3"/>
        <v>R19030</v>
      </c>
      <c r="R23" s="51" t="s">
        <v>48</v>
      </c>
      <c r="S23" s="49">
        <v>1065170</v>
      </c>
      <c r="T23" s="49">
        <v>1570400</v>
      </c>
      <c r="U23" s="51">
        <v>4.8513298034699996</v>
      </c>
      <c r="V23" s="51">
        <v>2.9491500854499999</v>
      </c>
      <c r="W23" s="37">
        <f t="shared" si="4"/>
        <v>0.73926542493285385</v>
      </c>
    </row>
    <row r="24" spans="2:23" x14ac:dyDescent="0.45">
      <c r="B24" s="56" t="s">
        <v>24</v>
      </c>
      <c r="C24" s="49">
        <v>1907</v>
      </c>
      <c r="D24" s="50">
        <v>2208.2649522500001</v>
      </c>
      <c r="E24" s="51">
        <v>1929.6512252099999</v>
      </c>
      <c r="F24" s="49">
        <v>1060250.4768999999</v>
      </c>
      <c r="G24" s="49">
        <v>1570223.8737000001</v>
      </c>
      <c r="H24" s="50">
        <v>47.235168457</v>
      </c>
      <c r="I24" s="37">
        <f t="shared" si="0"/>
        <v>0.8738313866023546</v>
      </c>
      <c r="J24" s="38"/>
      <c r="K24" s="61" t="str">
        <f t="shared" si="2"/>
        <v>R19070</v>
      </c>
      <c r="L24" s="49">
        <v>1907</v>
      </c>
      <c r="M24" s="50">
        <v>2208.2649522500001</v>
      </c>
      <c r="N24" s="50">
        <v>1645.23386007</v>
      </c>
      <c r="O24" s="37">
        <f t="shared" si="1"/>
        <v>0.7450346292883343</v>
      </c>
      <c r="Q24" s="61" t="str">
        <f t="shared" si="3"/>
        <v>R19070</v>
      </c>
      <c r="R24" s="51" t="s">
        <v>49</v>
      </c>
      <c r="S24" s="49">
        <v>1059500</v>
      </c>
      <c r="T24" s="49">
        <v>1570330</v>
      </c>
      <c r="U24" s="51">
        <v>5.5006399154699999</v>
      </c>
      <c r="V24" s="51">
        <v>3.2609701156600002</v>
      </c>
      <c r="W24" s="37">
        <f t="shared" si="4"/>
        <v>0.7450346292883343</v>
      </c>
    </row>
    <row r="25" spans="2:23" x14ac:dyDescent="0.45">
      <c r="B25" s="56" t="s">
        <v>29</v>
      </c>
      <c r="C25" s="49">
        <v>1910</v>
      </c>
      <c r="D25" s="50">
        <v>1630.51477135</v>
      </c>
      <c r="E25" s="51">
        <v>1521.51661184</v>
      </c>
      <c r="F25" s="49">
        <v>1061861.5893000001</v>
      </c>
      <c r="G25" s="49">
        <v>1570334.9849</v>
      </c>
      <c r="H25" s="50">
        <v>48.527557373</v>
      </c>
      <c r="I25" s="37">
        <f t="shared" si="0"/>
        <v>0.93315107509283468</v>
      </c>
      <c r="J25" s="38"/>
      <c r="K25" s="61" t="str">
        <f t="shared" si="2"/>
        <v>R19100</v>
      </c>
      <c r="L25" s="49">
        <v>1910</v>
      </c>
      <c r="M25" s="50">
        <v>1630.51477135</v>
      </c>
      <c r="N25" s="50">
        <v>1372.4032453699999</v>
      </c>
      <c r="O25" s="37">
        <f t="shared" si="1"/>
        <v>0.84169936359037445</v>
      </c>
      <c r="Q25" s="61" t="str">
        <f t="shared" si="3"/>
        <v>R19100</v>
      </c>
      <c r="R25" s="51" t="s">
        <v>50</v>
      </c>
      <c r="S25" s="49">
        <v>1061110</v>
      </c>
      <c r="T25" s="49">
        <v>1570650</v>
      </c>
      <c r="U25" s="51">
        <v>5.4903798103300003</v>
      </c>
      <c r="V25" s="51">
        <v>3.25608992577</v>
      </c>
      <c r="W25" s="37">
        <f t="shared" si="4"/>
        <v>0.84169936359037445</v>
      </c>
    </row>
    <row r="26" spans="2:23" x14ac:dyDescent="0.45">
      <c r="B26" s="56" t="s">
        <v>25</v>
      </c>
      <c r="C26" s="49">
        <v>1911</v>
      </c>
      <c r="D26" s="50">
        <v>3563.7935331499998</v>
      </c>
      <c r="E26" s="51">
        <v>3179.5725446800002</v>
      </c>
      <c r="F26" s="49">
        <v>1064139.3688999999</v>
      </c>
      <c r="G26" s="49">
        <v>1569751.6510999999</v>
      </c>
      <c r="H26" s="50">
        <v>49.486228942899999</v>
      </c>
      <c r="I26" s="37">
        <f t="shared" si="0"/>
        <v>0.89218764081139379</v>
      </c>
      <c r="J26" s="38"/>
      <c r="K26" s="61" t="str">
        <f t="shared" si="2"/>
        <v>R19110</v>
      </c>
      <c r="L26" s="49">
        <v>1911</v>
      </c>
      <c r="M26" s="50">
        <v>3563.7935331499998</v>
      </c>
      <c r="N26" s="50">
        <v>2802.8061734100002</v>
      </c>
      <c r="O26" s="37">
        <f t="shared" si="1"/>
        <v>0.78646704623559638</v>
      </c>
      <c r="Q26" s="61" t="str">
        <f t="shared" si="3"/>
        <v>R19110</v>
      </c>
      <c r="R26" s="51" t="s">
        <v>51</v>
      </c>
      <c r="S26" s="49">
        <v>1062590</v>
      </c>
      <c r="T26" s="49">
        <v>1569480</v>
      </c>
      <c r="U26" s="51">
        <v>5.17547988892</v>
      </c>
      <c r="V26" s="51">
        <v>3.1074199676499998</v>
      </c>
      <c r="W26" s="37">
        <f t="shared" si="4"/>
        <v>0.78646704623559638</v>
      </c>
    </row>
    <row r="27" spans="2:23" x14ac:dyDescent="0.45">
      <c r="B27" s="56" t="s">
        <v>26</v>
      </c>
      <c r="C27" s="49">
        <v>1912</v>
      </c>
      <c r="D27" s="50">
        <v>9751.7013164599994</v>
      </c>
      <c r="E27" s="51">
        <v>8045.8635310400005</v>
      </c>
      <c r="F27" s="49">
        <v>1083444.9399000001</v>
      </c>
      <c r="G27" s="49">
        <v>1570890.5408999999</v>
      </c>
      <c r="H27" s="50">
        <v>79</v>
      </c>
      <c r="I27" s="37">
        <f t="shared" si="0"/>
        <v>0.8250728021642032</v>
      </c>
      <c r="J27" s="38"/>
      <c r="K27" s="61" t="str">
        <f t="shared" si="2"/>
        <v>R19120</v>
      </c>
      <c r="L27" s="49">
        <v>1912</v>
      </c>
      <c r="M27" s="50">
        <v>9751.7013164599994</v>
      </c>
      <c r="N27" s="50">
        <v>7716.5308499399998</v>
      </c>
      <c r="O27" s="37">
        <f t="shared" si="1"/>
        <v>0.79130098426160633</v>
      </c>
      <c r="Q27" s="61" t="str">
        <f t="shared" si="3"/>
        <v>R19120</v>
      </c>
      <c r="R27" s="51" t="s">
        <v>44</v>
      </c>
      <c r="S27" s="49">
        <v>1080530</v>
      </c>
      <c r="T27" s="49">
        <v>1573390</v>
      </c>
      <c r="U27" s="51">
        <v>2.8180799484299999</v>
      </c>
      <c r="V27" s="51">
        <v>1.8853600025199999</v>
      </c>
      <c r="W27" s="37">
        <f t="shared" si="4"/>
        <v>0.79130098426160633</v>
      </c>
    </row>
    <row r="28" spans="2:23" x14ac:dyDescent="0.45">
      <c r="B28" s="56" t="s">
        <v>27</v>
      </c>
      <c r="C28" s="49">
        <v>1989</v>
      </c>
      <c r="D28" s="50">
        <v>1915.85049792</v>
      </c>
      <c r="E28" s="51">
        <v>1807.5510200199999</v>
      </c>
      <c r="F28" s="49">
        <v>1058611.5867000001</v>
      </c>
      <c r="G28" s="49">
        <v>1570196.0959000001</v>
      </c>
      <c r="H28" s="50">
        <v>46</v>
      </c>
      <c r="I28" s="37">
        <f t="shared" si="0"/>
        <v>0.94347185335307815</v>
      </c>
      <c r="J28" s="38"/>
      <c r="K28" s="61" t="str">
        <f t="shared" si="2"/>
        <v>R19890</v>
      </c>
      <c r="L28" s="49">
        <v>1989</v>
      </c>
      <c r="M28" s="50">
        <v>1915.85049792</v>
      </c>
      <c r="N28" s="50">
        <v>1778.6470444300001</v>
      </c>
      <c r="O28" s="37">
        <f t="shared" si="1"/>
        <v>0.9283850939105327</v>
      </c>
      <c r="Q28" s="61" t="str">
        <f t="shared" si="3"/>
        <v>R19890</v>
      </c>
      <c r="R28" s="51" t="s">
        <v>52</v>
      </c>
      <c r="S28" s="49">
        <v>1057740</v>
      </c>
      <c r="T28" s="49">
        <v>1570200</v>
      </c>
      <c r="U28" s="51">
        <v>5.5637202262900001</v>
      </c>
      <c r="V28" s="51">
        <v>3.2902300357800001</v>
      </c>
      <c r="W28" s="37">
        <f t="shared" si="4"/>
        <v>0.9283850939105327</v>
      </c>
    </row>
    <row r="29" spans="2:23" x14ac:dyDescent="0.45">
      <c r="B29" s="56" t="s">
        <v>28</v>
      </c>
      <c r="C29" s="49">
        <v>1993</v>
      </c>
      <c r="D29" s="50">
        <v>515.454556422</v>
      </c>
      <c r="E29" s="51">
        <v>505.46410226699999</v>
      </c>
      <c r="F29" s="49">
        <v>1062354.6453</v>
      </c>
      <c r="G29" s="49">
        <v>1569647.4844</v>
      </c>
      <c r="H29" s="50">
        <v>48.327697753899997</v>
      </c>
      <c r="I29" s="37">
        <f t="shared" si="0"/>
        <v>0.98061816695472015</v>
      </c>
      <c r="J29" s="38"/>
      <c r="K29" s="61" t="str">
        <f t="shared" si="2"/>
        <v>R19930</v>
      </c>
      <c r="L29" s="49">
        <v>1993</v>
      </c>
      <c r="M29" s="50">
        <v>515.454556422</v>
      </c>
      <c r="N29" s="50">
        <v>494.569668288</v>
      </c>
      <c r="O29" s="37">
        <f t="shared" si="1"/>
        <v>0.95948258120178176</v>
      </c>
      <c r="Q29" s="61" t="str">
        <f t="shared" si="3"/>
        <v>R19930</v>
      </c>
      <c r="R29" s="51" t="s">
        <v>53</v>
      </c>
      <c r="S29" s="49">
        <v>1062220</v>
      </c>
      <c r="T29" s="49">
        <v>1569900</v>
      </c>
      <c r="U29" s="51">
        <v>5.1854500770599996</v>
      </c>
      <c r="V29" s="51">
        <v>3.1121299266800002</v>
      </c>
      <c r="W29" s="37">
        <f t="shared" si="4"/>
        <v>0.95948258120178176</v>
      </c>
    </row>
    <row r="30" spans="2:23" x14ac:dyDescent="0.45">
      <c r="B30" s="57" t="s">
        <v>30</v>
      </c>
      <c r="C30" s="52">
        <v>1998</v>
      </c>
      <c r="D30" s="53">
        <v>122.61714149300001</v>
      </c>
      <c r="E30" s="54">
        <v>119.980647097</v>
      </c>
      <c r="F30" s="52">
        <v>1088410.2217000001</v>
      </c>
      <c r="G30" s="52">
        <v>1572966.9314999999</v>
      </c>
      <c r="H30" s="53">
        <v>78</v>
      </c>
      <c r="I30" s="40">
        <f t="shared" si="0"/>
        <v>0.97849815805606166</v>
      </c>
      <c r="J30" s="38"/>
      <c r="K30" s="62" t="str">
        <f t="shared" si="2"/>
        <v>R19980</v>
      </c>
      <c r="L30" s="52">
        <v>1998</v>
      </c>
      <c r="M30" s="53">
        <v>122.61714149300001</v>
      </c>
      <c r="N30" s="53">
        <v>114.530803447</v>
      </c>
      <c r="O30" s="40">
        <f t="shared" si="1"/>
        <v>0.93405214028365158</v>
      </c>
      <c r="Q30" s="62" t="str">
        <f t="shared" si="3"/>
        <v>R19980</v>
      </c>
      <c r="R30" s="54" t="s">
        <v>54</v>
      </c>
      <c r="S30" s="52">
        <v>1088360</v>
      </c>
      <c r="T30" s="52">
        <v>1572980</v>
      </c>
      <c r="U30" s="54">
        <v>0.98973298072799998</v>
      </c>
      <c r="V30" s="54">
        <v>0.719223976135</v>
      </c>
      <c r="W30" s="40">
        <f t="shared" si="4"/>
        <v>0.93405214028365158</v>
      </c>
    </row>
    <row r="31" spans="2:23" x14ac:dyDescent="0.45">
      <c r="T31" s="33"/>
      <c r="U31" s="35"/>
      <c r="V31" s="35"/>
    </row>
    <row r="32" spans="2:23" x14ac:dyDescent="0.45">
      <c r="L32" s="39"/>
      <c r="U32" s="33"/>
      <c r="V32" s="33"/>
    </row>
    <row r="40" spans="5:5" x14ac:dyDescent="0.45">
      <c r="E40" s="41"/>
    </row>
  </sheetData>
  <sortState xmlns:xlrd2="http://schemas.microsoft.com/office/spreadsheetml/2017/richdata2" ref="B2:P28">
    <sortCondition ref="C2:C28"/>
  </sortState>
  <mergeCells count="20">
    <mergeCell ref="W3:W4"/>
    <mergeCell ref="K2:O2"/>
    <mergeCell ref="Q2:W2"/>
    <mergeCell ref="M3:M4"/>
    <mergeCell ref="Q3:Q4"/>
    <mergeCell ref="R3:R4"/>
    <mergeCell ref="L3:L4"/>
    <mergeCell ref="O3:O4"/>
    <mergeCell ref="U3:U4"/>
    <mergeCell ref="V3:V4"/>
    <mergeCell ref="B2:I2"/>
    <mergeCell ref="I3:I4"/>
    <mergeCell ref="K3:K4"/>
    <mergeCell ref="N3:N4"/>
    <mergeCell ref="S3:T3"/>
    <mergeCell ref="F3:H3"/>
    <mergeCell ref="B3:B4"/>
    <mergeCell ref="C3:C4"/>
    <mergeCell ref="D3:D4"/>
    <mergeCell ref="E3:E4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3:C24"/>
  <sheetViews>
    <sheetView showGridLines="0" tabSelected="1" workbookViewId="0"/>
  </sheetViews>
  <sheetFormatPr defaultColWidth="11.3984375" defaultRowHeight="13.15" x14ac:dyDescent="0.4"/>
  <cols>
    <col min="1" max="1" width="2.3984375" style="29" customWidth="1"/>
    <col min="2" max="3" width="11.3984375" style="30"/>
    <col min="4" max="16384" width="11.3984375" style="29"/>
  </cols>
  <sheetData>
    <row r="3" spans="2:3" x14ac:dyDescent="0.4">
      <c r="B3" s="31" t="s">
        <v>32</v>
      </c>
      <c r="C3" s="31" t="s">
        <v>33</v>
      </c>
    </row>
    <row r="4" spans="2:3" x14ac:dyDescent="0.4">
      <c r="B4" s="58">
        <v>0</v>
      </c>
      <c r="C4" s="58">
        <f>SIN(B4)</f>
        <v>0</v>
      </c>
    </row>
    <row r="5" spans="2:3" x14ac:dyDescent="0.4">
      <c r="B5" s="58">
        <v>0.5</v>
      </c>
      <c r="C5" s="58">
        <f t="shared" ref="C5:C24" si="0">SIN(B5)</f>
        <v>0.47942553860420301</v>
      </c>
    </row>
    <row r="6" spans="2:3" x14ac:dyDescent="0.4">
      <c r="B6" s="58">
        <v>1</v>
      </c>
      <c r="C6" s="58">
        <f t="shared" si="0"/>
        <v>0.8414709848078965</v>
      </c>
    </row>
    <row r="7" spans="2:3" x14ac:dyDescent="0.4">
      <c r="B7" s="58">
        <v>1.5</v>
      </c>
      <c r="C7" s="58">
        <f t="shared" si="0"/>
        <v>0.99749498660405445</v>
      </c>
    </row>
    <row r="8" spans="2:3" x14ac:dyDescent="0.4">
      <c r="B8" s="58">
        <v>2</v>
      </c>
      <c r="C8" s="58">
        <f t="shared" si="0"/>
        <v>0.90929742682568171</v>
      </c>
    </row>
    <row r="9" spans="2:3" x14ac:dyDescent="0.4">
      <c r="B9" s="58">
        <v>2.5</v>
      </c>
      <c r="C9" s="58">
        <f t="shared" si="0"/>
        <v>0.59847214410395655</v>
      </c>
    </row>
    <row r="10" spans="2:3" x14ac:dyDescent="0.4">
      <c r="B10" s="58">
        <v>3</v>
      </c>
      <c r="C10" s="58">
        <f t="shared" si="0"/>
        <v>0.14112000805986721</v>
      </c>
    </row>
    <row r="11" spans="2:3" x14ac:dyDescent="0.4">
      <c r="B11" s="58">
        <v>3.5</v>
      </c>
      <c r="C11" s="58">
        <f t="shared" si="0"/>
        <v>-0.35078322768961984</v>
      </c>
    </row>
    <row r="12" spans="2:3" x14ac:dyDescent="0.4">
      <c r="B12" s="58">
        <v>4</v>
      </c>
      <c r="C12" s="58">
        <f t="shared" si="0"/>
        <v>-0.7568024953079282</v>
      </c>
    </row>
    <row r="13" spans="2:3" x14ac:dyDescent="0.4">
      <c r="B13" s="58">
        <v>4.5</v>
      </c>
      <c r="C13" s="58">
        <f t="shared" si="0"/>
        <v>-0.97753011766509701</v>
      </c>
    </row>
    <row r="14" spans="2:3" x14ac:dyDescent="0.4">
      <c r="B14" s="58">
        <v>5</v>
      </c>
      <c r="C14" s="58">
        <f t="shared" si="0"/>
        <v>-0.95892427466313845</v>
      </c>
    </row>
    <row r="15" spans="2:3" x14ac:dyDescent="0.4">
      <c r="B15" s="58">
        <v>5.5</v>
      </c>
      <c r="C15" s="58">
        <f t="shared" si="0"/>
        <v>-0.70554032557039192</v>
      </c>
    </row>
    <row r="16" spans="2:3" x14ac:dyDescent="0.4">
      <c r="B16" s="58">
        <v>6</v>
      </c>
      <c r="C16" s="58">
        <f t="shared" si="0"/>
        <v>-0.27941549819892586</v>
      </c>
    </row>
    <row r="17" spans="2:3" x14ac:dyDescent="0.4">
      <c r="B17" s="58">
        <v>6.5</v>
      </c>
      <c r="C17" s="58">
        <f t="shared" si="0"/>
        <v>0.21511998808781552</v>
      </c>
    </row>
    <row r="18" spans="2:3" x14ac:dyDescent="0.4">
      <c r="B18" s="58">
        <v>7</v>
      </c>
      <c r="C18" s="58">
        <f t="shared" si="0"/>
        <v>0.65698659871878906</v>
      </c>
    </row>
    <row r="19" spans="2:3" x14ac:dyDescent="0.4">
      <c r="B19" s="58">
        <v>7.5</v>
      </c>
      <c r="C19" s="58">
        <f t="shared" si="0"/>
        <v>0.9379999767747389</v>
      </c>
    </row>
    <row r="20" spans="2:3" x14ac:dyDescent="0.4">
      <c r="B20" s="58">
        <v>8</v>
      </c>
      <c r="C20" s="58">
        <f t="shared" si="0"/>
        <v>0.98935824662338179</v>
      </c>
    </row>
    <row r="21" spans="2:3" x14ac:dyDescent="0.4">
      <c r="B21" s="58">
        <v>8.5</v>
      </c>
      <c r="C21" s="58">
        <f t="shared" si="0"/>
        <v>0.79848711262349026</v>
      </c>
    </row>
    <row r="22" spans="2:3" x14ac:dyDescent="0.4">
      <c r="B22" s="58">
        <v>9</v>
      </c>
      <c r="C22" s="58">
        <f t="shared" si="0"/>
        <v>0.41211848524175659</v>
      </c>
    </row>
    <row r="23" spans="2:3" x14ac:dyDescent="0.4">
      <c r="B23" s="58">
        <v>9.5</v>
      </c>
      <c r="C23" s="58">
        <f t="shared" si="0"/>
        <v>-7.5151120461809301E-2</v>
      </c>
    </row>
    <row r="24" spans="2:3" x14ac:dyDescent="0.4">
      <c r="B24" s="59">
        <v>10</v>
      </c>
      <c r="C24" s="59">
        <f t="shared" si="0"/>
        <v>-0.54402111088936977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INICIO</vt:lpstr>
      <vt:lpstr>DiseñoSinuoso</vt:lpstr>
      <vt:lpstr>CALCULOSINUOSIDAD</vt:lpstr>
      <vt:lpstr>y=sin(x)</vt:lpstr>
      <vt:lpstr>alpha</vt:lpstr>
      <vt:lpstr>alphagrados</vt:lpstr>
      <vt:lpstr>alphaSemilla</vt:lpstr>
      <vt:lpstr>alphaVal</vt:lpstr>
      <vt:lpstr>B</vt:lpstr>
      <vt:lpstr>b_anchocanaldominante</vt:lpstr>
      <vt:lpstr>Bprima</vt:lpstr>
      <vt:lpstr>ch</vt:lpstr>
      <vt:lpstr>Database</vt:lpstr>
      <vt:lpstr>FactSinuosidad</vt:lpstr>
      <vt:lpstr>H</vt:lpstr>
      <vt:lpstr>Lb</vt:lpstr>
      <vt:lpstr>Lc</vt:lpstr>
      <vt:lpstr>Lm</vt:lpstr>
      <vt:lpstr>Lr</vt:lpstr>
      <vt:lpstr>n</vt:lpstr>
      <vt:lpstr>Rcurv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william.aguilar</dc:creator>
  <cp:lastModifiedBy>R</cp:lastModifiedBy>
  <dcterms:created xsi:type="dcterms:W3CDTF">2014-09-01T15:09:26Z</dcterms:created>
  <dcterms:modified xsi:type="dcterms:W3CDTF">2022-07-25T16:03:48Z</dcterms:modified>
</cp:coreProperties>
</file>