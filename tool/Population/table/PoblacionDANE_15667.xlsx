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D:\R.HydroTools\tool\Population\table\"/>
    </mc:Choice>
  </mc:AlternateContent>
  <xr:revisionPtr revIDLastSave="0" documentId="13_ncr:1_{58EBB2A7-31C0-4043-946F-EB9FB18C6EC8}" xr6:coauthVersionLast="47" xr6:coauthVersionMax="47" xr10:uidLastSave="{00000000-0000-0000-0000-000000000000}"/>
  <bookViews>
    <workbookView xWindow="-28898" yWindow="6368" windowWidth="28996" windowHeight="15675" tabRatio="769" xr2:uid="{00000000-000D-0000-FFFF-FFFF00000000}"/>
  </bookViews>
  <sheets>
    <sheet name="Censal" sheetId="2" r:id="rId1"/>
    <sheet name="ProyectadaTotal" sheetId="4" r:id="rId2"/>
    <sheet name="ProyectadaTotalChart" sheetId="8" r:id="rId3"/>
    <sheet name="CensalChart" sheetId="7" r:id="rId4"/>
    <sheet name="DinamicaDemografica" sheetId="5" r:id="rId5"/>
    <sheet name="PoblacionGIS" sheetId="6" r:id="rId6"/>
    <sheet name="PoblacionGISChar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4" l="1"/>
  <c r="R22" i="4"/>
  <c r="R21" i="4"/>
  <c r="R20" i="4"/>
  <c r="R19" i="4"/>
  <c r="R24" i="4"/>
  <c r="D6" i="6"/>
  <c r="C6" i="6"/>
  <c r="B6" i="6"/>
  <c r="A6" i="6"/>
  <c r="P35" i="4"/>
  <c r="P34" i="4"/>
  <c r="P33" i="4"/>
  <c r="P32" i="4"/>
  <c r="P31" i="4"/>
  <c r="R35" i="4"/>
  <c r="R34" i="4"/>
  <c r="R33" i="4"/>
  <c r="R32" i="4"/>
  <c r="R31" i="4"/>
  <c r="B20" i="4"/>
  <c r="C19" i="4"/>
  <c r="R7" i="4"/>
  <c r="R6" i="4"/>
  <c r="R5" i="4"/>
  <c r="R4" i="4"/>
  <c r="T7" i="4"/>
  <c r="T6" i="4"/>
  <c r="T5" i="4"/>
  <c r="T4" i="4"/>
  <c r="S7" i="4"/>
  <c r="S6" i="4"/>
  <c r="S5" i="4"/>
  <c r="S4" i="4"/>
  <c r="Q7" i="4"/>
  <c r="Q6" i="4"/>
  <c r="Q5" i="4"/>
  <c r="Q18" i="4"/>
  <c r="Q4" i="4"/>
  <c r="D19" i="4"/>
  <c r="D20" i="4" s="1"/>
  <c r="D21" i="4" s="1"/>
  <c r="D22" i="4" s="1"/>
  <c r="D23" i="4" s="1"/>
  <c r="D24" i="4" s="1"/>
  <c r="D25" i="4" s="1"/>
  <c r="D26" i="4" s="1"/>
  <c r="D27" i="4" s="1"/>
  <c r="D28" i="4" s="1"/>
  <c r="R10" i="4" l="1"/>
  <c r="S10" i="4"/>
  <c r="R11" i="4"/>
  <c r="Q10" i="4"/>
  <c r="T10" i="4"/>
  <c r="O19" i="4"/>
  <c r="O20" i="4" s="1"/>
  <c r="S24" i="4" l="1"/>
  <c r="S22" i="4"/>
  <c r="S21" i="4"/>
  <c r="S33" i="4"/>
  <c r="S23" i="4"/>
  <c r="S25" i="4"/>
  <c r="S20" i="4"/>
  <c r="S19" i="4"/>
  <c r="S35" i="4"/>
  <c r="S32" i="4"/>
  <c r="S34" i="4"/>
  <c r="S31" i="4"/>
  <c r="S11" i="4" s="1"/>
  <c r="Q24" i="4"/>
  <c r="Q21" i="4"/>
  <c r="Q19" i="4"/>
  <c r="Q22" i="4"/>
  <c r="Q20" i="4"/>
  <c r="T24" i="4"/>
  <c r="T20" i="4"/>
  <c r="T25" i="4"/>
  <c r="T21" i="4"/>
  <c r="T23" i="4"/>
  <c r="T19" i="4"/>
  <c r="T22" i="4"/>
  <c r="Q25" i="4"/>
  <c r="Q31" i="4"/>
  <c r="Q23" i="4"/>
  <c r="Q34" i="4"/>
  <c r="Q33" i="4"/>
  <c r="Q32" i="4"/>
  <c r="Q35" i="4"/>
  <c r="T32" i="4"/>
  <c r="T34" i="4"/>
  <c r="T33" i="4"/>
  <c r="T31" i="4"/>
  <c r="T35" i="4"/>
  <c r="O21" i="4"/>
  <c r="Q11" i="4" l="1"/>
  <c r="T11" i="4"/>
  <c r="O22" i="4"/>
  <c r="S12" i="4" l="1"/>
  <c r="R12" i="4"/>
  <c r="Q12" i="4"/>
  <c r="O23" i="4"/>
  <c r="O24" i="4" l="1"/>
  <c r="O25" i="4" l="1"/>
  <c r="R25" i="4" l="1"/>
  <c r="O26" i="4"/>
  <c r="T26" i="4" l="1"/>
  <c r="Q26" i="4"/>
  <c r="S26" i="4"/>
  <c r="O27" i="4"/>
  <c r="R26" i="4"/>
  <c r="T27" i="4" l="1"/>
  <c r="Q27" i="4"/>
  <c r="O28" i="4"/>
  <c r="S27" i="4"/>
  <c r="R27" i="4"/>
  <c r="T28" i="4" l="1"/>
  <c r="O29" i="4"/>
  <c r="R28" i="4"/>
  <c r="Q28" i="4"/>
  <c r="S28" i="4"/>
  <c r="T29" i="4" l="1"/>
  <c r="Q29" i="4"/>
  <c r="S29" i="4"/>
  <c r="R29" i="4"/>
  <c r="D6" i="5" l="1"/>
  <c r="C14" i="5" s="1"/>
  <c r="M18" i="4"/>
  <c r="L18" i="4"/>
  <c r="K18" i="4"/>
  <c r="J18" i="4"/>
  <c r="I18" i="4"/>
  <c r="H18" i="4"/>
  <c r="G18" i="4"/>
  <c r="F18" i="4"/>
  <c r="E18" i="4"/>
  <c r="B34" i="4"/>
  <c r="A9" i="6"/>
  <c r="A8" i="6"/>
  <c r="A2" i="6"/>
  <c r="B2" i="6"/>
  <c r="C2" i="6"/>
  <c r="D2" i="6"/>
  <c r="C3" i="6"/>
  <c r="D3" i="6"/>
  <c r="C4" i="6"/>
  <c r="D4" i="6"/>
  <c r="C5" i="6"/>
  <c r="D5" i="6"/>
  <c r="C7" i="6"/>
  <c r="D7" i="6"/>
  <c r="D1" i="6"/>
  <c r="B1" i="6"/>
  <c r="C1" i="6"/>
  <c r="A1" i="6"/>
  <c r="F9" i="5"/>
  <c r="C9" i="5"/>
  <c r="M11" i="4" a="1"/>
  <c r="M11" i="4" s="1"/>
  <c r="M5" i="4" a="1"/>
  <c r="M5" i="4" s="1"/>
  <c r="M4" i="4" a="1"/>
  <c r="M4" i="4" s="1"/>
  <c r="L11" i="4" a="1"/>
  <c r="L11" i="4" s="1"/>
  <c r="L5" i="4" a="1"/>
  <c r="L5" i="4" s="1"/>
  <c r="L4" i="4" a="1"/>
  <c r="L4" i="4" s="1"/>
  <c r="K11" i="4" a="1"/>
  <c r="K11" i="4" s="1"/>
  <c r="K5" i="4" a="1"/>
  <c r="K5" i="4" s="1"/>
  <c r="K4" i="4" a="1"/>
  <c r="K4" i="4" s="1"/>
  <c r="J11" i="4" a="1"/>
  <c r="J11" i="4" s="1"/>
  <c r="J10" i="4" a="1"/>
  <c r="J10" i="4" s="1"/>
  <c r="J9" i="4" a="1"/>
  <c r="J9" i="4" s="1"/>
  <c r="J8" i="4" a="1"/>
  <c r="J8" i="4" s="1"/>
  <c r="J7" i="4" a="1"/>
  <c r="J7" i="4" s="1"/>
  <c r="J6" i="4" a="1"/>
  <c r="J6" i="4" s="1"/>
  <c r="J5" i="4" a="1"/>
  <c r="J5" i="4" s="1"/>
  <c r="J4" i="4" a="1"/>
  <c r="J4" i="4" s="1"/>
  <c r="I11" i="4" a="1"/>
  <c r="I11" i="4" s="1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H11" i="4" a="1"/>
  <c r="H11" i="4" s="1"/>
  <c r="H8" i="4" a="1"/>
  <c r="H8" i="4" s="1"/>
  <c r="H7" i="4" a="1"/>
  <c r="H7" i="4" s="1"/>
  <c r="H6" i="4" a="1"/>
  <c r="H6" i="4" s="1"/>
  <c r="H5" i="4" a="1"/>
  <c r="H5" i="4" s="1"/>
  <c r="H4" i="4" a="1"/>
  <c r="H4" i="4" s="1"/>
  <c r="G11" i="4" a="1"/>
  <c r="G11" i="4" s="1"/>
  <c r="G7" i="4" a="1"/>
  <c r="G7" i="4" s="1"/>
  <c r="G6" i="4" a="1"/>
  <c r="G6" i="4" s="1"/>
  <c r="G5" i="4" a="1"/>
  <c r="G5" i="4" s="1"/>
  <c r="G4" i="4" a="1"/>
  <c r="G4" i="4" s="1"/>
  <c r="F6" i="4" a="1"/>
  <c r="F6" i="4" s="1"/>
  <c r="F5" i="4" a="1"/>
  <c r="F5" i="4" s="1"/>
  <c r="F11" i="4" a="1"/>
  <c r="F11" i="4" s="1"/>
  <c r="F4" i="4" a="1"/>
  <c r="F4" i="4" s="1"/>
  <c r="E11" i="4" a="1"/>
  <c r="E11" i="4" s="1"/>
  <c r="E5" i="4" a="1"/>
  <c r="E5" i="4" s="1"/>
  <c r="E4" i="4" a="1"/>
  <c r="E4" i="4" s="1"/>
  <c r="T12" i="4" l="1"/>
  <c r="E19" i="4"/>
  <c r="E20" i="4"/>
  <c r="E21" i="4"/>
  <c r="E22" i="4"/>
  <c r="B21" i="4"/>
  <c r="C12" i="5"/>
  <c r="H12" i="4"/>
  <c r="J12" i="4"/>
  <c r="G12" i="4"/>
  <c r="I12" i="4"/>
  <c r="K12" i="4"/>
  <c r="L12" i="4"/>
  <c r="F12" i="4"/>
  <c r="M12" i="4"/>
  <c r="E12" i="4"/>
  <c r="C20" i="4"/>
  <c r="B9" i="6" s="1"/>
  <c r="C21" i="4"/>
  <c r="B10" i="6" s="1"/>
  <c r="C22" i="4"/>
  <c r="B11" i="6" s="1"/>
  <c r="C23" i="4"/>
  <c r="B12" i="6" s="1"/>
  <c r="C24" i="4"/>
  <c r="B13" i="6" s="1"/>
  <c r="C25" i="4"/>
  <c r="B14" i="6" s="1"/>
  <c r="C26" i="4"/>
  <c r="B15" i="6" s="1"/>
  <c r="C27" i="4"/>
  <c r="B16" i="6" s="1"/>
  <c r="C28" i="4"/>
  <c r="B17" i="6" s="1"/>
  <c r="C29" i="4"/>
  <c r="B18" i="6" s="1"/>
  <c r="B8" i="6"/>
  <c r="A4" i="2"/>
  <c r="A4" i="6" s="1"/>
  <c r="B4" i="2"/>
  <c r="B4" i="6" s="1"/>
  <c r="A5" i="2"/>
  <c r="A5" i="6" s="1"/>
  <c r="B5" i="2"/>
  <c r="B5" i="6" s="1"/>
  <c r="A6" i="2"/>
  <c r="A7" i="6" s="1"/>
  <c r="B6" i="2"/>
  <c r="B7" i="6" s="1"/>
  <c r="B3" i="2"/>
  <c r="B3" i="6" s="1"/>
  <c r="A3" i="2"/>
  <c r="A3" i="6" s="1"/>
  <c r="A10" i="6" l="1"/>
  <c r="B22" i="4"/>
  <c r="F19" i="4"/>
  <c r="C8" i="6"/>
  <c r="F14" i="5"/>
  <c r="G17" i="5" s="1"/>
  <c r="G19" i="4"/>
  <c r="L19" i="4"/>
  <c r="C9" i="6"/>
  <c r="M19" i="4"/>
  <c r="K19" i="4"/>
  <c r="D8" i="6" s="1"/>
  <c r="H19" i="4"/>
  <c r="J19" i="4"/>
  <c r="I19" i="4"/>
  <c r="A11" i="6" l="1"/>
  <c r="B23" i="4"/>
  <c r="G18" i="5"/>
  <c r="G21" i="5"/>
  <c r="G22" i="5"/>
  <c r="G19" i="5"/>
  <c r="C10" i="6"/>
  <c r="G20" i="4"/>
  <c r="F20" i="4"/>
  <c r="K20" i="4"/>
  <c r="D9" i="6" s="1"/>
  <c r="M20" i="4"/>
  <c r="L20" i="4"/>
  <c r="J20" i="4"/>
  <c r="H20" i="4"/>
  <c r="I20" i="4"/>
  <c r="A12" i="6" l="1"/>
  <c r="B24" i="4"/>
  <c r="G23" i="5"/>
  <c r="G20" i="5"/>
  <c r="C11" i="6"/>
  <c r="G21" i="4"/>
  <c r="M21" i="4"/>
  <c r="K21" i="4"/>
  <c r="D10" i="6" s="1"/>
  <c r="L21" i="4"/>
  <c r="J21" i="4"/>
  <c r="H21" i="4"/>
  <c r="I21" i="4"/>
  <c r="F21" i="4"/>
  <c r="A13" i="6" l="1"/>
  <c r="B25" i="4"/>
  <c r="C12" i="6"/>
  <c r="G22" i="4"/>
  <c r="F22" i="4"/>
  <c r="M22" i="4"/>
  <c r="L22" i="4"/>
  <c r="K22" i="4"/>
  <c r="D11" i="6" s="1"/>
  <c r="J22" i="4"/>
  <c r="H22" i="4"/>
  <c r="I22" i="4"/>
  <c r="A14" i="6" l="1"/>
  <c r="B26" i="4"/>
  <c r="F23" i="4"/>
  <c r="L23" i="4"/>
  <c r="K23" i="4"/>
  <c r="D12" i="6" s="1"/>
  <c r="M23" i="4"/>
  <c r="J23" i="4"/>
  <c r="H23" i="4"/>
  <c r="I23" i="4"/>
  <c r="E23" i="4"/>
  <c r="G23" i="4"/>
  <c r="B27" i="4" l="1"/>
  <c r="A15" i="6"/>
  <c r="C13" i="6"/>
  <c r="L24" i="4"/>
  <c r="K24" i="4"/>
  <c r="D13" i="6" s="1"/>
  <c r="M24" i="4"/>
  <c r="J24" i="4"/>
  <c r="E24" i="4"/>
  <c r="I24" i="4"/>
  <c r="H24" i="4"/>
  <c r="G24" i="4"/>
  <c r="F24" i="4"/>
  <c r="A16" i="6" l="1"/>
  <c r="B28" i="4"/>
  <c r="C14" i="6"/>
  <c r="K25" i="4"/>
  <c r="D14" i="6" s="1"/>
  <c r="M25" i="4"/>
  <c r="L25" i="4"/>
  <c r="J25" i="4"/>
  <c r="H25" i="4"/>
  <c r="I25" i="4"/>
  <c r="F25" i="4"/>
  <c r="E25" i="4"/>
  <c r="G25" i="4"/>
  <c r="A17" i="6" l="1"/>
  <c r="B29" i="4"/>
  <c r="A18" i="6" s="1"/>
  <c r="C15" i="6"/>
  <c r="M26" i="4"/>
  <c r="L26" i="4"/>
  <c r="K26" i="4"/>
  <c r="D15" i="6" s="1"/>
  <c r="J26" i="4"/>
  <c r="I26" i="4"/>
  <c r="H26" i="4"/>
  <c r="F26" i="4"/>
  <c r="E26" i="4"/>
  <c r="G26" i="4"/>
  <c r="C16" i="6" l="1"/>
  <c r="L27" i="4"/>
  <c r="K27" i="4"/>
  <c r="D16" i="6" s="1"/>
  <c r="M27" i="4"/>
  <c r="J27" i="4"/>
  <c r="H27" i="4"/>
  <c r="I27" i="4"/>
  <c r="F27" i="4"/>
  <c r="G27" i="4"/>
  <c r="E27" i="4"/>
  <c r="D29" i="4" l="1"/>
  <c r="B33" i="4" s="1"/>
  <c r="C17" i="6"/>
  <c r="L28" i="4"/>
  <c r="K28" i="4"/>
  <c r="D17" i="6" s="1"/>
  <c r="M28" i="4"/>
  <c r="J28" i="4"/>
  <c r="H28" i="4"/>
  <c r="I28" i="4"/>
  <c r="E28" i="4"/>
  <c r="G28" i="4"/>
  <c r="F28" i="4"/>
  <c r="B32" i="4" l="1"/>
  <c r="C18" i="6"/>
  <c r="K29" i="4"/>
  <c r="D18" i="6" s="1"/>
  <c r="M29" i="4"/>
  <c r="L29" i="4"/>
  <c r="J29" i="4"/>
  <c r="G29" i="4"/>
  <c r="I29" i="4"/>
  <c r="H29" i="4"/>
  <c r="F29" i="4"/>
  <c r="E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323C2D75-8491-492C-9966-43D774D03B54}">
      <text>
        <r>
          <rPr>
            <sz val="9"/>
            <color indexed="81"/>
            <rFont val="Tahoma"/>
            <family val="2"/>
          </rPr>
          <t>Población total masculina</t>
        </r>
      </text>
    </comment>
    <comment ref="F1" authorId="0" shapeId="0" xr:uid="{EA2C1CF8-A69E-41B3-95DB-50DB9F498FCC}">
      <text>
        <r>
          <rPr>
            <sz val="9"/>
            <color indexed="81"/>
            <rFont val="Tahoma"/>
            <family val="2"/>
          </rPr>
          <t>Población total femenina</t>
        </r>
      </text>
    </comment>
    <comment ref="I1" authorId="0" shapeId="0" xr:uid="{935C66C2-81E0-4DB9-8E0B-2D7A387DCED1}">
      <text>
        <r>
          <rPr>
            <sz val="9"/>
            <color indexed="81"/>
            <rFont val="Tahoma"/>
            <family val="2"/>
          </rPr>
          <t>Centro poblado rural</t>
        </r>
      </text>
    </comment>
    <comment ref="J1" authorId="0" shapeId="0" xr:uid="{C09DD0EA-2206-4E80-BCCC-481FA6990921}">
      <text>
        <r>
          <rPr>
            <sz val="9"/>
            <color indexed="81"/>
            <rFont val="Tahoma"/>
            <family val="2"/>
          </rPr>
          <t>Población total
Primera infancia</t>
        </r>
      </text>
    </comment>
    <comment ref="K1" authorId="0" shapeId="0" xr:uid="{B8C6ACE9-11E8-41D1-9AFF-DCBBA373D243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L1" authorId="0" shapeId="0" xr:uid="{385D4135-7E6A-418F-BB2C-8554D457FD4A}">
      <text>
        <r>
          <rPr>
            <sz val="9"/>
            <color indexed="81"/>
            <rFont val="Tahoma"/>
            <family val="2"/>
          </rPr>
          <t>Adolescentes</t>
        </r>
      </text>
    </comment>
    <comment ref="M1" authorId="0" shapeId="0" xr:uid="{E489F123-F672-45A4-97B8-65857A70BD8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N1" authorId="0" shapeId="0" xr:uid="{9C168BAB-44BF-4D01-8EC4-DA5EB8B1E401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O1" authorId="0" shapeId="0" xr:uid="{6C299207-0C59-4623-8D71-9B95D63DF50D}">
      <text>
        <r>
          <rPr>
            <sz val="9"/>
            <color indexed="81"/>
            <rFont val="Tahoma"/>
            <family val="2"/>
          </rPr>
          <t>Población masculina
Primera infancia</t>
        </r>
      </text>
    </comment>
    <comment ref="P1" authorId="0" shapeId="0" xr:uid="{7E57B871-BD51-4741-821A-03E462064AAA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Q1" authorId="0" shapeId="0" xr:uid="{92DDDF46-9236-4018-AC5D-C767F998B05A}">
      <text>
        <r>
          <rPr>
            <sz val="9"/>
            <color indexed="81"/>
            <rFont val="Tahoma"/>
            <family val="2"/>
          </rPr>
          <t>Adolescentes</t>
        </r>
      </text>
    </comment>
    <comment ref="R1" authorId="0" shapeId="0" xr:uid="{604F7087-7036-42D2-A12D-F68EDC762DD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S1" authorId="0" shapeId="0" xr:uid="{9B4EE02D-F398-4379-A565-C00641D00496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T1" authorId="0" shapeId="0" xr:uid="{82F96169-F4BE-41EC-9EF1-8379D58B5897}">
      <text>
        <r>
          <rPr>
            <sz val="9"/>
            <color indexed="81"/>
            <rFont val="Tahoma"/>
            <family val="2"/>
          </rPr>
          <t>Población femenina
Primera infancia</t>
        </r>
      </text>
    </comment>
    <comment ref="U1" authorId="0" shapeId="0" xr:uid="{4095456E-C544-4CA7-89AB-BEFBCE1DE774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V1" authorId="0" shapeId="0" xr:uid="{F3D65FB5-AAB4-4461-99FE-06DDB42FB808}">
      <text>
        <r>
          <rPr>
            <sz val="9"/>
            <color indexed="81"/>
            <rFont val="Tahoma"/>
            <family val="2"/>
          </rPr>
          <t>Adolescentes</t>
        </r>
      </text>
    </comment>
    <comment ref="W1" authorId="0" shapeId="0" xr:uid="{FB51171E-13AE-47FF-ACCE-552402D41BCC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X1" authorId="0" shapeId="0" xr:uid="{A2D1F3EF-270A-4CD8-9DA7-43AA51D46C45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<sst xmlns="http://schemas.openxmlformats.org/spreadsheetml/2006/main" count="108" uniqueCount="83">
  <si>
    <t>Logarítmica</t>
  </si>
  <si>
    <t>Potencial</t>
  </si>
  <si>
    <t>Fuente</t>
  </si>
  <si>
    <t>Fecha</t>
  </si>
  <si>
    <t>PTotal</t>
  </si>
  <si>
    <t>Lineal</t>
  </si>
  <si>
    <t>Polinomio grado 2</t>
  </si>
  <si>
    <t>R²</t>
  </si>
  <si>
    <t>Tendencias</t>
  </si>
  <si>
    <t>Polinomio grado 3</t>
  </si>
  <si>
    <t>Polinomio grado 4</t>
  </si>
  <si>
    <t>Polinomio grado 5</t>
  </si>
  <si>
    <t>Polinomio grado 6</t>
  </si>
  <si>
    <t>Zona</t>
  </si>
  <si>
    <t>Municipio</t>
  </si>
  <si>
    <t>Exponencial</t>
  </si>
  <si>
    <t>c1</t>
  </si>
  <si>
    <t>c2</t>
  </si>
  <si>
    <t>c3</t>
  </si>
  <si>
    <t>c4</t>
  </si>
  <si>
    <t>c5</t>
  </si>
  <si>
    <t>c6</t>
  </si>
  <si>
    <t>c7</t>
  </si>
  <si>
    <t>Mejor ajuste numérico</t>
  </si>
  <si>
    <t>Mejor ajuste visual</t>
  </si>
  <si>
    <t>✓</t>
  </si>
  <si>
    <t>Proyecciones cada</t>
  </si>
  <si>
    <t>Tendencias y constantes</t>
  </si>
  <si>
    <t>PT0_6</t>
  </si>
  <si>
    <t>PT7_12</t>
  </si>
  <si>
    <t>PT13_18</t>
  </si>
  <si>
    <t>PM7_12</t>
  </si>
  <si>
    <t>PM13_18</t>
  </si>
  <si>
    <t>PM0_6</t>
  </si>
  <si>
    <t>PF0_6</t>
  </si>
  <si>
    <t>v7_12</t>
  </si>
  <si>
    <t>PF13_18</t>
  </si>
  <si>
    <t>PTMasc</t>
  </si>
  <si>
    <t>PTFem</t>
  </si>
  <si>
    <t>↓</t>
  </si>
  <si>
    <r>
      <t>Nacen (N)</t>
    </r>
    <r>
      <rPr>
        <sz val="16"/>
        <color theme="1"/>
        <rFont val="Segoe UI Light"/>
        <family val="2"/>
      </rPr>
      <t xml:space="preserve"> →</t>
    </r>
  </si>
  <si>
    <r>
      <t>Mueren (D)</t>
    </r>
    <r>
      <rPr>
        <sz val="14"/>
        <color theme="1"/>
        <rFont val="Segoe UI Light"/>
        <family val="2"/>
      </rPr>
      <t xml:space="preserve"> →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</si>
  <si>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Inmigran (I)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</si>
  <si>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Emigran (E)</t>
    </r>
  </si>
  <si>
    <t>Saldo o crecimiento total (CT = CV + MN)</t>
  </si>
  <si>
    <t>Población inicial (Po)</t>
  </si>
  <si>
    <t>Tasa de crecimiento total por cada 1000 habitantes,  TCT = (CT / PM) * 1000</t>
  </si>
  <si>
    <t>Tasas</t>
  </si>
  <si>
    <t>Tasa de crecimiento vegetativo por cada 1000 habitantes, TCV = TBN - TBM</t>
  </si>
  <si>
    <t>Tasa bruta de natalidad por cada 1000 habitantes, TBN = (N / PM) * 1000</t>
  </si>
  <si>
    <t>Tasa bruta de mortalidad por cada 1000 habitantes, TBM = (D / PM) * 1000</t>
  </si>
  <si>
    <t>Tasa de inmigración por cada 1000 habitantes, TI = (I / PM) * 1000</t>
  </si>
  <si>
    <t>Tasa de emigración por cada 1000 habitantes, TE = (E / PM) * 1000</t>
  </si>
  <si>
    <t>Tasa de migración neta por cada 1000 habitantes, TMN = TI - TE</t>
  </si>
  <si>
    <t>Ejemplo de dinámica demográfica municipal</t>
  </si>
  <si>
    <t>Población final
(Pr = Po + CT)</t>
  </si>
  <si>
    <t>Población promedio
(PM = (Po + Pr) / 2)</t>
  </si>
  <si>
    <t>Saldo migratorio
(MN = I - E)</t>
  </si>
  <si>
    <t>Saldo vegetativo
(CV = N - D)</t>
  </si>
  <si>
    <t>Observación</t>
  </si>
  <si>
    <t>Sobre ajuste</t>
  </si>
  <si>
    <t>PT15_64</t>
  </si>
  <si>
    <t>PM15_64</t>
  </si>
  <si>
    <t>PF15_64</t>
  </si>
  <si>
    <t>Etiquetas en gráfica</t>
  </si>
  <si>
    <t>DANE</t>
  </si>
  <si>
    <t>Proyectada</t>
  </si>
  <si>
    <t>PT60Max</t>
  </si>
  <si>
    <t>PM60Max</t>
  </si>
  <si>
    <t>PF60Max</t>
  </si>
  <si>
    <t>Análisis de tendencias</t>
  </si>
  <si>
    <t>Proyección de población</t>
  </si>
  <si>
    <t>años desde el siguiente año censal del registro histórico</t>
  </si>
  <si>
    <t>PTUrbano</t>
  </si>
  <si>
    <t>PTRural</t>
  </si>
  <si>
    <t>PTCPR</t>
  </si>
  <si>
    <t>Aritmético</t>
  </si>
  <si>
    <t>Geométrico</t>
  </si>
  <si>
    <t>TC%</t>
  </si>
  <si>
    <t>Exponencial RAS 2000</t>
  </si>
  <si>
    <t>Wappus</t>
  </si>
  <si>
    <t>Proyección DANE</t>
  </si>
  <si>
    <t>Población censal y proyectada a 30 años con diferentes tendencias. Municipio de San Luis de Gaceno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</si>
</sst>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  <font>
      <sz val="8"/>
      <name val="Calibri"/>
      <family val="2"/>
      <scheme val="minor"/>
    </font>
    <font>
      <b/>
      <sz val="11"/>
      <color rgb="FF0070C0"/>
      <name val="Segoe UI Light"/>
      <family val="2"/>
    </font>
    <font>
      <sz val="24"/>
      <name val="Segoe UI Light"/>
      <family val="2"/>
    </font>
    <font>
      <sz val="9"/>
      <color indexed="81"/>
      <name val="Tahoma"/>
      <family val="2"/>
    </font>
    <font>
      <sz val="12"/>
      <color theme="1"/>
      <name val="Segoe UI Light"/>
      <family val="2"/>
    </font>
    <font>
      <sz val="14"/>
      <color theme="1"/>
      <name val="Segoe UI Light"/>
      <family val="2"/>
    </font>
    <font>
      <b/>
      <sz val="16"/>
      <color theme="1"/>
      <name val="Segoe UI Light"/>
      <family val="2"/>
    </font>
    <font>
      <sz val="16"/>
      <color theme="1"/>
      <name val="Segoe UI Light"/>
      <family val="2"/>
    </font>
    <font>
      <b/>
      <sz val="12"/>
      <color theme="1"/>
      <name val="Segoe UI Light"/>
      <family val="2"/>
    </font>
    <font>
      <sz val="10"/>
      <name val="Segoe UI Light"/>
      <family val="2"/>
    </font>
    <font>
      <sz val="10"/>
      <color theme="1"/>
      <name val="Segoe UI Light"/>
      <family val="2"/>
    </font>
    <font>
      <sz val="10"/>
      <color rgb="FFC00000"/>
      <name val="Segoe UI Light"/>
      <family val="2"/>
    </font>
    <font>
      <b/>
      <sz val="18"/>
      <name val="Segoe UI Light"/>
      <family val="2"/>
    </font>
    <font>
      <sz val="11"/>
      <color theme="1"/>
      <name val="Calibri"/>
      <family val="2"/>
      <scheme val="minor"/>
    </font>
    <font>
      <b/>
      <sz val="10"/>
      <name val="Segoe UI Light"/>
      <family val="2"/>
    </font>
    <font>
      <sz val="11"/>
      <color theme="0" tint="-0.1499984740745262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0.34998626667073579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2" borderId="23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0" fontId="1" fillId="0" borderId="0" xfId="1" applyNumberFormat="1" applyFont="1" applyAlignment="1">
      <alignment horizontal="center" vertical="top"/>
    </xf>
    <xf numFmtId="10" fontId="1" fillId="0" borderId="0" xfId="0" applyNumberFormat="1" applyFont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" fontId="1" fillId="0" borderId="7" xfId="0" applyNumberFormat="1" applyFont="1" applyBorder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64" fontId="19" fillId="0" borderId="0" xfId="0" applyNumberFormat="1" applyFont="1" applyAlignment="1">
      <alignment horizontal="left" vertical="center"/>
    </xf>
    <xf numFmtId="166" fontId="1" fillId="0" borderId="4" xfId="0" applyNumberFormat="1" applyFont="1" applyBorder="1" applyAlignment="1">
      <alignment horizontal="center" vertical="top"/>
    </xf>
    <xf numFmtId="10" fontId="1" fillId="0" borderId="4" xfId="1" applyNumberFormat="1" applyFont="1" applyBorder="1" applyAlignment="1">
      <alignment horizontal="center" vertical="top"/>
    </xf>
    <xf numFmtId="166" fontId="1" fillId="0" borderId="14" xfId="0" applyNumberFormat="1" applyFont="1" applyBorder="1" applyAlignment="1">
      <alignment horizontal="center" vertical="top"/>
    </xf>
    <xf numFmtId="1" fontId="20" fillId="0" borderId="26" xfId="0" applyNumberFormat="1" applyFont="1" applyBorder="1" applyAlignment="1">
      <alignment horizontal="center" vertical="top"/>
    </xf>
    <xf numFmtId="1" fontId="20" fillId="0" borderId="27" xfId="0" applyNumberFormat="1" applyFont="1" applyBorder="1" applyAlignment="1">
      <alignment horizontal="center" vertical="top"/>
    </xf>
    <xf numFmtId="0" fontId="20" fillId="0" borderId="28" xfId="0" applyFont="1" applyBorder="1" applyAlignment="1">
      <alignment horizontal="center" vertical="top"/>
    </xf>
    <xf numFmtId="1" fontId="20" fillId="0" borderId="29" xfId="0" applyNumberFormat="1" applyFont="1" applyBorder="1" applyAlignment="1">
      <alignment horizontal="center" vertical="top"/>
    </xf>
    <xf numFmtId="1" fontId="20" fillId="0" borderId="1" xfId="0" applyNumberFormat="1" applyFont="1" applyBorder="1" applyAlignment="1">
      <alignment horizontal="center" vertical="top"/>
    </xf>
    <xf numFmtId="0" fontId="20" fillId="0" borderId="30" xfId="0" applyFont="1" applyBorder="1" applyAlignment="1">
      <alignment horizontal="center" vertical="top"/>
    </xf>
    <xf numFmtId="1" fontId="20" fillId="0" borderId="31" xfId="0" applyNumberFormat="1" applyFont="1" applyBorder="1" applyAlignment="1">
      <alignment horizontal="center" vertical="top"/>
    </xf>
    <xf numFmtId="1" fontId="20" fillId="0" borderId="32" xfId="0" applyNumberFormat="1" applyFont="1" applyBorder="1" applyAlignment="1">
      <alignment horizontal="center" vertical="top"/>
    </xf>
    <xf numFmtId="0" fontId="20" fillId="0" borderId="3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1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eetMetadata" Target="metadata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ProyectadaTotal!$B$32</c:f>
          <c:strCache>
            <c:ptCount val="1"/>
            <c:pt idx="0">
              <c:v>DANE - Población censal Municipio y población proyectada a 30 años con diferentes tendencias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019745553384511E-2"/>
          <c:y val="6.9351158306155403E-2"/>
          <c:w val="0.88538511457614932"/>
          <c:h val="0.8275096580432559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ProyectadaTotal!$E$18</c:f>
              <c:strCache>
                <c:ptCount val="1"/>
                <c:pt idx="0">
                  <c:v>Lineal</c:v>
                </c:pt>
              </c:strCache>
            </c:strRef>
          </c:tx>
          <c:spPr>
            <a:ln w="158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ProyectadaTotal!$E$19:$E$29</c:f>
              <c:numCache>
                <c:formatCode>General</c:formatCode>
                <c:ptCount val="11"/>
                <c:pt idx="0">
                  <c:v>5068</c:v>
                </c:pt>
                <c:pt idx="1">
                  <c:v>4896</c:v>
                </c:pt>
                <c:pt idx="2">
                  <c:v>4724</c:v>
                </c:pt>
                <c:pt idx="3">
                  <c:v>4552</c:v>
                </c:pt>
                <c:pt idx="4">
                  <c:v>4380</c:v>
                </c:pt>
                <c:pt idx="5">
                  <c:v>4208</c:v>
                </c:pt>
                <c:pt idx="6">
                  <c:v>4036</c:v>
                </c:pt>
                <c:pt idx="7">
                  <c:v>3864</c:v>
                </c:pt>
                <c:pt idx="8">
                  <c:v>3693</c:v>
                </c:pt>
                <c:pt idx="9">
                  <c:v>3521</c:v>
                </c:pt>
                <c:pt idx="10">
                  <c:v>3349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71-4B8C-B6A9-4BA10104E465}"/>
            </c:ext>
          </c:extLst>
        </c:ser>
        <c:ser>
          <c:idx val="1"/>
          <c:order val="1"/>
          <c:tx>
            <c:strRef>
              <c:f>ProyectadaTotal!$F$18</c:f>
              <c:strCache>
                <c:ptCount val="1"/>
                <c:pt idx="0">
                  <c:v>Polinomio grado 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098558178324372E-2"/>
                      <c:h val="0.100073954877202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ProyectadaTotal!$F$19:$F$29</c:f>
              <c:numCache>
                <c:formatCode>General</c:formatCode>
                <c:ptCount val="11"/>
                <c:pt idx="0">
                  <c:v>3986</c:v>
                </c:pt>
                <c:pt idx="1">
                  <c:v>3374</c:v>
                </c:pt>
                <c:pt idx="2">
                  <c:v>2713</c:v>
                </c:pt>
                <c:pt idx="3">
                  <c:v>2002</c:v>
                </c:pt>
                <c:pt idx="4">
                  <c:v>1243</c:v>
                </c:pt>
                <c:pt idx="5">
                  <c:v>433</c:v>
                </c:pt>
                <c:pt idx="6">
                  <c:v>-425</c:v>
                </c:pt>
                <c:pt idx="7">
                  <c:v>-1333</c:v>
                </c:pt>
                <c:pt idx="8">
                  <c:v>-2290</c:v>
                </c:pt>
                <c:pt idx="9">
                  <c:v>-3296</c:v>
                </c:pt>
                <c:pt idx="10">
                  <c:v>-4352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1-4B8C-B6A9-4BA10104E465}"/>
            </c:ext>
          </c:extLst>
        </c:ser>
        <c:ser>
          <c:idx val="2"/>
          <c:order val="2"/>
          <c:tx>
            <c:strRef>
              <c:f>ProyectadaTotal!$G$18</c:f>
              <c:strCache>
                <c:ptCount val="1"/>
                <c:pt idx="0">
                  <c:v>Polinomio grado 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ProyectadaTotal!$G$19:$G$29</c:f>
              <c:numCache>
                <c:formatCode>General</c:formatCode>
                <c:ptCount val="11"/>
                <c:pt idx="0">
                  <c:v>3950</c:v>
                </c:pt>
                <c:pt idx="1">
                  <c:v>3302</c:v>
                </c:pt>
                <c:pt idx="2">
                  <c:v>2594</c:v>
                </c:pt>
                <c:pt idx="3">
                  <c:v>1826</c:v>
                </c:pt>
                <c:pt idx="4">
                  <c:v>996</c:v>
                </c:pt>
                <c:pt idx="5">
                  <c:v>103</c:v>
                </c:pt>
                <c:pt idx="6">
                  <c:v>-854</c:v>
                </c:pt>
                <c:pt idx="7">
                  <c:v>-1875</c:v>
                </c:pt>
                <c:pt idx="8">
                  <c:v>-2963</c:v>
                </c:pt>
                <c:pt idx="9">
                  <c:v>-4119</c:v>
                </c:pt>
                <c:pt idx="10">
                  <c:v>-5342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71-4B8C-B6A9-4BA10104E465}"/>
            </c:ext>
          </c:extLst>
        </c:ser>
        <c:ser>
          <c:idx val="3"/>
          <c:order val="3"/>
          <c:tx>
            <c:strRef>
              <c:f>ProyectadaTotal!$H$18</c:f>
              <c:strCache>
                <c:ptCount val="1"/>
                <c:pt idx="0">
                  <c:v>Polinomio grado 4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ProyectadaTotal!$H$19:$H$29</c:f>
              <c:numCache>
                <c:formatCode>General</c:formatCode>
                <c:ptCount val="11"/>
                <c:pt idx="0">
                  <c:v>3950</c:v>
                </c:pt>
                <c:pt idx="1">
                  <c:v>3302</c:v>
                </c:pt>
                <c:pt idx="2">
                  <c:v>2595</c:v>
                </c:pt>
                <c:pt idx="3">
                  <c:v>1826</c:v>
                </c:pt>
                <c:pt idx="4">
                  <c:v>996</c:v>
                </c:pt>
                <c:pt idx="5">
                  <c:v>103</c:v>
                </c:pt>
                <c:pt idx="6">
                  <c:v>-854</c:v>
                </c:pt>
                <c:pt idx="7">
                  <c:v>-1877</c:v>
                </c:pt>
                <c:pt idx="8">
                  <c:v>-2965</c:v>
                </c:pt>
                <c:pt idx="9">
                  <c:v>-4122</c:v>
                </c:pt>
                <c:pt idx="10">
                  <c:v>-5347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71-4B8C-B6A9-4BA10104E465}"/>
            </c:ext>
          </c:extLst>
        </c:ser>
        <c:ser>
          <c:idx val="4"/>
          <c:order val="4"/>
          <c:tx>
            <c:strRef>
              <c:f>ProyectadaTotal!$I$18</c:f>
              <c:strCache>
                <c:ptCount val="1"/>
                <c:pt idx="0">
                  <c:v>Polinomio grado 5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ProyectadaTotal!$I$19:$I$29</c:f>
              <c:numCache>
                <c:formatCode>General</c:formatCode>
                <c:ptCount val="11"/>
                <c:pt idx="0">
                  <c:v>3950</c:v>
                </c:pt>
                <c:pt idx="1">
                  <c:v>3302</c:v>
                </c:pt>
                <c:pt idx="2">
                  <c:v>2595</c:v>
                </c:pt>
                <c:pt idx="3">
                  <c:v>1827</c:v>
                </c:pt>
                <c:pt idx="4">
                  <c:v>997</c:v>
                </c:pt>
                <c:pt idx="5">
                  <c:v>104</c:v>
                </c:pt>
                <c:pt idx="6">
                  <c:v>-853</c:v>
                </c:pt>
                <c:pt idx="7">
                  <c:v>-1876</c:v>
                </c:pt>
                <c:pt idx="8">
                  <c:v>-2966</c:v>
                </c:pt>
                <c:pt idx="9">
                  <c:v>-4123</c:v>
                </c:pt>
                <c:pt idx="10">
                  <c:v>-5349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71-4B8C-B6A9-4BA10104E465}"/>
            </c:ext>
          </c:extLst>
        </c:ser>
        <c:ser>
          <c:idx val="5"/>
          <c:order val="5"/>
          <c:tx>
            <c:strRef>
              <c:f>ProyectadaTotal!$J$18</c:f>
              <c:strCache>
                <c:ptCount val="1"/>
                <c:pt idx="0">
                  <c:v>Polinomio grado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ProyectadaTotal!$J$19:$J$29</c:f>
              <c:numCache>
                <c:formatCode>General</c:formatCode>
                <c:ptCount val="11"/>
                <c:pt idx="0">
                  <c:v>3950</c:v>
                </c:pt>
                <c:pt idx="1">
                  <c:v>3303</c:v>
                </c:pt>
                <c:pt idx="2">
                  <c:v>2596</c:v>
                </c:pt>
                <c:pt idx="3">
                  <c:v>1828</c:v>
                </c:pt>
                <c:pt idx="4">
                  <c:v>998</c:v>
                </c:pt>
                <c:pt idx="5">
                  <c:v>105</c:v>
                </c:pt>
                <c:pt idx="6">
                  <c:v>-852</c:v>
                </c:pt>
                <c:pt idx="7">
                  <c:v>-1875</c:v>
                </c:pt>
                <c:pt idx="8">
                  <c:v>-2964</c:v>
                </c:pt>
                <c:pt idx="9">
                  <c:v>-4121</c:v>
                </c:pt>
                <c:pt idx="10">
                  <c:v>-5348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71-4B8C-B6A9-4BA10104E465}"/>
            </c:ext>
          </c:extLst>
        </c:ser>
        <c:ser>
          <c:idx val="6"/>
          <c:order val="6"/>
          <c:tx>
            <c:strRef>
              <c:f>ProyectadaTotal!$K$18</c:f>
              <c:strCache>
                <c:ptCount val="1"/>
                <c:pt idx="0">
                  <c:v>Logarítmica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428532497415122E-4"/>
                  <c:y val="2.0168068294478498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ProyectadaTotal!$K$19:$K$29</c:f>
              <c:numCache>
                <c:formatCode>General</c:formatCode>
                <c:ptCount val="11"/>
                <c:pt idx="0">
                  <c:v>5077</c:v>
                </c:pt>
                <c:pt idx="1">
                  <c:v>4908</c:v>
                </c:pt>
                <c:pt idx="2">
                  <c:v>4739</c:v>
                </c:pt>
                <c:pt idx="3">
                  <c:v>4570</c:v>
                </c:pt>
                <c:pt idx="4">
                  <c:v>4401</c:v>
                </c:pt>
                <c:pt idx="5">
                  <c:v>4233</c:v>
                </c:pt>
                <c:pt idx="6">
                  <c:v>4065</c:v>
                </c:pt>
                <c:pt idx="7">
                  <c:v>3898</c:v>
                </c:pt>
                <c:pt idx="8">
                  <c:v>3730</c:v>
                </c:pt>
                <c:pt idx="9">
                  <c:v>3563</c:v>
                </c:pt>
                <c:pt idx="10">
                  <c:v>3396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71-4B8C-B6A9-4BA10104E465}"/>
            </c:ext>
          </c:extLst>
        </c:ser>
        <c:ser>
          <c:idx val="7"/>
          <c:order val="7"/>
          <c:tx>
            <c:strRef>
              <c:f>ProyectadaTotal!$L$18</c:f>
              <c:strCache>
                <c:ptCount val="1"/>
                <c:pt idx="0">
                  <c:v>Potencial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4.1498558701140859E-3"/>
                  <c:y val="5.0420170736196424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ProyectadaTotal!$L$19:$L$29</c:f>
              <c:numCache>
                <c:formatCode>General</c:formatCode>
                <c:ptCount val="11"/>
                <c:pt idx="0">
                  <c:v>5018</c:v>
                </c:pt>
                <c:pt idx="1">
                  <c:v>4875</c:v>
                </c:pt>
                <c:pt idx="2">
                  <c:v>4737</c:v>
                </c:pt>
                <c:pt idx="3">
                  <c:v>4603</c:v>
                </c:pt>
                <c:pt idx="4">
                  <c:v>4473</c:v>
                </c:pt>
                <c:pt idx="5">
                  <c:v>4347</c:v>
                </c:pt>
                <c:pt idx="6">
                  <c:v>4225</c:v>
                </c:pt>
                <c:pt idx="7">
                  <c:v>4106</c:v>
                </c:pt>
                <c:pt idx="8">
                  <c:v>3991</c:v>
                </c:pt>
                <c:pt idx="9">
                  <c:v>3879</c:v>
                </c:pt>
                <c:pt idx="10">
                  <c:v>3770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71-4B8C-B6A9-4BA10104E465}"/>
            </c:ext>
          </c:extLst>
        </c:ser>
        <c:ser>
          <c:idx val="8"/>
          <c:order val="8"/>
          <c:tx>
            <c:strRef>
              <c:f>ProyectadaTotal!$M$18</c:f>
              <c:strCache>
                <c:ptCount val="1"/>
                <c:pt idx="0">
                  <c:v>Exponencial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1.5215962414322077E-16"/>
                  <c:y val="-4.638655707730075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ProyectadaTotal!$M$19:$M$29</c:f>
              <c:numCache>
                <c:formatCode>General</c:formatCode>
                <c:ptCount val="11"/>
                <c:pt idx="0">
                  <c:v>5010</c:v>
                </c:pt>
                <c:pt idx="1">
                  <c:v>4866</c:v>
                </c:pt>
                <c:pt idx="2">
                  <c:v>4725</c:v>
                </c:pt>
                <c:pt idx="3">
                  <c:v>4589</c:v>
                </c:pt>
                <c:pt idx="4">
                  <c:v>4457</c:v>
                </c:pt>
                <c:pt idx="5">
                  <c:v>4329</c:v>
                </c:pt>
                <c:pt idx="6">
                  <c:v>4204</c:v>
                </c:pt>
                <c:pt idx="7">
                  <c:v>4083</c:v>
                </c:pt>
                <c:pt idx="8">
                  <c:v>3965</c:v>
                </c:pt>
                <c:pt idx="9">
                  <c:v>3851</c:v>
                </c:pt>
                <c:pt idx="10">
                  <c:v>3740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71-4B8C-B6A9-4BA10104E465}"/>
            </c:ext>
          </c:extLst>
        </c:ser>
        <c:ser>
          <c:idx val="9"/>
          <c:order val="9"/>
          <c:tx>
            <c:v>Censal</c:v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Censal!$C$2:$C$6</c:f>
              <c:numCache>
                <c:formatCode>0</c:formatCode>
                <c:ptCount val="5"/>
                <c:pt idx="0">
                  <c:v>1973</c:v>
                </c:pt>
                <c:pt idx="1">
                  <c:v>1985</c:v>
                </c:pt>
                <c:pt idx="2">
                  <c:v>1993</c:v>
                </c:pt>
                <c:pt idx="3">
                  <c:v>2005</c:v>
                </c:pt>
                <c:pt idx="4">
                  <c:v>2018</c:v>
                </c:pt>
              </c:numCache>
            </c:numRef>
          </c:xVal>
          <c:yVal>
            <c:numRef>
              <c:f>Censal!$D$2:$D$6</c:f>
              <c:numCache>
                <c:formatCode>0</c:formatCode>
                <c:ptCount val="5"/>
                <c:pt idx="0">
                  <c:v>7100</c:v>
                </c:pt>
                <c:pt idx="1">
                  <c:v>7371</c:v>
                </c:pt>
                <c:pt idx="2">
                  <c:v>7439</c:v>
                </c:pt>
                <c:pt idx="3">
                  <c:v>6383</c:v>
                </c:pt>
                <c:pt idx="4">
                  <c:v>4551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71-4B8C-B6A9-4BA10104E465}"/>
            </c:ext>
          </c:extLst>
        </c:ser>
        <c:ser>
          <c:idx val="10"/>
          <c:order val="10"/>
          <c:tx>
            <c:v>Aritmético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6803830022883841E-3"/>
                  <c:y val="-1.4742857923263835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ProyectadaTotal!$Q$19:$Q$29</c:f>
              <c:numCache>
                <c:formatCode>0</c:formatCode>
                <c:ptCount val="11"/>
                <c:pt idx="0">
                  <c:v>4356</c:v>
                </c:pt>
                <c:pt idx="1">
                  <c:v>4161</c:v>
                </c:pt>
                <c:pt idx="2">
                  <c:v>3966</c:v>
                </c:pt>
                <c:pt idx="3">
                  <c:v>3770</c:v>
                </c:pt>
                <c:pt idx="4">
                  <c:v>3575</c:v>
                </c:pt>
                <c:pt idx="5">
                  <c:v>3380</c:v>
                </c:pt>
                <c:pt idx="6">
                  <c:v>3185</c:v>
                </c:pt>
                <c:pt idx="7">
                  <c:v>2990</c:v>
                </c:pt>
                <c:pt idx="8">
                  <c:v>2795</c:v>
                </c:pt>
                <c:pt idx="9">
                  <c:v>2599</c:v>
                </c:pt>
                <c:pt idx="10" formatCode="General">
                  <c:v>2404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1-41C5-950E-26C7B7312C61}"/>
            </c:ext>
          </c:extLst>
        </c:ser>
        <c:ser>
          <c:idx val="11"/>
          <c:order val="11"/>
          <c:tx>
            <c:strRef>
              <c:f>ProyectadaTotal!$R$18</c:f>
              <c:strCache>
                <c:ptCount val="1"/>
                <c:pt idx="0">
                  <c:v>Geométrico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0"/>
                  <c:y val="1.349243768900620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ProyectadaTotal!$R$19:$R$29</c:f>
              <c:numCache>
                <c:formatCode>0</c:formatCode>
                <c:ptCount val="11"/>
                <c:pt idx="0">
                  <c:v>4418</c:v>
                </c:pt>
                <c:pt idx="1">
                  <c:v>4289</c:v>
                </c:pt>
                <c:pt idx="2">
                  <c:v>4164</c:v>
                </c:pt>
                <c:pt idx="3">
                  <c:v>4042</c:v>
                </c:pt>
                <c:pt idx="4">
                  <c:v>3924</c:v>
                </c:pt>
                <c:pt idx="5">
                  <c:v>3809</c:v>
                </c:pt>
                <c:pt idx="6">
                  <c:v>3698</c:v>
                </c:pt>
                <c:pt idx="7">
                  <c:v>3590</c:v>
                </c:pt>
                <c:pt idx="8">
                  <c:v>3485</c:v>
                </c:pt>
                <c:pt idx="9">
                  <c:v>3383</c:v>
                </c:pt>
                <c:pt idx="10" formatCode="General">
                  <c:v>3284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81-41C5-950E-26C7B7312C61}"/>
            </c:ext>
          </c:extLst>
        </c:ser>
        <c:ser>
          <c:idx val="12"/>
          <c:order val="12"/>
          <c:tx>
            <c:strRef>
              <c:f>ProyectadaTotal!$S$18</c:f>
              <c:strCache>
                <c:ptCount val="1"/>
                <c:pt idx="0">
                  <c:v>Exponencial RAS 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2.923687826601878E-3"/>
                  <c:y val="-0.1105412617238807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Segoe UI Light" panose="020B0502040204020203" pitchFamily="34" charset="0"/>
                      <a:ea typeface="+mn-ea"/>
                      <a:cs typeface="Segoe UI Light" panose="020B0502040204020203" pitchFamily="34" charset="0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40399271683957"/>
                      <c:h val="0.118225216342233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ProyectadaTotal!$S$19:$S$29</c:f>
              <c:numCache>
                <c:formatCode>0</c:formatCode>
                <c:ptCount val="11"/>
                <c:pt idx="0">
                  <c:v>4692</c:v>
                </c:pt>
                <c:pt idx="1">
                  <c:v>4573</c:v>
                </c:pt>
                <c:pt idx="2">
                  <c:v>4456</c:v>
                </c:pt>
                <c:pt idx="3">
                  <c:v>4342</c:v>
                </c:pt>
                <c:pt idx="4">
                  <c:v>4231</c:v>
                </c:pt>
                <c:pt idx="5">
                  <c:v>4123</c:v>
                </c:pt>
                <c:pt idx="6">
                  <c:v>4018</c:v>
                </c:pt>
                <c:pt idx="7">
                  <c:v>3915</c:v>
                </c:pt>
                <c:pt idx="8">
                  <c:v>3815</c:v>
                </c:pt>
                <c:pt idx="9" formatCode="General">
                  <c:v>3717</c:v>
                </c:pt>
                <c:pt idx="10" formatCode="General">
                  <c:v>3622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81-41C5-950E-26C7B7312C61}"/>
            </c:ext>
          </c:extLst>
        </c:ser>
        <c:ser>
          <c:idx val="13"/>
          <c:order val="13"/>
          <c:tx>
            <c:strRef>
              <c:f>ProyectadaTotal!$T$18</c:f>
              <c:strCache>
                <c:ptCount val="1"/>
                <c:pt idx="0">
                  <c:v>Wappus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9.3371757077566932E-3"/>
                  <c:y val="3.6302522930061504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ProyectadaTotal!$T$19:$T$29</c:f>
              <c:numCache>
                <c:formatCode>General</c:formatCode>
                <c:ptCount val="11"/>
                <c:pt idx="0">
                  <c:v>2938</c:v>
                </c:pt>
                <c:pt idx="1">
                  <c:v>2757</c:v>
                </c:pt>
                <c:pt idx="2">
                  <c:v>2583</c:v>
                </c:pt>
                <c:pt idx="3">
                  <c:v>2415</c:v>
                </c:pt>
                <c:pt idx="4">
                  <c:v>2253</c:v>
                </c:pt>
                <c:pt idx="5">
                  <c:v>2096</c:v>
                </c:pt>
                <c:pt idx="6">
                  <c:v>1944</c:v>
                </c:pt>
                <c:pt idx="7">
                  <c:v>1797</c:v>
                </c:pt>
                <c:pt idx="8">
                  <c:v>1655</c:v>
                </c:pt>
                <c:pt idx="9">
                  <c:v>1517</c:v>
                </c:pt>
                <c:pt idx="10">
                  <c:v>1384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81-41C5-950E-26C7B7312C61}"/>
            </c:ext>
          </c:extLst>
        </c:ser>
        <c:ser>
          <c:idx val="14"/>
          <c:order val="14"/>
          <c:tx>
            <c:strRef>
              <c:f>ProyectadaTotal!$P$18</c:f>
              <c:strCache>
                <c:ptCount val="1"/>
                <c:pt idx="0">
                  <c:v>Proyección DANE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ProyectadaTotal!$P$19:$P$29</c:f>
              <c:numCache>
                <c:formatCode>0</c:formatCode>
                <c:ptCount val="11"/>
                <c:pt idx="0">
                  <c:v>2586</c:v>
                </c:pt>
                <c:pt idx="1">
                  <c:v>2769</c:v>
                </c:pt>
                <c:pt idx="2">
                  <c:v>2882</c:v>
                </c:pt>
                <c:pt idx="3">
                  <c:v>2975</c:v>
                </c:pt>
                <c:pt idx="4">
                  <c:v>3031</c:v>
                </c:pt>
                <c:pt idx="5">
                  <c:v>3080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B81-41C5-950E-26C7B731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7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723377992708485E-2"/>
          <c:y val="0.62397023156428977"/>
          <c:w val="0.45727457888969952"/>
          <c:h val="0.2770438312469440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ProyectadaTotal!$B$34</c:f>
          <c:strCache>
            <c:ptCount val="1"/>
            <c:pt idx="0">
              <c:v>DANE - Población censal municipal</c:v>
            </c:pt>
          </c:strCache>
        </c:strRef>
      </c:tx>
      <c:layout>
        <c:manualLayout>
          <c:xMode val="edge"/>
          <c:yMode val="edge"/>
          <c:x val="0.36959934650012266"/>
          <c:y val="1.00928022459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1984232959176118E-2"/>
          <c:y val="9.5570570105434932E-2"/>
          <c:w val="0.88019508632967225"/>
          <c:h val="0.791183270336721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Censal!$D$1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6.0286801670256483E-3"/>
                  <c:y val="-5.7540347300296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11-4052-BABF-CDA58554CE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Censal!$C$2:$C$6</c:f>
              <c:numCache>
                <c:formatCode>0</c:formatCode>
                <c:ptCount val="5"/>
                <c:pt idx="0">
                  <c:v>1973</c:v>
                </c:pt>
                <c:pt idx="1">
                  <c:v>1985</c:v>
                </c:pt>
                <c:pt idx="2">
                  <c:v>1993</c:v>
                </c:pt>
                <c:pt idx="3">
                  <c:v>2005</c:v>
                </c:pt>
                <c:pt idx="4">
                  <c:v>2018</c:v>
                </c:pt>
              </c:numCache>
            </c:numRef>
          </c:xVal>
          <c:yVal>
            <c:numRef>
              <c:f>Censal!$D$2:$D$6</c:f>
              <c:numCache>
                <c:formatCode>0</c:formatCode>
                <c:ptCount val="5"/>
                <c:pt idx="0">
                  <c:v>7100</c:v>
                </c:pt>
                <c:pt idx="1">
                  <c:v>7371</c:v>
                </c:pt>
                <c:pt idx="2">
                  <c:v>7439</c:v>
                </c:pt>
                <c:pt idx="3">
                  <c:v>6383</c:v>
                </c:pt>
                <c:pt idx="4">
                  <c:v>4551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0-49B4-880C-F3892B737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68609847811096E-2"/>
          <c:y val="0.12060892329409924"/>
          <c:w val="7.5419902512629575E-2"/>
          <c:h val="4.929621878943245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ProyectadaTotal!$B$33</c:f>
          <c:strCache>
            <c:ptCount val="1"/>
            <c:pt idx="0">
              <c:v>DANE - Población censal Municipio y población proyectada a 30 años para el ajuste seleccionado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019745553384511E-2"/>
          <c:y val="8.7516712103048372E-2"/>
          <c:w val="0.88538511457614932"/>
          <c:h val="0.83757935109742632"/>
        </c:manualLayout>
      </c:layout>
      <c:scatterChart>
        <c:scatterStyle val="smoothMarker"/>
        <c:varyColors val="0"/>
        <c:ser>
          <c:idx val="9"/>
          <c:order val="0"/>
          <c:tx>
            <c:strRef>
              <c:f>PoblacionGIS!$D$1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1.9522160737825908E-2"/>
                  <c:y val="-5.7553869954478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A4-4EFD-99C8-BA365B9F7927}"/>
                </c:ext>
              </c:extLst>
            </c:dLbl>
            <c:dLbl>
              <c:idx val="6"/>
              <c:layout>
                <c:manualLayout>
                  <c:x val="-1.1219274724928159E-2"/>
                  <c:y val="-6.5398874740517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A4-4EFD-99C8-BA365B9F79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PoblacionGIS!$C$2:$C$18</c:f>
              <c:numCache>
                <c:formatCode>General</c:formatCode>
                <c:ptCount val="17"/>
                <c:pt idx="0">
                  <c:v>1973</c:v>
                </c:pt>
                <c:pt idx="1">
                  <c:v>1985</c:v>
                </c:pt>
                <c:pt idx="2">
                  <c:v>1993</c:v>
                </c:pt>
                <c:pt idx="3">
                  <c:v>2005</c:v>
                </c:pt>
                <c:pt idx="4">
                  <c:v>2018</c:v>
                </c:pt>
                <c:pt idx="5">
                  <c:v>2018</c:v>
                </c:pt>
                <c:pt idx="6">
                  <c:v>2021</c:v>
                </c:pt>
                <c:pt idx="7">
                  <c:v>2024</c:v>
                </c:pt>
                <c:pt idx="8">
                  <c:v>2027</c:v>
                </c:pt>
                <c:pt idx="9">
                  <c:v>2030</c:v>
                </c:pt>
                <c:pt idx="10">
                  <c:v>2033</c:v>
                </c:pt>
                <c:pt idx="11">
                  <c:v>2036</c:v>
                </c:pt>
                <c:pt idx="12">
                  <c:v>2039</c:v>
                </c:pt>
                <c:pt idx="13">
                  <c:v>2042</c:v>
                </c:pt>
                <c:pt idx="14">
                  <c:v>2045</c:v>
                </c:pt>
                <c:pt idx="15">
                  <c:v>2048</c:v>
                </c:pt>
                <c:pt idx="16">
                  <c:v>2051</c:v>
                </c:pt>
              </c:numCache>
            </c:numRef>
          </c:xVal>
          <c:yVal>
            <c:numRef>
              <c:f>PoblacionGIS!$D$2:$D$18</c:f>
              <c:numCache>
                <c:formatCode>General</c:formatCode>
                <c:ptCount val="17"/>
                <c:pt idx="0">
                  <c:v>7100</c:v>
                </c:pt>
                <c:pt idx="1">
                  <c:v>7371</c:v>
                </c:pt>
                <c:pt idx="2">
                  <c:v>7439</c:v>
                </c:pt>
                <c:pt idx="3">
                  <c:v>6383</c:v>
                </c:pt>
                <c:pt idx="4">
                  <c:v>4551</c:v>
                </c:pt>
                <c:pt idx="5">
                  <c:v>4551</c:v>
                </c:pt>
                <c:pt idx="6" formatCode="0">
                  <c:v>4716.5</c:v>
                </c:pt>
                <c:pt idx="7" formatCode="0">
                  <c:v>4534.5</c:v>
                </c:pt>
                <c:pt idx="8" formatCode="0">
                  <c:v>4352.5</c:v>
                </c:pt>
                <c:pt idx="9" formatCode="0">
                  <c:v>4170</c:v>
                </c:pt>
                <c:pt idx="10" formatCode="0">
                  <c:v>3988</c:v>
                </c:pt>
                <c:pt idx="11" formatCode="0">
                  <c:v>3806.5</c:v>
                </c:pt>
                <c:pt idx="12" formatCode="0">
                  <c:v>3625</c:v>
                </c:pt>
                <c:pt idx="13" formatCode="0">
                  <c:v>3444</c:v>
                </c:pt>
                <c:pt idx="14" formatCode="0">
                  <c:v>3262.5</c:v>
                </c:pt>
                <c:pt idx="15" formatCode="0">
                  <c:v>3081</c:v>
                </c:pt>
                <c:pt idx="16" formatCode="0">
                  <c:v>2900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856-43A4-86B4-4B0E8EF8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7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37951387606352E-2"/>
          <c:y val="9.84273849352469E-2"/>
          <c:w val="7.5435341719387317E-2"/>
          <c:h val="4.927333857757094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4D3F2C-D5F1-41AE-ACE4-DFC0B9A95345}">
  <sheetPr/>
  <sheetViews>
    <sheetView zoomScale="115" workbookViewId="0"/>
  </sheetViews>
  <pageMargins left="0.25" right="0.25" top="0.75" bottom="0.75" header="0.3" footer="0.3"/>
  <pageSetup paperSize="5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19926C-FDFD-4B6F-9591-D15E2C7B4756}">
  <sheetPr/>
  <sheetViews>
    <sheetView zoomScale="85" workbookViewId="0"/>
  </sheetViews>
  <pageMargins left="0.25" right="0.25" top="0.75" bottom="0.75" header="0.3" footer="0.3"/>
  <pageSetup paperSize="5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C66609-86C6-4B72-9620-31705379CED0}">
  <sheetPr/>
  <sheetViews>
    <sheetView zoomScale="85" workbookViewId="0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225130" cy="62823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042FF-A425-4B26-20E6-D41A21F207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23122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B9D6-C519-36EA-863F-98A18A8884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23122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4F964-2B94-23E4-A3A2-70F68F0212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3F7D-8A04-4EDE-8789-543ED0F016DA}">
  <dimension ref="A1:X19"/>
  <sheetViews>
    <sheetView showGridLines="0" tabSelected="1" zoomScale="145" zoomScaleNormal="145" workbookViewId="0">
      <pane ySplit="1" topLeftCell="A2" activePane="bottomLeft" state="frozen"/>
      <selection pane="bottomLeft" activeCell="K8" sqref="K8"/>
    </sheetView>
  </sheetViews>
  <sheetFormatPr defaultColWidth="9.1328125" defaultRowHeight="16.5" x14ac:dyDescent="0.45"/>
  <cols>
    <col min="1" max="1" width="9.59765625" style="8" customWidth="1"/>
    <col min="2" max="2" width="9.86328125" style="8" customWidth="1"/>
    <col min="3" max="3" width="8.59765625" style="2" customWidth="1"/>
    <col min="4" max="4" width="10.3984375" style="2" customWidth="1"/>
    <col min="5" max="5" width="11.59765625" style="2" customWidth="1"/>
    <col min="6" max="9" width="10.86328125" style="2" customWidth="1"/>
    <col min="10" max="12" width="10.3984375" style="2" customWidth="1"/>
    <col min="13" max="14" width="9.1328125" style="2"/>
    <col min="15" max="17" width="10.3984375" style="2" customWidth="1"/>
    <col min="18" max="19" width="9.1328125" style="2"/>
    <col min="20" max="22" width="10.3984375" style="2" customWidth="1"/>
    <col min="23" max="16384" width="9.1328125" style="2"/>
  </cols>
  <sheetData>
    <row r="1" spans="1:24" x14ac:dyDescent="0.45">
      <c r="A1" s="6" t="s">
        <v>2</v>
      </c>
      <c r="B1" s="6" t="s">
        <v>13</v>
      </c>
      <c r="C1" s="6" t="s">
        <v>3</v>
      </c>
      <c r="D1" s="6" t="s">
        <v>4</v>
      </c>
      <c r="E1" s="6" t="s">
        <v>37</v>
      </c>
      <c r="F1" s="6" t="s">
        <v>38</v>
      </c>
      <c r="G1" s="6" t="s">
        <v>73</v>
      </c>
      <c r="H1" s="6" t="s">
        <v>74</v>
      </c>
      <c r="I1" s="6" t="s">
        <v>75</v>
      </c>
      <c r="J1" s="6" t="s">
        <v>28</v>
      </c>
      <c r="K1" s="6" t="s">
        <v>29</v>
      </c>
      <c r="L1" s="6" t="s">
        <v>30</v>
      </c>
      <c r="M1" s="6" t="s">
        <v>61</v>
      </c>
      <c r="N1" s="6" t="s">
        <v>67</v>
      </c>
      <c r="O1" s="6" t="s">
        <v>33</v>
      </c>
      <c r="P1" s="6" t="s">
        <v>31</v>
      </c>
      <c r="Q1" s="6" t="s">
        <v>32</v>
      </c>
      <c r="R1" s="6" t="s">
        <v>62</v>
      </c>
      <c r="S1" s="6" t="s">
        <v>68</v>
      </c>
      <c r="T1" s="6" t="s">
        <v>34</v>
      </c>
      <c r="U1" s="6" t="s">
        <v>35</v>
      </c>
      <c r="V1" s="6" t="s">
        <v>36</v>
      </c>
      <c r="W1" s="6" t="s">
        <v>63</v>
      </c>
      <c r="X1" s="6" t="s">
        <v>69</v>
      </c>
    </row>
    <row r="2" spans="1:24" x14ac:dyDescent="0.45">
      <c r="A2" s="5" t="s">
        <v>65</v>
      </c>
      <c r="B2" s="5" t="s">
        <v>14</v>
      </c>
      <c r="C2" s="5">
        <v>1973</v>
      </c>
      <c r="D2" s="5">
        <v>7100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45">
      <c r="A3" s="5" t="str">
        <f>$A$2</f>
        <v>DANE</v>
      </c>
      <c r="B3" s="5" t="str">
        <f>$B$2</f>
        <v>Municipio</v>
      </c>
      <c r="C3" s="5">
        <v>1985</v>
      </c>
      <c r="D3" s="5">
        <v>7371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45">
      <c r="A4" s="5" t="str">
        <f t="shared" ref="A4:A6" si="0">$A$2</f>
        <v>DANE</v>
      </c>
      <c r="B4" s="5" t="str">
        <f t="shared" ref="B4:B6" si="1">$B$2</f>
        <v>Municipio</v>
      </c>
      <c r="C4" s="5">
        <v>1993</v>
      </c>
      <c r="D4" s="5">
        <v>7439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45">
      <c r="A5" s="5" t="str">
        <f t="shared" si="0"/>
        <v>DANE</v>
      </c>
      <c r="B5" s="5" t="str">
        <f t="shared" si="1"/>
        <v>Municipio</v>
      </c>
      <c r="C5" s="5">
        <v>2005</v>
      </c>
      <c r="D5" s="5">
        <v>6383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45">
      <c r="A6" s="5" t="str">
        <f t="shared" si="0"/>
        <v>DANE</v>
      </c>
      <c r="B6" s="5" t="str">
        <f t="shared" si="1"/>
        <v>Municipio</v>
      </c>
      <c r="C6" s="5">
        <v>2018</v>
      </c>
      <c r="D6" s="5">
        <v>4551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45">
      <c r="A7" s="7"/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45">
      <c r="A8" s="7"/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4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4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4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4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4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4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4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4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3:24" x14ac:dyDescent="0.4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3:24" x14ac:dyDescent="0.4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3:24" x14ac:dyDescent="0.4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97D0-7CF3-40B1-9A24-C33BBE54D035}">
  <dimension ref="B2:V38"/>
  <sheetViews>
    <sheetView showGridLines="0" zoomScaleNormal="100" workbookViewId="0">
      <selection activeCell="T7" sqref="T7"/>
    </sheetView>
  </sheetViews>
  <sheetFormatPr defaultColWidth="9.265625" defaultRowHeight="16.5" x14ac:dyDescent="0.45"/>
  <cols>
    <col min="1" max="1" width="2.73046875" style="2" customWidth="1"/>
    <col min="2" max="2" width="17.59765625" style="2" customWidth="1"/>
    <col min="3" max="3" width="12.86328125" style="2" customWidth="1"/>
    <col min="4" max="4" width="11.73046875" style="2" customWidth="1"/>
    <col min="5" max="13" width="11.59765625" style="2" customWidth="1"/>
    <col min="14" max="14" width="5.1328125" style="2" customWidth="1"/>
    <col min="15" max="15" width="11.73046875" style="2" customWidth="1"/>
    <col min="16" max="21" width="13.265625" style="2" customWidth="1"/>
    <col min="22" max="25" width="9.265625" style="2" customWidth="1"/>
    <col min="26" max="26" width="13.73046875" style="2" customWidth="1"/>
    <col min="27" max="34" width="9.265625" style="2" customWidth="1"/>
    <col min="35" max="35" width="12.86328125" style="2" bestFit="1" customWidth="1"/>
    <col min="36" max="36" width="9.265625" style="2" customWidth="1"/>
    <col min="37" max="16384" width="9.265625" style="2"/>
  </cols>
  <sheetData>
    <row r="2" spans="2:20" x14ac:dyDescent="0.45">
      <c r="B2" s="2" t="s">
        <v>70</v>
      </c>
    </row>
    <row r="3" spans="2:20" s="1" customFormat="1" ht="33" x14ac:dyDescent="0.45">
      <c r="B3" s="77" t="s">
        <v>27</v>
      </c>
      <c r="C3" s="78"/>
      <c r="D3" s="50" t="s">
        <v>8</v>
      </c>
      <c r="E3" s="54" t="s">
        <v>5</v>
      </c>
      <c r="F3" s="54" t="s">
        <v>6</v>
      </c>
      <c r="G3" s="54" t="s">
        <v>9</v>
      </c>
      <c r="H3" s="54" t="s">
        <v>10</v>
      </c>
      <c r="I3" s="54" t="s">
        <v>11</v>
      </c>
      <c r="J3" s="54" t="s">
        <v>12</v>
      </c>
      <c r="K3" s="54" t="s">
        <v>0</v>
      </c>
      <c r="L3" s="54" t="s">
        <v>1</v>
      </c>
      <c r="M3" s="55" t="s">
        <v>15</v>
      </c>
      <c r="P3" s="50" t="s">
        <v>8</v>
      </c>
      <c r="Q3" s="54" t="s">
        <v>76</v>
      </c>
      <c r="R3" s="54" t="s">
        <v>77</v>
      </c>
      <c r="S3" s="54" t="s">
        <v>15</v>
      </c>
      <c r="T3" s="55" t="s">
        <v>80</v>
      </c>
    </row>
    <row r="4" spans="2:20" x14ac:dyDescent="0.45">
      <c r="B4" s="79"/>
      <c r="C4" s="80"/>
      <c r="D4" s="18" t="s">
        <v>16</v>
      </c>
      <c r="E4" s="16" cm="1">
        <f t="array" ref="E4">INDEX(LINEST(Censal!D2:D6,Censal!C2:C6^{1},TRUE,TRUE),1,1)</f>
        <v>-57.29470742932282</v>
      </c>
      <c r="F4" s="16" cm="1">
        <f t="array" ref="F4">INDEX(LINEST(Censal!D2:D6,Censal!C2:C6^{1,2},TRUE,TRUE),1,1)</f>
        <v>-2.7390431943579601</v>
      </c>
      <c r="G4" s="16" cm="1">
        <f t="array" ref="G4">INDEX(LINEST(Censal!D2:D6,Censal!C2:C6^{1,2,3},TRUE,TRUE),1,1)</f>
        <v>-6.6464037381091913E-3</v>
      </c>
      <c r="H4" s="16" cm="1">
        <f t="array" ref="H4">INDEX(LINEST(Censal!D2:D6,Censal!C2:C6^{1,2,3,4},TRUE,TRUE),1,1)</f>
        <v>-2.1256036455630935E-6</v>
      </c>
      <c r="I4" s="16" cm="1">
        <f t="array" ref="I4">INDEX(LINEST(Censal!D2:D6,Censal!C2:C6^{1,2,3,4,5},TRUE,TRUE),1,1)</f>
        <v>-7.0358315625191238E-10</v>
      </c>
      <c r="J4" s="16" cm="1">
        <f t="array" ref="J4">INDEX(LINEST(Censal!D2:D6,Censal!C2:C6^{1,2,3,4,5,6},TRUE,TRUE),1,1)</f>
        <v>-2.3207768933403641E-13</v>
      </c>
      <c r="K4" s="16" cm="1">
        <f t="array" ref="K4">INDEX(LINEST(Censal!D2:D6,LN(Censal!C2:C6)^{1},TRUE,TRUE),1,1)</f>
        <v>-114073.65340043641</v>
      </c>
      <c r="L4" s="16" cm="1">
        <f t="array" ref="L4">INDEX(LINEST(LOG(Censal!D2:D6),LOG(Censal!C2:C6)^{1},TRUE,TRUE),1,1)</f>
        <v>-19.397290578138005</v>
      </c>
      <c r="M4" s="17" cm="1">
        <f t="array" ref="M4">INDEX(LINEST(LN(Censal!D2:D6),Censal!C2:C6^{1},TRUE,TRUE),1,1)</f>
        <v>-9.7428132515143175E-3</v>
      </c>
      <c r="P4" s="18" t="s">
        <v>16</v>
      </c>
      <c r="Q4" s="51">
        <f>+(Censal!$D$6-Censal!D2)/(Censal!$C$6-Censal!C2)/Censal!D2</f>
        <v>-7.9780907668231607E-3</v>
      </c>
      <c r="R4" s="61">
        <f>+(Censal!$D$6/Censal!D2)^(1/(Censal!$C$6-Censal!C2))-1</f>
        <v>-9.8346051809711232E-3</v>
      </c>
      <c r="S4" s="59">
        <f>+(LN(Censal!D3)-LN(Censal!D2))/(Censal!C3-Censal!C2)</f>
        <v>3.1215498466568015E-3</v>
      </c>
      <c r="T4" s="65">
        <f>200*(Censal!$D$6-Censal!D2)/(Censal!$C$6-Censal!C2)/(Censal!D2+Censal!$D$6)</f>
        <v>-0.97235335068997408</v>
      </c>
    </row>
    <row r="5" spans="2:20" x14ac:dyDescent="0.45">
      <c r="B5" s="79"/>
      <c r="C5" s="80"/>
      <c r="D5" s="18" t="s">
        <v>17</v>
      </c>
      <c r="E5" s="16" cm="1">
        <f t="array" ref="E5">INDEX(LINEST(Censal!D2:D6,Censal!C2:C6^{1},TRUE,TRUE),1,2)</f>
        <v>120860.28238001316</v>
      </c>
      <c r="F5" s="16" cm="1">
        <f t="array" ref="F5">INDEX(LINEST(Censal!D2:D6,Censal!C2:C6^{1,2},TRUE,TRUE),1,2)</f>
        <v>10875.436830514705</v>
      </c>
      <c r="G5" s="16" cm="1">
        <f t="array" ref="G5">INDEX(LINEST(Censal!D2:D6,Censal!C2:C6^{1,2,3},TRUE,TRUE),1,2)</f>
        <v>37.043760100805784</v>
      </c>
      <c r="H5" s="16" cm="1">
        <f t="array" ref="H5">INDEX(LINEST(Censal!D2:D6,Censal!C2:C6^{1,2,3,4},TRUE,TRUE),1,2)</f>
        <v>1.0398876414846211E-2</v>
      </c>
      <c r="I5" s="16" cm="1">
        <f t="array" ref="I5">INDEX(LINEST(Censal!D2:D6,Censal!C2:C6^{1,2,3,4,5},TRUE,TRUE),1,2)</f>
        <v>3.1689708132309168E-6</v>
      </c>
      <c r="J5" s="16" cm="1">
        <f t="array" ref="J5">INDEX(LINEST(Censal!D2:D6,Censal!C2:C6^{1,2,3,4,5,6},TRUE,TRUE),1,2)</f>
        <v>9.7546017871104337E-10</v>
      </c>
      <c r="K5" s="16" cm="1">
        <f t="array" ref="K5">INDEX(LINEST(Censal!D2:D6,LN(Censal!C2:C6)^{1},TRUE,TRUE),1,2)</f>
        <v>873331.04868158686</v>
      </c>
      <c r="L5" s="16" cm="1">
        <f t="array" ref="L5">INDEX(LINEST(LOG(Censal!D2:D6),LOG(Censal!C2:C6)^{1},TRUE,TRUE),1,2)</f>
        <v>67.819535499773608</v>
      </c>
      <c r="M5" s="17" cm="1">
        <f t="array" ref="M5">EXP(INDEX(LINEST(LN(Censal!D2:D6),Censal!C2:C6^{1},TRUE,TRUE),1,2))</f>
        <v>1783133118128.5806</v>
      </c>
      <c r="P5" s="18" t="s">
        <v>17</v>
      </c>
      <c r="Q5" s="51">
        <f>+(Censal!$D$6-Censal!D3)/(Censal!$C$6-Censal!C3)/Censal!D3</f>
        <v>-1.159334492667826E-2</v>
      </c>
      <c r="R5" s="61">
        <f>+(Censal!$D$6/Censal!D3)^(1/(Censal!$C$6-Censal!C3))-1</f>
        <v>-1.4506073179499035E-2</v>
      </c>
      <c r="S5" s="59">
        <f>+(LN(Censal!D4)-LN(Censal!D3))/(Censal!C4-Censal!C3)</f>
        <v>1.1478811252567667E-3</v>
      </c>
      <c r="T5" s="65">
        <f>200*(Censal!$D$6-Censal!D3)/(Censal!$C$6-Censal!C3)/(Censal!D3+Censal!$D$6)</f>
        <v>-1.4335605679339953</v>
      </c>
    </row>
    <row r="6" spans="2:20" x14ac:dyDescent="0.45">
      <c r="B6" s="79"/>
      <c r="C6" s="80"/>
      <c r="D6" s="18" t="s">
        <v>18</v>
      </c>
      <c r="E6" s="16"/>
      <c r="F6" s="16" cm="1">
        <f t="array" ref="F6">INDEX(LINEST(Censal!D2:D6,Censal!C2:C6^{1,2},TRUE,TRUE),1,3)</f>
        <v>-10787811.273241783</v>
      </c>
      <c r="G6" s="16" cm="1">
        <f t="array" ref="G6">INDEX(LINEST(Censal!D2:D6,Censal!C2:C6^{1,2,3},TRUE,TRUE),1,3)</f>
        <v>-68496.475999882256</v>
      </c>
      <c r="H6" s="16" cm="1">
        <f t="array" ref="H6">INDEX(LINEST(Censal!D2:D6,Censal!C2:C6^{1,2,3,4},TRUE,TRUE),1,3)</f>
        <v>-14.211374982554867</v>
      </c>
      <c r="I6" s="16" cm="1">
        <f t="array" ref="I6">INDEX(LINEST(Censal!D2:D6,Censal!C2:C6^{1,2,3,4,5},TRUE,TRUE),1,3)</f>
        <v>-3.7665611800508517E-3</v>
      </c>
      <c r="J6" s="16" cm="1">
        <f t="array" ref="J6">INDEX(LINEST(Censal!D2:D6,Censal!C2:C6^{1,2,3,4,5,6},TRUE,TRUE),1,3)</f>
        <v>-1.0486325456219447E-6</v>
      </c>
      <c r="K6" s="16"/>
      <c r="L6" s="16"/>
      <c r="M6" s="17"/>
      <c r="P6" s="18" t="s">
        <v>18</v>
      </c>
      <c r="Q6" s="51">
        <f>+(Censal!$D$6-Censal!D4)/(Censal!$C$6-Censal!C4)/Censal!D4</f>
        <v>-1.5528968947439171E-2</v>
      </c>
      <c r="R6" s="61">
        <f>+(Censal!$D$6/Censal!D4)^(1/(Censal!$C$6-Censal!C4))-1</f>
        <v>-1.9463666253416223E-2</v>
      </c>
      <c r="S6" s="59">
        <f>+(LN(Censal!D5)-LN(Censal!D4))/(Censal!C5-Censal!C4)</f>
        <v>-1.2758185411273715E-2</v>
      </c>
      <c r="T6" s="65">
        <f>200*(Censal!$D$6-Censal!D4)/(Censal!$C$6-Censal!C4)/(Censal!D4+Censal!$D$6)</f>
        <v>-1.9269391159299416</v>
      </c>
    </row>
    <row r="7" spans="2:20" x14ac:dyDescent="0.45">
      <c r="B7" s="79"/>
      <c r="C7" s="80"/>
      <c r="D7" s="18" t="s">
        <v>19</v>
      </c>
      <c r="E7" s="16"/>
      <c r="F7" s="16"/>
      <c r="G7" s="16" cm="1">
        <f t="array" ref="G7">INDEX(LINEST(Censal!D2:D6,Censal!C2:C6^{1,2,3},TRUE,TRUE),1,4)</f>
        <v>41996046.547774345</v>
      </c>
      <c r="H7" s="16" cm="1">
        <f t="array" ref="H7">INDEX(LINEST(Censal!D2:D6,Censal!C2:C6^{1,2,3,4},TRUE,TRUE),1,4)</f>
        <v>0</v>
      </c>
      <c r="I7" s="16" cm="1">
        <f t="array" ref="I7">INDEX(LINEST(Censal!D2:D6,Censal!C2:C6^{1,2,3,4,5},TRUE,TRUE),1,4)</f>
        <v>0</v>
      </c>
      <c r="J7" s="16" cm="1">
        <f t="array" ref="J7">INDEX(LINEST(Censal!D2:D6,Censal!C2:C6^{1,2,3,4,5,6},TRUE,TRUE),1,4)</f>
        <v>0</v>
      </c>
      <c r="K7" s="16"/>
      <c r="L7" s="16"/>
      <c r="M7" s="17"/>
      <c r="P7" s="18" t="s">
        <v>19</v>
      </c>
      <c r="Q7" s="51">
        <f>+(Censal!$D$6-Censal!D5)/(Censal!$C$6-Censal!C5)/Censal!D5</f>
        <v>-2.2077875125031635E-2</v>
      </c>
      <c r="R7" s="61">
        <f>+(Censal!$D$6/Censal!D5)^(1/(Censal!$C$6-Censal!C5))-1</f>
        <v>-2.5686736544863975E-2</v>
      </c>
      <c r="S7" s="59">
        <f>+(LN(Censal!D6)-LN(Censal!D5))/(Censal!C6-Censal!C5)</f>
        <v>-2.6022401326108897E-2</v>
      </c>
      <c r="T7" s="65">
        <f>200*(Censal!$D$6-Censal!D5)/(Censal!$C$6-Censal!C5)/(Censal!D5+Censal!$D$6)</f>
        <v>-2.5777039861546904</v>
      </c>
    </row>
    <row r="8" spans="2:20" x14ac:dyDescent="0.45">
      <c r="B8" s="79"/>
      <c r="C8" s="80"/>
      <c r="D8" s="18" t="s">
        <v>20</v>
      </c>
      <c r="E8" s="16"/>
      <c r="F8" s="16"/>
      <c r="G8" s="16"/>
      <c r="H8" s="16" cm="1">
        <f t="array" ref="H8">INDEX(LINEST(Censal!D2:D6,Censal!C2:C6^{1,2,3,4},TRUE,TRUE),1,5)</f>
        <v>7671051.7651191726</v>
      </c>
      <c r="I8" s="16" cm="1">
        <f t="array" ref="I8">INDEX(LINEST(Censal!D2:D6,Censal!C2:C6^{1,2,3,4,5},TRUE,TRUE),1,5)</f>
        <v>0</v>
      </c>
      <c r="J8" s="16" cm="1">
        <f t="array" ref="J8">INDEX(LINEST(Censal!D2:D6,Censal!C2:C6^{1,2,3,4,5,6},TRUE,TRUE),1,5)</f>
        <v>0</v>
      </c>
      <c r="K8" s="16"/>
      <c r="L8" s="16"/>
      <c r="M8" s="17"/>
      <c r="P8" s="18"/>
      <c r="Q8" s="51"/>
      <c r="S8" s="59"/>
      <c r="T8" s="17"/>
    </row>
    <row r="9" spans="2:20" x14ac:dyDescent="0.45">
      <c r="B9" s="79"/>
      <c r="C9" s="80"/>
      <c r="D9" s="18" t="s">
        <v>21</v>
      </c>
      <c r="E9" s="16"/>
      <c r="F9" s="16"/>
      <c r="G9" s="16"/>
      <c r="H9" s="16"/>
      <c r="I9" s="16" cm="1">
        <f t="array" ref="I9">INDEX(LINEST(Censal!D2:D6,Censal!C2:C6^{1,2,3,4,5},TRUE,TRUE),1,6)</f>
        <v>1950522.0400090814</v>
      </c>
      <c r="J9" s="16" cm="1">
        <f t="array" ref="J9">INDEX(LINEST(Censal!D2:D6,Censal!C2:C6^{1,2,3,4,5,6},TRUE,TRUE),1,6)</f>
        <v>0</v>
      </c>
      <c r="K9" s="16"/>
      <c r="L9" s="16"/>
      <c r="M9" s="17"/>
      <c r="P9" s="18"/>
      <c r="Q9" s="51"/>
      <c r="T9" s="17"/>
    </row>
    <row r="10" spans="2:20" x14ac:dyDescent="0.45">
      <c r="B10" s="79"/>
      <c r="C10" s="80"/>
      <c r="D10" s="18" t="s">
        <v>22</v>
      </c>
      <c r="E10" s="16"/>
      <c r="F10" s="16"/>
      <c r="G10" s="16"/>
      <c r="H10" s="16"/>
      <c r="I10" s="16"/>
      <c r="J10" s="16" cm="1">
        <f t="array" ref="J10">INDEX(LINEST(Censal!D2:D6,Censal!C2:C6^{1,2,3,4,5,6},TRUE,TRUE),1,7)</f>
        <v>423271.53473058343</v>
      </c>
      <c r="K10" s="16"/>
      <c r="L10" s="16"/>
      <c r="M10" s="17"/>
      <c r="P10" s="18" t="s">
        <v>78</v>
      </c>
      <c r="Q10" s="52">
        <f>+AVERAGE(Q4:Q9)</f>
        <v>-1.4294569941493057E-2</v>
      </c>
      <c r="R10" s="52">
        <f>+AVERAGE(R4:R9)</f>
        <v>-1.7372770289687589E-2</v>
      </c>
      <c r="S10" s="52">
        <f>+AVERAGE(S4:S9)</f>
        <v>-8.627788941367261E-3</v>
      </c>
      <c r="T10" s="66">
        <f>+IF(AVERAGE(T4:T7)*(Censal!C6+ProyectadaTotal!C17-Censal!C2)&lt;200,AVERAGE(T4:T7)/100,"No Aplica")</f>
        <v>-1.7276392551771505E-2</v>
      </c>
    </row>
    <row r="11" spans="2:20" x14ac:dyDescent="0.45">
      <c r="B11" s="79"/>
      <c r="C11" s="80"/>
      <c r="D11" s="19" t="s">
        <v>7</v>
      </c>
      <c r="E11" s="20" cm="1">
        <f t="array" ref="E11">INDEX(LINEST(Censal!D2:D6,Censal!C2:C6^{1},TRUE,TRUE),3,1)</f>
        <v>0.68999477802811904</v>
      </c>
      <c r="F11" s="20" cm="1">
        <f t="array" ref="F11">INDEX(LINEST(Censal!D2:D6,Censal!C2:C6^{1,2},TRUE,TRUE),3,1)</f>
        <v>0.9950219231187839</v>
      </c>
      <c r="G11" s="20" cm="1">
        <f t="array" ref="G11">INDEX(LINEST(Censal!D2:D6,Censal!C2:C6^{1,2,3},TRUE,TRUE),3,1)</f>
        <v>0.99523678397696025</v>
      </c>
      <c r="H11" s="20" cm="1">
        <f t="array" ref="H11">INDEX(LINEST(Censal!D2:D6,Censal!C2:C6^{1,2,3,4},TRUE,TRUE),3,1)</f>
        <v>0.99523243107522474</v>
      </c>
      <c r="I11" s="20" cm="1">
        <f t="array" ref="I11">INDEX(LINEST(Censal!D2:D6,Censal!C2:C6^{1,2,3,4,5},TRUE,TRUE),3,1)</f>
        <v>0.99522883565283005</v>
      </c>
      <c r="J11" s="20" cm="1">
        <f t="array" ref="J11">INDEX(LINEST(Censal!D2:D6,Censal!C2:C6^{1,2,3,4,5,6},TRUE,TRUE),3,1)</f>
        <v>0.99522599274680346</v>
      </c>
      <c r="K11" s="20" cm="1">
        <f t="array" ref="K11">INDEX(LINEST(Censal!D2:D6,LN(Censal!C2:C6)^{1},TRUE,TRUE),3,1)</f>
        <v>0.68679160257887495</v>
      </c>
      <c r="L11" s="20" cm="1">
        <f t="array" ref="L11">INDEX(LINEST(LOG(Censal!D2:D6),LOG(Censal!C2:C6)^{1},TRUE,TRUE),3,1)</f>
        <v>0.67992276692795384</v>
      </c>
      <c r="M11" s="21" cm="1">
        <f t="array" ref="M11">INDEX(LINEST(LN(Censal!D2:D6),Censal!C2:C6^{1},TRUE,TRUE),3,1)</f>
        <v>0.68313842388161239</v>
      </c>
      <c r="P11" s="19" t="s">
        <v>7</v>
      </c>
      <c r="Q11" s="60">
        <f>+CORREL($P$31:$P$35,Q31:Q35)</f>
        <v>0.83069794938867469</v>
      </c>
      <c r="R11" s="60">
        <f>+CORREL($P$31:$P$35,R31:R35)</f>
        <v>0.79084940487018651</v>
      </c>
      <c r="S11" s="60">
        <f>+CORREL($P$31:$P$35,S31:S35)</f>
        <v>0.79600542166292987</v>
      </c>
      <c r="T11" s="67">
        <f>+CORREL($P$31:$P$35,T31:T35)</f>
        <v>0.77032554069213144</v>
      </c>
    </row>
    <row r="12" spans="2:20" ht="33" x14ac:dyDescent="0.45">
      <c r="B12" s="79"/>
      <c r="C12" s="80"/>
      <c r="D12" s="50" t="s">
        <v>23</v>
      </c>
      <c r="E12" s="22" t="str">
        <f>IF(E11=MAX($E$11:$M$11),"✓","")</f>
        <v/>
      </c>
      <c r="F12" s="22" t="str">
        <f t="shared" ref="F12:M12" si="0">IF(F11=MAX($E$11:$M$11),"✓","")</f>
        <v/>
      </c>
      <c r="G12" s="22" t="str">
        <f t="shared" si="0"/>
        <v>✓</v>
      </c>
      <c r="H12" s="22" t="str">
        <f t="shared" si="0"/>
        <v/>
      </c>
      <c r="I12" s="22" t="str">
        <f t="shared" si="0"/>
        <v/>
      </c>
      <c r="J12" s="22" t="str">
        <f t="shared" si="0"/>
        <v/>
      </c>
      <c r="K12" s="22" t="str">
        <f t="shared" si="0"/>
        <v/>
      </c>
      <c r="L12" s="22" t="str">
        <f t="shared" si="0"/>
        <v/>
      </c>
      <c r="M12" s="23" t="str">
        <f t="shared" si="0"/>
        <v/>
      </c>
      <c r="P12" s="50" t="s">
        <v>23</v>
      </c>
      <c r="Q12" s="22" t="str">
        <f>IF(Q11=MAX($Q$11:$T$11),"✓","")</f>
        <v>✓</v>
      </c>
      <c r="R12" s="22" t="str">
        <f>IF(R11=MAX($Q$11:$T$11),"✓","")</f>
        <v/>
      </c>
      <c r="S12" s="22" t="str">
        <f>IF(S11=MAX($Q$11:$T$11),"✓","")</f>
        <v/>
      </c>
      <c r="T12" s="23" t="str">
        <f t="shared" ref="T12" si="1">IF(T11=MAX($E$11:$M$11),"✓","")</f>
        <v/>
      </c>
    </row>
    <row r="13" spans="2:20" x14ac:dyDescent="0.45">
      <c r="B13" s="79"/>
      <c r="C13" s="80"/>
      <c r="D13" s="46" t="s">
        <v>59</v>
      </c>
      <c r="E13" s="48"/>
      <c r="F13" s="48"/>
      <c r="G13" s="48" t="s">
        <v>60</v>
      </c>
      <c r="H13" s="48" t="s">
        <v>60</v>
      </c>
      <c r="I13" s="48" t="s">
        <v>60</v>
      </c>
      <c r="J13" s="48" t="s">
        <v>60</v>
      </c>
      <c r="K13" s="48"/>
      <c r="L13" s="48"/>
      <c r="M13" s="49"/>
      <c r="P13" s="46" t="s">
        <v>59</v>
      </c>
      <c r="Q13" s="48"/>
      <c r="R13" s="48"/>
      <c r="S13" s="48"/>
      <c r="T13" s="49"/>
    </row>
    <row r="14" spans="2:20" ht="33" x14ac:dyDescent="0.45">
      <c r="B14" s="81"/>
      <c r="C14" s="82"/>
      <c r="D14" s="12" t="s">
        <v>24</v>
      </c>
      <c r="E14" s="14"/>
      <c r="F14" s="14"/>
      <c r="G14" s="14"/>
      <c r="H14" s="14"/>
      <c r="I14" s="14"/>
      <c r="J14" s="14"/>
      <c r="K14" s="14" t="s">
        <v>25</v>
      </c>
      <c r="L14" s="14"/>
      <c r="M14" s="15"/>
      <c r="P14" s="12" t="s">
        <v>24</v>
      </c>
      <c r="Q14" s="14" t="s">
        <v>25</v>
      </c>
      <c r="R14" s="14"/>
      <c r="S14" s="14"/>
      <c r="T14" s="15"/>
    </row>
    <row r="16" spans="2:20" x14ac:dyDescent="0.45">
      <c r="B16" s="2" t="s">
        <v>71</v>
      </c>
    </row>
    <row r="17" spans="2:22" x14ac:dyDescent="0.45">
      <c r="B17" s="2" t="s">
        <v>26</v>
      </c>
      <c r="C17" s="13">
        <v>3</v>
      </c>
      <c r="D17" s="2" t="s">
        <v>72</v>
      </c>
      <c r="M17" s="9"/>
    </row>
    <row r="18" spans="2:22" ht="33" x14ac:dyDescent="0.45">
      <c r="B18" s="50" t="s">
        <v>2</v>
      </c>
      <c r="C18" s="54" t="s">
        <v>13</v>
      </c>
      <c r="D18" s="54" t="s">
        <v>3</v>
      </c>
      <c r="E18" s="54" t="str">
        <f>E3</f>
        <v>Lineal</v>
      </c>
      <c r="F18" s="54" t="str">
        <f t="shared" ref="F18:M18" si="2">F3</f>
        <v>Polinomio grado 2</v>
      </c>
      <c r="G18" s="54" t="str">
        <f t="shared" si="2"/>
        <v>Polinomio grado 3</v>
      </c>
      <c r="H18" s="54" t="str">
        <f t="shared" si="2"/>
        <v>Polinomio grado 4</v>
      </c>
      <c r="I18" s="54" t="str">
        <f t="shared" si="2"/>
        <v>Polinomio grado 5</v>
      </c>
      <c r="J18" s="54" t="str">
        <f t="shared" si="2"/>
        <v>Polinomio grado 6</v>
      </c>
      <c r="K18" s="54" t="str">
        <f t="shared" si="2"/>
        <v>Logarítmica</v>
      </c>
      <c r="L18" s="54" t="str">
        <f t="shared" si="2"/>
        <v>Potencial</v>
      </c>
      <c r="M18" s="55" t="str">
        <f t="shared" si="2"/>
        <v>Exponencial</v>
      </c>
      <c r="O18" s="50" t="s">
        <v>3</v>
      </c>
      <c r="P18" s="54" t="s">
        <v>81</v>
      </c>
      <c r="Q18" s="54" t="str">
        <f>Q3</f>
        <v>Aritmético</v>
      </c>
      <c r="R18" s="54" t="s">
        <v>77</v>
      </c>
      <c r="S18" s="54" t="s">
        <v>79</v>
      </c>
      <c r="T18" s="55" t="s">
        <v>80</v>
      </c>
    </row>
    <row r="19" spans="2:22" x14ac:dyDescent="0.45">
      <c r="B19" s="47" t="s">
        <v>66</v>
      </c>
      <c r="C19" s="3" t="str">
        <f>Censal!$B$2</f>
        <v>Municipio</v>
      </c>
      <c r="D19" s="53">
        <f>+MAX(Censal!C2:C6)+$C$17</f>
        <v>2021</v>
      </c>
      <c r="E19" s="16">
        <f>ROUND($E$4*$D19+$E$5,0)</f>
        <v>5068</v>
      </c>
      <c r="F19" s="16">
        <f>ROUND($F$4*$D19^2+$F$5*$D19+$F$6,0)</f>
        <v>3986</v>
      </c>
      <c r="G19" s="16">
        <f>ROUND($G$4*$D19^3+$G$5*$D19^2+$G$6*$D19+$G$7,0)</f>
        <v>3950</v>
      </c>
      <c r="H19" s="16">
        <f>ROUND($H$4*$D19^4+$H$5*$D19^3+$H$6*$D19^2+$H$7*$D19+$H$8,0)</f>
        <v>3950</v>
      </c>
      <c r="I19" s="16">
        <f>ROUND($I$4*$D19^5+$I$5*$D19^4+$I$6*$D19^3+$I$7*$D19^2+$I$8*$D19+$I$9,0)</f>
        <v>3950</v>
      </c>
      <c r="J19" s="16">
        <f>ROUND($J$4*$D19^6+$J$5*$D19^5+$J$6*$D19^4+$J$7*$D19^3+$J$8*$D19^2+$J$9*$D19+$J$10,0)</f>
        <v>3950</v>
      </c>
      <c r="K19" s="16">
        <f>ROUND($K$4*LN(D19)+$K$5,0)</f>
        <v>5077</v>
      </c>
      <c r="L19" s="16">
        <f>ROUND(10^$L$5*$D19^$L$4,0)</f>
        <v>5018</v>
      </c>
      <c r="M19" s="17">
        <f>ROUND($M$5*EXP($M$4*$D19),0)</f>
        <v>5010</v>
      </c>
      <c r="O19" s="62">
        <f>+D19</f>
        <v>2021</v>
      </c>
      <c r="P19" s="53">
        <v>2586</v>
      </c>
      <c r="Q19" s="53">
        <f>ROUND(Censal!$D$6+($Q$10*Censal!$D$6*(O19-Censal!$C$6)),0)</f>
        <v>4356</v>
      </c>
      <c r="R19" s="53">
        <f>ROUND(Censal!$D$6*(1+ProyectadaTotal!$R$4)^(ProyectadaTotal!O19-Censal!$C$6),0)</f>
        <v>4418</v>
      </c>
      <c r="S19" s="53">
        <f>ROUND(Censal!$D$2*EXP(ProyectadaTotal!$S$10*(ProyectadaTotal!O19-Censal!$C$2)),0)</f>
        <v>4692</v>
      </c>
      <c r="T19" s="17">
        <f>ROUND(Censal!$D$2*(200+(ProyectadaTotal!$T$10*100*(ProyectadaTotal!O19-Censal!$C$2)))/(200-(ProyectadaTotal!$T$10*100*(ProyectadaTotal!O19-Censal!$C$2))),0)</f>
        <v>2938</v>
      </c>
      <c r="U19" s="9"/>
      <c r="V19" s="9"/>
    </row>
    <row r="20" spans="2:22" x14ac:dyDescent="0.45">
      <c r="B20" s="10" t="str">
        <f>B19</f>
        <v>Proyectada</v>
      </c>
      <c r="C20" s="3" t="str">
        <f>Censal!$B$2</f>
        <v>Municipio</v>
      </c>
      <c r="D20" s="53">
        <f t="shared" ref="D20:D25" si="3">+D19+$C$17</f>
        <v>2024</v>
      </c>
      <c r="E20" s="16">
        <f>ROUND($E$4*$D20+$E$5,0)</f>
        <v>4896</v>
      </c>
      <c r="F20" s="16">
        <f>ROUND($F$4*$D20^2+$F$5*$D20+$F$6,0)</f>
        <v>3374</v>
      </c>
      <c r="G20" s="16">
        <f>ROUND($G$4*$D20^3+$G$5*$D20^2+$G$6*$D20+$G$7,0)</f>
        <v>3302</v>
      </c>
      <c r="H20" s="16">
        <f t="shared" ref="H20:H29" si="4">ROUND($H$4*$D20^4+$H$5*$D20^3+$H$6*$D20^2+$H$7*$D20+$H$8,0)</f>
        <v>3302</v>
      </c>
      <c r="I20" s="16">
        <f t="shared" ref="I20:I29" si="5">ROUND($I$4*$D20^5+$I$5*$D20^4+$I$6*$D20^3+$I$7*$D20^2+$I$8*$D20+$I$9,0)</f>
        <v>3302</v>
      </c>
      <c r="J20" s="16">
        <f t="shared" ref="J20:J29" si="6">ROUND($J$4*$D20^6+$J$5*$D20^5+$J$6*$D20^4+$J$7*$D20^3+$J$8*$D20^2+$J$9*$D20+$J$10,0)</f>
        <v>3303</v>
      </c>
      <c r="K20" s="16">
        <f t="shared" ref="K20:K29" si="7">ROUND($K$4*LN(D20)+$K$5,0)</f>
        <v>4908</v>
      </c>
      <c r="L20" s="16">
        <f t="shared" ref="L20:L29" si="8">ROUND(10^$L$5*$D20^$L$4,0)</f>
        <v>4875</v>
      </c>
      <c r="M20" s="17">
        <f t="shared" ref="M20:M29" si="9">ROUND($M$5*EXP($M$4*$D20),0)</f>
        <v>4866</v>
      </c>
      <c r="O20" s="62">
        <f>+O19+$C$17</f>
        <v>2024</v>
      </c>
      <c r="P20" s="53">
        <v>2769</v>
      </c>
      <c r="Q20" s="53">
        <f>ROUND(Censal!$D$6+($Q$10*Censal!$D$6*(O20-Censal!$C$6)),0)</f>
        <v>4161</v>
      </c>
      <c r="R20" s="53">
        <f>ROUND(Censal!$D$6*(1+ProyectadaTotal!$R$4)^(ProyectadaTotal!O20-Censal!$C$6),0)</f>
        <v>4289</v>
      </c>
      <c r="S20" s="53">
        <f>ROUND(Censal!$D$2*EXP(ProyectadaTotal!$S$10*(ProyectadaTotal!O20-Censal!$C$2)),0)</f>
        <v>4573</v>
      </c>
      <c r="T20" s="17">
        <f>ROUND(Censal!$D$2*(200+(ProyectadaTotal!$T$10*100*(ProyectadaTotal!O20-Censal!$C$2)))/(200-(ProyectadaTotal!$T$10*100*(ProyectadaTotal!O20-Censal!$C$2))),0)</f>
        <v>2757</v>
      </c>
      <c r="U20" s="9"/>
      <c r="V20" s="9"/>
    </row>
    <row r="21" spans="2:22" x14ac:dyDescent="0.45">
      <c r="B21" s="10" t="str">
        <f t="shared" ref="B21:B29" si="10">B20</f>
        <v>Proyectada</v>
      </c>
      <c r="C21" s="3" t="str">
        <f>Censal!$B$2</f>
        <v>Municipio</v>
      </c>
      <c r="D21" s="53">
        <f t="shared" si="3"/>
        <v>2027</v>
      </c>
      <c r="E21" s="16">
        <f>ROUND($E$4*$D21+$E$5,0)</f>
        <v>4724</v>
      </c>
      <c r="F21" s="16">
        <f t="shared" ref="F21:F29" si="11">ROUND($F$4*$D21^2+$F$5*$D21+$F$6,0)</f>
        <v>2713</v>
      </c>
      <c r="G21" s="16">
        <f>ROUND($G$4*$D21^3+$G$5*$D21^2+$G$6*$D21+$G$7,0)</f>
        <v>2594</v>
      </c>
      <c r="H21" s="16">
        <f t="shared" si="4"/>
        <v>2595</v>
      </c>
      <c r="I21" s="16">
        <f t="shared" si="5"/>
        <v>2595</v>
      </c>
      <c r="J21" s="16">
        <f t="shared" si="6"/>
        <v>2596</v>
      </c>
      <c r="K21" s="16">
        <f t="shared" si="7"/>
        <v>4739</v>
      </c>
      <c r="L21" s="16">
        <f t="shared" si="8"/>
        <v>4737</v>
      </c>
      <c r="M21" s="17">
        <f t="shared" si="9"/>
        <v>4725</v>
      </c>
      <c r="O21" s="62">
        <f t="shared" ref="O21:O29" si="12">+O20+$C$17</f>
        <v>2027</v>
      </c>
      <c r="P21" s="53">
        <v>2882</v>
      </c>
      <c r="Q21" s="53">
        <f>ROUND(Censal!$D$6+($Q$10*Censal!$D$6*(O21-Censal!$C$6)),0)</f>
        <v>3966</v>
      </c>
      <c r="R21" s="53">
        <f>ROUND(Censal!$D$6*(1+ProyectadaTotal!$R$4)^(ProyectadaTotal!O21-Censal!$C$6),0)</f>
        <v>4164</v>
      </c>
      <c r="S21" s="53">
        <f>ROUND(Censal!$D$2*EXP(ProyectadaTotal!$S$10*(ProyectadaTotal!O21-Censal!$C$2)),0)</f>
        <v>4456</v>
      </c>
      <c r="T21" s="17">
        <f>ROUND(Censal!$D$2*(200+(ProyectadaTotal!$T$10*100*(ProyectadaTotal!O21-Censal!$C$2)))/(200-(ProyectadaTotal!$T$10*100*(ProyectadaTotal!O21-Censal!$C$2))),0)</f>
        <v>2583</v>
      </c>
      <c r="U21" s="9"/>
      <c r="V21" s="9"/>
    </row>
    <row r="22" spans="2:22" x14ac:dyDescent="0.45">
      <c r="B22" s="10" t="str">
        <f t="shared" si="10"/>
        <v>Proyectada</v>
      </c>
      <c r="C22" s="3" t="str">
        <f>Censal!$B$2</f>
        <v>Municipio</v>
      </c>
      <c r="D22" s="53">
        <f t="shared" si="3"/>
        <v>2030</v>
      </c>
      <c r="E22" s="16">
        <f>ROUND($E$4*$D22+$E$5,0)</f>
        <v>4552</v>
      </c>
      <c r="F22" s="16">
        <f>ROUND($F$4*$D22^2+$F$5*$D22+$F$6,0)</f>
        <v>2002</v>
      </c>
      <c r="G22" s="16">
        <f>ROUND($G$4*$D22^3+$G$5*$D22^2+$G$6*$D22+$G$7,0)</f>
        <v>1826</v>
      </c>
      <c r="H22" s="16">
        <f t="shared" si="4"/>
        <v>1826</v>
      </c>
      <c r="I22" s="16">
        <f t="shared" si="5"/>
        <v>1827</v>
      </c>
      <c r="J22" s="16">
        <f t="shared" si="6"/>
        <v>1828</v>
      </c>
      <c r="K22" s="16">
        <f t="shared" si="7"/>
        <v>4570</v>
      </c>
      <c r="L22" s="16">
        <f t="shared" si="8"/>
        <v>4603</v>
      </c>
      <c r="M22" s="17">
        <f t="shared" si="9"/>
        <v>4589</v>
      </c>
      <c r="O22" s="62">
        <f t="shared" si="12"/>
        <v>2030</v>
      </c>
      <c r="P22" s="53">
        <v>2975</v>
      </c>
      <c r="Q22" s="53">
        <f>ROUND(Censal!$D$6+($Q$10*Censal!$D$6*(O22-Censal!$C$6)),0)</f>
        <v>3770</v>
      </c>
      <c r="R22" s="53">
        <f>ROUND(Censal!$D$6*(1+ProyectadaTotal!$R$4)^(ProyectadaTotal!O22-Censal!$C$6),0)</f>
        <v>4042</v>
      </c>
      <c r="S22" s="53">
        <f>ROUND(Censal!$D$2*EXP(ProyectadaTotal!$S$10*(ProyectadaTotal!O22-Censal!$C$2)),0)</f>
        <v>4342</v>
      </c>
      <c r="T22" s="17">
        <f>ROUND(Censal!$D$2*(200+(ProyectadaTotal!$T$10*100*(ProyectadaTotal!O22-Censal!$C$2)))/(200-(ProyectadaTotal!$T$10*100*(ProyectadaTotal!O22-Censal!$C$2))),0)</f>
        <v>2415</v>
      </c>
      <c r="U22" s="9"/>
      <c r="V22" s="9"/>
    </row>
    <row r="23" spans="2:22" x14ac:dyDescent="0.45">
      <c r="B23" s="10" t="str">
        <f t="shared" si="10"/>
        <v>Proyectada</v>
      </c>
      <c r="C23" s="3" t="str">
        <f>Censal!$B$2</f>
        <v>Municipio</v>
      </c>
      <c r="D23" s="53">
        <f t="shared" si="3"/>
        <v>2033</v>
      </c>
      <c r="E23" s="16">
        <f t="shared" ref="E23:E29" si="13">ROUND($E$4*$D23+$E$5,0)</f>
        <v>4380</v>
      </c>
      <c r="F23" s="16">
        <f>ROUND($F$4*$D23^2+$F$5*$D23+$F$6,0)</f>
        <v>1243</v>
      </c>
      <c r="G23" s="16">
        <f t="shared" ref="G23:G29" si="14">ROUND($G$4*$D23^3+$G$5*$D23^2+$G$6*$D23+$G$7,0)</f>
        <v>996</v>
      </c>
      <c r="H23" s="16">
        <f t="shared" si="4"/>
        <v>996</v>
      </c>
      <c r="I23" s="16">
        <f t="shared" si="5"/>
        <v>997</v>
      </c>
      <c r="J23" s="16">
        <f t="shared" si="6"/>
        <v>998</v>
      </c>
      <c r="K23" s="16">
        <f t="shared" si="7"/>
        <v>4401</v>
      </c>
      <c r="L23" s="16">
        <f t="shared" si="8"/>
        <v>4473</v>
      </c>
      <c r="M23" s="17">
        <f t="shared" si="9"/>
        <v>4457</v>
      </c>
      <c r="O23" s="62">
        <f t="shared" si="12"/>
        <v>2033</v>
      </c>
      <c r="P23" s="53">
        <v>3031</v>
      </c>
      <c r="Q23" s="53">
        <f>ROUND(Censal!$D$6+($Q$10*Censal!$D$6*(O23-Censal!$C$6)),0)</f>
        <v>3575</v>
      </c>
      <c r="R23" s="53">
        <f>ROUND(Censal!$D$6*(1+ProyectadaTotal!$R$4)^(ProyectadaTotal!O23-Censal!$C$6),0)</f>
        <v>3924</v>
      </c>
      <c r="S23" s="53">
        <f>ROUND(Censal!$D$2*EXP(ProyectadaTotal!$S$10*(ProyectadaTotal!O23-Censal!$C$2)),0)</f>
        <v>4231</v>
      </c>
      <c r="T23" s="17">
        <f>ROUND(Censal!$D$2*(200+(ProyectadaTotal!$T$10*100*(ProyectadaTotal!O23-Censal!$C$2)))/(200-(ProyectadaTotal!$T$10*100*(ProyectadaTotal!O23-Censal!$C$2))),0)</f>
        <v>2253</v>
      </c>
      <c r="U23" s="9"/>
      <c r="V23" s="9"/>
    </row>
    <row r="24" spans="2:22" x14ac:dyDescent="0.45">
      <c r="B24" s="10" t="str">
        <f t="shared" si="10"/>
        <v>Proyectada</v>
      </c>
      <c r="C24" s="3" t="str">
        <f>Censal!$B$2</f>
        <v>Municipio</v>
      </c>
      <c r="D24" s="53">
        <f t="shared" si="3"/>
        <v>2036</v>
      </c>
      <c r="E24" s="16">
        <f t="shared" si="13"/>
        <v>4208</v>
      </c>
      <c r="F24" s="16">
        <f t="shared" si="11"/>
        <v>433</v>
      </c>
      <c r="G24" s="16">
        <f t="shared" si="14"/>
        <v>103</v>
      </c>
      <c r="H24" s="16">
        <f t="shared" si="4"/>
        <v>103</v>
      </c>
      <c r="I24" s="16">
        <f t="shared" si="5"/>
        <v>104</v>
      </c>
      <c r="J24" s="16">
        <f t="shared" si="6"/>
        <v>105</v>
      </c>
      <c r="K24" s="16">
        <f t="shared" si="7"/>
        <v>4233</v>
      </c>
      <c r="L24" s="16">
        <f t="shared" si="8"/>
        <v>4347</v>
      </c>
      <c r="M24" s="17">
        <f t="shared" si="9"/>
        <v>4329</v>
      </c>
      <c r="O24" s="62">
        <f t="shared" si="12"/>
        <v>2036</v>
      </c>
      <c r="P24" s="53">
        <v>3080</v>
      </c>
      <c r="Q24" s="53">
        <f>ROUND(Censal!$D$6+($Q$10*Censal!$D$6*(O24-Censal!$C$6)),0)</f>
        <v>3380</v>
      </c>
      <c r="R24" s="53">
        <f>ROUND(Censal!$D$6*(1+ProyectadaTotal!$R$4)^(ProyectadaTotal!O24-Censal!$C$6),0)</f>
        <v>3809</v>
      </c>
      <c r="S24" s="53">
        <f>ROUND(Censal!$D$2*EXP(ProyectadaTotal!$S$10*(ProyectadaTotal!O24-Censal!$C$2)),0)</f>
        <v>4123</v>
      </c>
      <c r="T24" s="17">
        <f>ROUND(Censal!$D$2*(200+(ProyectadaTotal!$T$10*100*(ProyectadaTotal!O24-Censal!$C$2)))/(200-(ProyectadaTotal!$T$10*100*(ProyectadaTotal!O24-Censal!$C$2))),0)</f>
        <v>2096</v>
      </c>
      <c r="U24" s="9"/>
      <c r="V24" s="9"/>
    </row>
    <row r="25" spans="2:22" x14ac:dyDescent="0.45">
      <c r="B25" s="10" t="str">
        <f t="shared" si="10"/>
        <v>Proyectada</v>
      </c>
      <c r="C25" s="3" t="str">
        <f>Censal!$B$2</f>
        <v>Municipio</v>
      </c>
      <c r="D25" s="53">
        <f t="shared" si="3"/>
        <v>2039</v>
      </c>
      <c r="E25" s="16">
        <f t="shared" si="13"/>
        <v>4036</v>
      </c>
      <c r="F25" s="16">
        <f t="shared" si="11"/>
        <v>-425</v>
      </c>
      <c r="G25" s="16">
        <f t="shared" si="14"/>
        <v>-854</v>
      </c>
      <c r="H25" s="16">
        <f t="shared" si="4"/>
        <v>-854</v>
      </c>
      <c r="I25" s="16">
        <f t="shared" si="5"/>
        <v>-853</v>
      </c>
      <c r="J25" s="16">
        <f t="shared" si="6"/>
        <v>-852</v>
      </c>
      <c r="K25" s="16">
        <f t="shared" si="7"/>
        <v>4065</v>
      </c>
      <c r="L25" s="16">
        <f t="shared" si="8"/>
        <v>4225</v>
      </c>
      <c r="M25" s="17">
        <f t="shared" si="9"/>
        <v>4204</v>
      </c>
      <c r="O25" s="62">
        <f t="shared" si="12"/>
        <v>2039</v>
      </c>
      <c r="P25" s="53"/>
      <c r="Q25" s="53">
        <f>ROUND(Censal!$D$6+($Q$10*Censal!$D$6*(O25-Censal!$C$6)),0)</f>
        <v>3185</v>
      </c>
      <c r="R25" s="53">
        <f>ROUND(Censal!$D$6*(1+ProyectadaTotal!$R$4)^(ProyectadaTotal!O25-Censal!$C$6),0)</f>
        <v>3698</v>
      </c>
      <c r="S25" s="53">
        <f>ROUND(Censal!$D$2*EXP(ProyectadaTotal!$S$10*(ProyectadaTotal!O25-Censal!$C$2)),0)</f>
        <v>4018</v>
      </c>
      <c r="T25" s="17">
        <f>ROUND(Censal!$D$2*(200+(ProyectadaTotal!$T$10*100*(ProyectadaTotal!O25-Censal!$C$2)))/(200-(ProyectadaTotal!$T$10*100*(ProyectadaTotal!O25-Censal!$C$2))),0)</f>
        <v>1944</v>
      </c>
      <c r="U25" s="9"/>
      <c r="V25" s="9"/>
    </row>
    <row r="26" spans="2:22" x14ac:dyDescent="0.45">
      <c r="B26" s="10" t="str">
        <f t="shared" si="10"/>
        <v>Proyectada</v>
      </c>
      <c r="C26" s="3" t="str">
        <f>Censal!$B$2</f>
        <v>Municipio</v>
      </c>
      <c r="D26" s="53">
        <f t="shared" ref="D26:D29" si="15">D25+$C$17</f>
        <v>2042</v>
      </c>
      <c r="E26" s="16">
        <f t="shared" si="13"/>
        <v>3864</v>
      </c>
      <c r="F26" s="16">
        <f t="shared" si="11"/>
        <v>-1333</v>
      </c>
      <c r="G26" s="16">
        <f t="shared" si="14"/>
        <v>-1875</v>
      </c>
      <c r="H26" s="16">
        <f t="shared" si="4"/>
        <v>-1877</v>
      </c>
      <c r="I26" s="16">
        <f t="shared" si="5"/>
        <v>-1876</v>
      </c>
      <c r="J26" s="16">
        <f t="shared" si="6"/>
        <v>-1875</v>
      </c>
      <c r="K26" s="16">
        <f t="shared" si="7"/>
        <v>3898</v>
      </c>
      <c r="L26" s="16">
        <f t="shared" si="8"/>
        <v>4106</v>
      </c>
      <c r="M26" s="17">
        <f t="shared" si="9"/>
        <v>4083</v>
      </c>
      <c r="O26" s="62">
        <f t="shared" si="12"/>
        <v>2042</v>
      </c>
      <c r="P26" s="53"/>
      <c r="Q26" s="53">
        <f>ROUND(Censal!$D$6+($Q$10*Censal!$D$6*(O26-Censal!$C$6)),0)</f>
        <v>2990</v>
      </c>
      <c r="R26" s="53">
        <f>ROUND(Censal!$D$6*(1+ProyectadaTotal!$R$4)^(ProyectadaTotal!O26-Censal!$C$6),0)</f>
        <v>3590</v>
      </c>
      <c r="S26" s="53">
        <f>ROUND(Censal!$D$2*EXP(ProyectadaTotal!$S$10*(ProyectadaTotal!O26-Censal!$C$2)),0)</f>
        <v>3915</v>
      </c>
      <c r="T26" s="17">
        <f>ROUND(Censal!$D$2*(200+(ProyectadaTotal!$T$10*100*(ProyectadaTotal!O26-Censal!$C$2)))/(200-(ProyectadaTotal!$T$10*100*(ProyectadaTotal!O26-Censal!$C$2))),0)</f>
        <v>1797</v>
      </c>
      <c r="U26" s="9"/>
      <c r="V26" s="9"/>
    </row>
    <row r="27" spans="2:22" x14ac:dyDescent="0.45">
      <c r="B27" s="10" t="str">
        <f t="shared" si="10"/>
        <v>Proyectada</v>
      </c>
      <c r="C27" s="3" t="str">
        <f>Censal!$B$2</f>
        <v>Municipio</v>
      </c>
      <c r="D27" s="53">
        <f t="shared" si="15"/>
        <v>2045</v>
      </c>
      <c r="E27" s="16">
        <f t="shared" si="13"/>
        <v>3693</v>
      </c>
      <c r="F27" s="16">
        <f t="shared" si="11"/>
        <v>-2290</v>
      </c>
      <c r="G27" s="16">
        <f t="shared" si="14"/>
        <v>-2963</v>
      </c>
      <c r="H27" s="16">
        <f t="shared" si="4"/>
        <v>-2965</v>
      </c>
      <c r="I27" s="16">
        <f t="shared" si="5"/>
        <v>-2966</v>
      </c>
      <c r="J27" s="16">
        <f t="shared" si="6"/>
        <v>-2964</v>
      </c>
      <c r="K27" s="16">
        <f t="shared" si="7"/>
        <v>3730</v>
      </c>
      <c r="L27" s="16">
        <f t="shared" si="8"/>
        <v>3991</v>
      </c>
      <c r="M27" s="17">
        <f t="shared" si="9"/>
        <v>3965</v>
      </c>
      <c r="O27" s="62">
        <f t="shared" si="12"/>
        <v>2045</v>
      </c>
      <c r="P27" s="53"/>
      <c r="Q27" s="53">
        <f>ROUND(Censal!$D$6+($Q$10*Censal!$D$6*(O27-Censal!$C$6)),0)</f>
        <v>2795</v>
      </c>
      <c r="R27" s="53">
        <f>ROUND(Censal!$D$6*(1+ProyectadaTotal!$R$4)^(ProyectadaTotal!O27-Censal!$C$6),0)</f>
        <v>3485</v>
      </c>
      <c r="S27" s="53">
        <f>ROUND(Censal!$D$2*EXP(ProyectadaTotal!$S$10*(ProyectadaTotal!O27-Censal!$C$2)),0)</f>
        <v>3815</v>
      </c>
      <c r="T27" s="17">
        <f>ROUND(Censal!$D$2*(200+(ProyectadaTotal!$T$10*100*(ProyectadaTotal!O27-Censal!$C$2)))/(200-(ProyectadaTotal!$T$10*100*(ProyectadaTotal!O27-Censal!$C$2))),0)</f>
        <v>1655</v>
      </c>
      <c r="U27" s="9"/>
      <c r="V27" s="9"/>
    </row>
    <row r="28" spans="2:22" x14ac:dyDescent="0.45">
      <c r="B28" s="10" t="str">
        <f t="shared" si="10"/>
        <v>Proyectada</v>
      </c>
      <c r="C28" s="3" t="str">
        <f>Censal!$B$2</f>
        <v>Municipio</v>
      </c>
      <c r="D28" s="53">
        <f t="shared" si="15"/>
        <v>2048</v>
      </c>
      <c r="E28" s="16">
        <f t="shared" si="13"/>
        <v>3521</v>
      </c>
      <c r="F28" s="16">
        <f t="shared" si="11"/>
        <v>-3296</v>
      </c>
      <c r="G28" s="16">
        <f t="shared" si="14"/>
        <v>-4119</v>
      </c>
      <c r="H28" s="16">
        <f t="shared" si="4"/>
        <v>-4122</v>
      </c>
      <c r="I28" s="16">
        <f t="shared" si="5"/>
        <v>-4123</v>
      </c>
      <c r="J28" s="16">
        <f t="shared" si="6"/>
        <v>-4121</v>
      </c>
      <c r="K28" s="16">
        <f t="shared" si="7"/>
        <v>3563</v>
      </c>
      <c r="L28" s="16">
        <f t="shared" si="8"/>
        <v>3879</v>
      </c>
      <c r="M28" s="17">
        <f t="shared" si="9"/>
        <v>3851</v>
      </c>
      <c r="O28" s="62">
        <f t="shared" si="12"/>
        <v>2048</v>
      </c>
      <c r="P28" s="53"/>
      <c r="Q28" s="53">
        <f>ROUND(Censal!$D$6+($Q$10*Censal!$D$6*(O28-Censal!$C$6)),0)</f>
        <v>2599</v>
      </c>
      <c r="R28" s="53">
        <f>ROUND(Censal!$D$6*(1+ProyectadaTotal!$R$4)^(ProyectadaTotal!O28-Censal!$C$6),0)</f>
        <v>3383</v>
      </c>
      <c r="S28" s="16">
        <f>ROUND(Censal!$D$2*EXP(ProyectadaTotal!$S$10*(ProyectadaTotal!O28-Censal!$C$2)),0)</f>
        <v>3717</v>
      </c>
      <c r="T28" s="17">
        <f>ROUND(Censal!$D$2*(200+(ProyectadaTotal!$T$10*100*(ProyectadaTotal!O28-Censal!$C$2)))/(200-(ProyectadaTotal!$T$10*100*(ProyectadaTotal!O28-Censal!$C$2))),0)</f>
        <v>1517</v>
      </c>
      <c r="U28" s="9"/>
      <c r="V28" s="9"/>
    </row>
    <row r="29" spans="2:22" x14ac:dyDescent="0.45">
      <c r="B29" s="11" t="str">
        <f t="shared" si="10"/>
        <v>Proyectada</v>
      </c>
      <c r="C29" s="4" t="str">
        <f>Censal!$B$2</f>
        <v>Municipio</v>
      </c>
      <c r="D29" s="58">
        <f t="shared" si="15"/>
        <v>2051</v>
      </c>
      <c r="E29" s="56">
        <f t="shared" si="13"/>
        <v>3349</v>
      </c>
      <c r="F29" s="56">
        <f t="shared" si="11"/>
        <v>-4352</v>
      </c>
      <c r="G29" s="56">
        <f t="shared" si="14"/>
        <v>-5342</v>
      </c>
      <c r="H29" s="56">
        <f t="shared" si="4"/>
        <v>-5347</v>
      </c>
      <c r="I29" s="56">
        <f t="shared" si="5"/>
        <v>-5349</v>
      </c>
      <c r="J29" s="56">
        <f t="shared" si="6"/>
        <v>-5348</v>
      </c>
      <c r="K29" s="56">
        <f t="shared" si="7"/>
        <v>3396</v>
      </c>
      <c r="L29" s="56">
        <f t="shared" si="8"/>
        <v>3770</v>
      </c>
      <c r="M29" s="57">
        <f t="shared" si="9"/>
        <v>3740</v>
      </c>
      <c r="O29" s="63">
        <f t="shared" si="12"/>
        <v>2051</v>
      </c>
      <c r="P29" s="56"/>
      <c r="Q29" s="56">
        <f>ROUND(Censal!$D$6+($Q$10*Censal!$D$6*(O29-Censal!$C$6)),0)</f>
        <v>2404</v>
      </c>
      <c r="R29" s="56">
        <f>ROUND(Censal!$D$6*(1+ProyectadaTotal!$R$4)^(ProyectadaTotal!O29-Censal!$C$6),0)</f>
        <v>3284</v>
      </c>
      <c r="S29" s="56">
        <f>ROUND(Censal!$D$2*EXP(ProyectadaTotal!$S$10*(ProyectadaTotal!O29-Censal!$C$2)),0)</f>
        <v>3622</v>
      </c>
      <c r="T29" s="57">
        <f>ROUND(Censal!$D$2*(200+(ProyectadaTotal!$T$10*100*(ProyectadaTotal!O29-Censal!$C$2)))/(200-(ProyectadaTotal!$T$10*100*(ProyectadaTotal!O29-Censal!$C$2))),0)</f>
        <v>1384</v>
      </c>
      <c r="U29" s="9"/>
      <c r="V29" s="9"/>
    </row>
    <row r="30" spans="2:22" x14ac:dyDescent="0.45">
      <c r="D30" s="9"/>
    </row>
    <row r="31" spans="2:22" x14ac:dyDescent="0.45">
      <c r="B31" s="2" t="s">
        <v>64</v>
      </c>
      <c r="D31" s="9"/>
      <c r="O31" s="68">
        <v>1973</v>
      </c>
      <c r="P31" s="69">
        <f>+Censal!D2</f>
        <v>7100</v>
      </c>
      <c r="Q31" s="69">
        <f>ROUND(Censal!$D$6+($Q$10*Censal!$D$6*(O31-Censal!$C$6)),0)</f>
        <v>7478</v>
      </c>
      <c r="R31" s="69">
        <f>ROUND(Censal!$D$6*(1+ProyectadaTotal!$R$4)^(ProyectadaTotal!O31-Censal!$C$6),0)</f>
        <v>7100</v>
      </c>
      <c r="S31" s="69">
        <f>ROUND(Censal!$D$2*EXP(ProyectadaTotal!$S$10*(ProyectadaTotal!O31-Censal!$C$2)),0)</f>
        <v>7100</v>
      </c>
      <c r="T31" s="70">
        <f>ROUND(Censal!$D$2*(200+(ProyectadaTotal!$T$10*100*(ProyectadaTotal!O31-Censal!$C$2)))/(200-(ProyectadaTotal!$T$10*100*(ProyectadaTotal!O31-Censal!$C$2))),0)</f>
        <v>7100</v>
      </c>
    </row>
    <row r="32" spans="2:22" x14ac:dyDescent="0.45">
      <c r="B32" s="2" t="str">
        <f>_xlfn.CONCAT(Censal!A2," - Población censal ",Censal!B2," y población proyectada a ",D29-D19," años con diferentes tendencias")</f>
        <v>DANE - Población censal Municipio y población proyectada a 30 años con diferentes tendencias</v>
      </c>
      <c r="D32" s="9"/>
      <c r="O32" s="71">
        <v>1985</v>
      </c>
      <c r="P32" s="72">
        <f>+Censal!D3</f>
        <v>7371</v>
      </c>
      <c r="Q32" s="72">
        <f>ROUND(Censal!$D$6+($Q$10*Censal!$D$6*(O32-Censal!$C$6)),0)</f>
        <v>6698</v>
      </c>
      <c r="R32" s="72">
        <f>ROUND(Censal!$D$6*(1+ProyectadaTotal!$R$4)^(ProyectadaTotal!O32-Censal!$C$6),0)</f>
        <v>6306</v>
      </c>
      <c r="S32" s="72">
        <f>ROUND(Censal!$D$2*EXP(ProyectadaTotal!$S$10*(ProyectadaTotal!O32-Censal!$C$2)),0)</f>
        <v>6402</v>
      </c>
      <c r="T32" s="73">
        <f>ROUND(Censal!$D$2*(200+(ProyectadaTotal!$T$10*100*(ProyectadaTotal!O32-Censal!$C$2)))/(200-(ProyectadaTotal!$T$10*100*(ProyectadaTotal!O32-Censal!$C$2))),0)</f>
        <v>5766</v>
      </c>
    </row>
    <row r="33" spans="2:20" x14ac:dyDescent="0.45">
      <c r="B33" s="2" t="str">
        <f>_xlfn.CONCAT(Censal!A2," - Población censal ",Censal!B2," y población proyectada a ",D29-D19," años para el ajuste seleccionado")</f>
        <v>DANE - Población censal Municipio y población proyectada a 30 años para el ajuste seleccionado</v>
      </c>
      <c r="D33" s="9"/>
      <c r="O33" s="71">
        <v>1993</v>
      </c>
      <c r="P33" s="72">
        <f>+Censal!D4</f>
        <v>7439</v>
      </c>
      <c r="Q33" s="72">
        <f>ROUND(Censal!$D$6+($Q$10*Censal!$D$6*(O33-Censal!$C$6)),0)</f>
        <v>6177</v>
      </c>
      <c r="R33" s="72">
        <f>ROUND(Censal!$D$6*(1+ProyectadaTotal!$R$4)^(ProyectadaTotal!O33-Censal!$C$6),0)</f>
        <v>5827</v>
      </c>
      <c r="S33" s="72">
        <f>ROUND(Censal!$D$2*EXP(ProyectadaTotal!$S$10*(ProyectadaTotal!O33-Censal!$C$2)),0)</f>
        <v>5975</v>
      </c>
      <c r="T33" s="73">
        <f>ROUND(Censal!$D$2*(200+(ProyectadaTotal!$T$10*100*(ProyectadaTotal!O33-Censal!$C$2)))/(200-(ProyectadaTotal!$T$10*100*(ProyectadaTotal!O33-Censal!$C$2))),0)</f>
        <v>5008</v>
      </c>
    </row>
    <row r="34" spans="2:20" x14ac:dyDescent="0.45">
      <c r="B34" s="2" t="str">
        <f>_xlfn.CONCAT(Censal!A2," - Población censal municipal")</f>
        <v>DANE - Población censal municipal</v>
      </c>
      <c r="D34" s="9"/>
      <c r="O34" s="71">
        <v>2005</v>
      </c>
      <c r="P34" s="72">
        <f>+Censal!D5</f>
        <v>6383</v>
      </c>
      <c r="Q34" s="72">
        <f>ROUND(Censal!$D$6+($Q$10*Censal!$D$6*(O34-Censal!$C$6)),0)</f>
        <v>5397</v>
      </c>
      <c r="R34" s="72">
        <f>ROUND(Censal!$D$6*(1+ProyectadaTotal!$R$4)^(ProyectadaTotal!O34-Censal!$C$6),0)</f>
        <v>5175</v>
      </c>
      <c r="S34" s="72">
        <f>ROUND(Censal!$D$2*EXP(ProyectadaTotal!$S$10*(ProyectadaTotal!O34-Censal!$C$2)),0)</f>
        <v>5387</v>
      </c>
      <c r="T34" s="73">
        <f>ROUND(Censal!$D$2*(200+(ProyectadaTotal!$T$10*100*(ProyectadaTotal!O34-Censal!$C$2)))/(200-(ProyectadaTotal!$T$10*100*(ProyectadaTotal!O34-Censal!$C$2))),0)</f>
        <v>4025</v>
      </c>
    </row>
    <row r="35" spans="2:20" x14ac:dyDescent="0.45">
      <c r="D35" s="9"/>
      <c r="O35" s="74">
        <v>2018</v>
      </c>
      <c r="P35" s="75">
        <f>+Censal!D6</f>
        <v>4551</v>
      </c>
      <c r="Q35" s="75">
        <f>ROUND(Censal!$D$6+($Q$10*Censal!$D$6*(O35-Censal!$C$6)),0)</f>
        <v>4551</v>
      </c>
      <c r="R35" s="75">
        <f>ROUND(Censal!$D$6*(1+ProyectadaTotal!$R$4)^(ProyectadaTotal!O35-Censal!$C$6),0)</f>
        <v>4551</v>
      </c>
      <c r="S35" s="75">
        <f>ROUND(Censal!$D$2*EXP(ProyectadaTotal!$S$10*(ProyectadaTotal!O35-Censal!$C$2)),0)</f>
        <v>4816</v>
      </c>
      <c r="T35" s="76">
        <f>ROUND(Censal!$D$2*(200+(ProyectadaTotal!$T$10*100*(ProyectadaTotal!O35-Censal!$C$2)))/(200-(ProyectadaTotal!$T$10*100*(ProyectadaTotal!O35-Censal!$C$2))),0)</f>
        <v>3125</v>
      </c>
    </row>
    <row r="36" spans="2:20" x14ac:dyDescent="0.45">
      <c r="D36" s="9"/>
    </row>
    <row r="37" spans="2:20" x14ac:dyDescent="0.45">
      <c r="B37" s="2" t="s">
        <v>82</v>
      </c>
      <c r="D37" s="9"/>
    </row>
    <row r="38" spans="2:20" x14ac:dyDescent="0.45">
      <c r="D38" s="9"/>
    </row>
  </sheetData>
  <mergeCells count="1">
    <mergeCell ref="B3:C1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5B67-A9CB-4F86-9CEB-D63DBE20F700}">
  <dimension ref="B2:G23"/>
  <sheetViews>
    <sheetView showGridLines="0" zoomScale="130" zoomScaleNormal="130" workbookViewId="0">
      <pane ySplit="2" topLeftCell="A3" activePane="bottomLeft" state="frozen"/>
      <selection pane="bottomLeft" activeCell="F7" sqref="F7"/>
    </sheetView>
  </sheetViews>
  <sheetFormatPr defaultColWidth="9.265625" defaultRowHeight="16.5" x14ac:dyDescent="0.45"/>
  <cols>
    <col min="1" max="1" width="2.73046875" style="36" customWidth="1"/>
    <col min="2" max="2" width="20.3984375" style="36" customWidth="1"/>
    <col min="3" max="3" width="9.265625" style="36"/>
    <col min="4" max="4" width="5" style="36" customWidth="1"/>
    <col min="5" max="5" width="18.3984375" style="36" customWidth="1"/>
    <col min="6" max="6" width="9.265625" style="36"/>
    <col min="7" max="7" width="20.3984375" style="36" customWidth="1"/>
    <col min="8" max="8" width="2.73046875" style="36" customWidth="1"/>
    <col min="9" max="16384" width="9.265625" style="36"/>
  </cols>
  <sheetData>
    <row r="2" spans="2:7" x14ac:dyDescent="0.45">
      <c r="B2" s="89" t="s">
        <v>54</v>
      </c>
      <c r="C2" s="89"/>
      <c r="D2" s="89"/>
      <c r="E2" s="89"/>
      <c r="F2" s="89"/>
      <c r="G2" s="89"/>
    </row>
    <row r="4" spans="2:7" ht="24" x14ac:dyDescent="0.45">
      <c r="B4" s="37" t="s">
        <v>40</v>
      </c>
      <c r="C4" s="24">
        <v>17</v>
      </c>
      <c r="D4" s="25"/>
      <c r="E4" s="25"/>
      <c r="F4" s="26">
        <v>30</v>
      </c>
      <c r="G4" s="36" t="s">
        <v>42</v>
      </c>
    </row>
    <row r="5" spans="2:7" ht="18.75" x14ac:dyDescent="0.45">
      <c r="B5" s="37"/>
      <c r="C5" s="90" t="s">
        <v>45</v>
      </c>
      <c r="D5" s="91"/>
      <c r="E5" s="91"/>
      <c r="F5" s="92"/>
    </row>
    <row r="6" spans="2:7" ht="26.25" x14ac:dyDescent="0.45">
      <c r="B6" s="37"/>
      <c r="C6" s="27"/>
      <c r="D6" s="87">
        <f>MAX(Censal!D2:D95)</f>
        <v>7439</v>
      </c>
      <c r="E6" s="88"/>
      <c r="F6" s="28"/>
    </row>
    <row r="7" spans="2:7" ht="24" x14ac:dyDescent="0.45">
      <c r="B7" s="37" t="s">
        <v>41</v>
      </c>
      <c r="C7" s="29">
        <v>18</v>
      </c>
      <c r="D7" s="30"/>
      <c r="E7" s="30"/>
      <c r="F7" s="31">
        <v>25</v>
      </c>
      <c r="G7" s="36" t="s">
        <v>43</v>
      </c>
    </row>
    <row r="8" spans="2:7" ht="20.25" x14ac:dyDescent="0.45">
      <c r="B8" s="37"/>
      <c r="C8" s="38" t="s">
        <v>39</v>
      </c>
      <c r="D8" s="38"/>
      <c r="E8" s="38"/>
      <c r="F8" s="38" t="s">
        <v>39</v>
      </c>
    </row>
    <row r="9" spans="2:7" ht="33" x14ac:dyDescent="0.45">
      <c r="B9" s="35" t="s">
        <v>58</v>
      </c>
      <c r="C9" s="33">
        <f>C4-C7</f>
        <v>-1</v>
      </c>
      <c r="F9" s="32">
        <f>F4-F7</f>
        <v>5</v>
      </c>
      <c r="G9" s="34" t="s">
        <v>57</v>
      </c>
    </row>
    <row r="10" spans="2:7" ht="20.25" x14ac:dyDescent="0.45">
      <c r="C10" s="38" t="s">
        <v>39</v>
      </c>
      <c r="D10" s="38"/>
      <c r="E10" s="38"/>
      <c r="F10" s="38" t="s">
        <v>39</v>
      </c>
    </row>
    <row r="11" spans="2:7" x14ac:dyDescent="0.45">
      <c r="C11" s="93" t="s">
        <v>44</v>
      </c>
      <c r="D11" s="94"/>
      <c r="E11" s="94"/>
      <c r="F11" s="95"/>
    </row>
    <row r="12" spans="2:7" ht="24" x14ac:dyDescent="0.45">
      <c r="C12" s="83">
        <f>C9+F9</f>
        <v>4</v>
      </c>
      <c r="D12" s="84"/>
      <c r="E12" s="84"/>
      <c r="F12" s="85"/>
    </row>
    <row r="13" spans="2:7" ht="20.25" x14ac:dyDescent="0.45">
      <c r="C13" s="38" t="s">
        <v>39</v>
      </c>
      <c r="D13" s="38"/>
      <c r="E13" s="38"/>
      <c r="F13" s="38" t="s">
        <v>39</v>
      </c>
    </row>
    <row r="14" spans="2:7" ht="37.5" x14ac:dyDescent="0.45">
      <c r="B14" s="40" t="s">
        <v>55</v>
      </c>
      <c r="C14" s="41">
        <f>D6+C12</f>
        <v>7443</v>
      </c>
      <c r="F14" s="42">
        <f>(D6+C14)/2</f>
        <v>7441</v>
      </c>
      <c r="G14" s="39" t="s">
        <v>56</v>
      </c>
    </row>
    <row r="15" spans="2:7" ht="20.25" x14ac:dyDescent="0.45">
      <c r="C15" s="38"/>
      <c r="D15" s="38"/>
      <c r="E15" s="38"/>
      <c r="F15" s="38"/>
    </row>
    <row r="16" spans="2:7" s="44" customFormat="1" ht="15.4" x14ac:dyDescent="0.45">
      <c r="B16" s="44" t="s">
        <v>47</v>
      </c>
      <c r="C16" s="45"/>
      <c r="D16" s="45"/>
      <c r="E16" s="45"/>
      <c r="F16" s="45"/>
    </row>
    <row r="17" spans="2:7" s="43" customFormat="1" ht="15.4" x14ac:dyDescent="0.45">
      <c r="B17" s="86" t="s">
        <v>46</v>
      </c>
      <c r="C17" s="86"/>
      <c r="D17" s="86"/>
      <c r="E17" s="86"/>
      <c r="F17" s="86"/>
      <c r="G17" s="64">
        <f>(C12/F14)*1000</f>
        <v>0.53756215562424403</v>
      </c>
    </row>
    <row r="18" spans="2:7" s="43" customFormat="1" ht="15.4" x14ac:dyDescent="0.45">
      <c r="B18" s="86" t="s">
        <v>49</v>
      </c>
      <c r="C18" s="86"/>
      <c r="D18" s="86"/>
      <c r="E18" s="86"/>
      <c r="F18" s="86"/>
      <c r="G18" s="64">
        <f>(C4/F14)*1000</f>
        <v>2.2846391614030375</v>
      </c>
    </row>
    <row r="19" spans="2:7" s="43" customFormat="1" ht="15.4" x14ac:dyDescent="0.45">
      <c r="B19" s="86" t="s">
        <v>50</v>
      </c>
      <c r="C19" s="86"/>
      <c r="D19" s="86"/>
      <c r="E19" s="86"/>
      <c r="F19" s="86"/>
      <c r="G19" s="64">
        <f>(C7/F14)*1000</f>
        <v>2.4190297003090979</v>
      </c>
    </row>
    <row r="20" spans="2:7" s="43" customFormat="1" ht="15.4" x14ac:dyDescent="0.45">
      <c r="B20" s="86" t="s">
        <v>48</v>
      </c>
      <c r="C20" s="86"/>
      <c r="D20" s="86"/>
      <c r="E20" s="86"/>
      <c r="F20" s="86"/>
      <c r="G20" s="64">
        <f>G18-G19</f>
        <v>-0.13439053890606045</v>
      </c>
    </row>
    <row r="21" spans="2:7" x14ac:dyDescent="0.45">
      <c r="B21" s="86" t="s">
        <v>51</v>
      </c>
      <c r="C21" s="86"/>
      <c r="D21" s="86"/>
      <c r="E21" s="86"/>
      <c r="F21" s="86"/>
      <c r="G21" s="64">
        <f>(F4/F14)*1000</f>
        <v>4.0317161671818305</v>
      </c>
    </row>
    <row r="22" spans="2:7" ht="17.100000000000001" customHeight="1" x14ac:dyDescent="0.45">
      <c r="B22" s="86" t="s">
        <v>52</v>
      </c>
      <c r="C22" s="86"/>
      <c r="D22" s="86"/>
      <c r="E22" s="86"/>
      <c r="F22" s="86"/>
      <c r="G22" s="64">
        <f>(F7/F14)*1000</f>
        <v>3.3597634726515255</v>
      </c>
    </row>
    <row r="23" spans="2:7" x14ac:dyDescent="0.45">
      <c r="B23" s="86" t="s">
        <v>53</v>
      </c>
      <c r="C23" s="86"/>
      <c r="D23" s="86"/>
      <c r="E23" s="86"/>
      <c r="F23" s="86"/>
      <c r="G23" s="64">
        <f>G21-G22</f>
        <v>0.67195269453030493</v>
      </c>
    </row>
  </sheetData>
  <mergeCells count="12">
    <mergeCell ref="B19:F19"/>
    <mergeCell ref="B20:F20"/>
    <mergeCell ref="B21:F21"/>
    <mergeCell ref="B22:F22"/>
    <mergeCell ref="B23:F23"/>
    <mergeCell ref="C12:F12"/>
    <mergeCell ref="B17:F17"/>
    <mergeCell ref="B18:F18"/>
    <mergeCell ref="D6:E6"/>
    <mergeCell ref="B2:G2"/>
    <mergeCell ref="C5:F5"/>
    <mergeCell ref="C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C757-E655-4AB9-91FA-E1AE22FE7E6A}">
  <dimension ref="A1:D18"/>
  <sheetViews>
    <sheetView showGridLines="0" zoomScale="145" zoomScaleNormal="145" workbookViewId="0">
      <pane ySplit="1" topLeftCell="A2" activePane="bottomLeft" state="frozen"/>
      <selection pane="bottomLeft" activeCell="D8" sqref="D8"/>
    </sheetView>
  </sheetViews>
  <sheetFormatPr defaultColWidth="9.265625" defaultRowHeight="16.5" x14ac:dyDescent="0.45"/>
  <cols>
    <col min="1" max="1" width="14.265625" style="2" customWidth="1"/>
    <col min="2" max="2" width="11.73046875" style="2" customWidth="1"/>
    <col min="3" max="3" width="8.265625" style="2" customWidth="1"/>
    <col min="4" max="4" width="10.73046875" style="2" customWidth="1"/>
    <col min="5" max="16384" width="9.265625" style="2"/>
  </cols>
  <sheetData>
    <row r="1" spans="1:4" x14ac:dyDescent="0.45">
      <c r="A1" s="6" t="str">
        <f>Censal!A1</f>
        <v>Fuente</v>
      </c>
      <c r="B1" s="6" t="str">
        <f>Censal!B1</f>
        <v>Zona</v>
      </c>
      <c r="C1" s="6" t="str">
        <f>Censal!C1</f>
        <v>Fecha</v>
      </c>
      <c r="D1" s="6" t="str">
        <f>Censal!D1</f>
        <v>PTotal</v>
      </c>
    </row>
    <row r="2" spans="1:4" x14ac:dyDescent="0.45">
      <c r="A2" s="2" t="str">
        <f>Censal!A2</f>
        <v>DANE</v>
      </c>
      <c r="B2" s="2" t="str">
        <f>Censal!B2</f>
        <v>Municipio</v>
      </c>
      <c r="C2" s="2">
        <f>Censal!C2</f>
        <v>1973</v>
      </c>
      <c r="D2" s="2">
        <f>Censal!D2</f>
        <v>7100</v>
      </c>
    </row>
    <row r="3" spans="1:4" x14ac:dyDescent="0.45">
      <c r="A3" s="2" t="str">
        <f>Censal!A3</f>
        <v>DANE</v>
      </c>
      <c r="B3" s="2" t="str">
        <f>Censal!B3</f>
        <v>Municipio</v>
      </c>
      <c r="C3" s="2">
        <f>Censal!C3</f>
        <v>1985</v>
      </c>
      <c r="D3" s="2">
        <f>Censal!D3</f>
        <v>7371</v>
      </c>
    </row>
    <row r="4" spans="1:4" x14ac:dyDescent="0.45">
      <c r="A4" s="2" t="str">
        <f>Censal!A4</f>
        <v>DANE</v>
      </c>
      <c r="B4" s="2" t="str">
        <f>Censal!B4</f>
        <v>Municipio</v>
      </c>
      <c r="C4" s="2">
        <f>Censal!C4</f>
        <v>1993</v>
      </c>
      <c r="D4" s="2">
        <f>Censal!D4</f>
        <v>7439</v>
      </c>
    </row>
    <row r="5" spans="1:4" x14ac:dyDescent="0.45">
      <c r="A5" s="2" t="str">
        <f>Censal!A5</f>
        <v>DANE</v>
      </c>
      <c r="B5" s="2" t="str">
        <f>Censal!B5</f>
        <v>Municipio</v>
      </c>
      <c r="C5" s="2">
        <f>Censal!C5</f>
        <v>2005</v>
      </c>
      <c r="D5" s="2">
        <f>Censal!D5</f>
        <v>6383</v>
      </c>
    </row>
    <row r="6" spans="1:4" x14ac:dyDescent="0.45">
      <c r="A6" s="2" t="str">
        <f>Censal!A6</f>
        <v>DANE</v>
      </c>
      <c r="B6" s="2" t="str">
        <f>Censal!B6</f>
        <v>Municipio</v>
      </c>
      <c r="C6" s="2">
        <f>Censal!C6</f>
        <v>2018</v>
      </c>
      <c r="D6" s="2">
        <f>Censal!D6</f>
        <v>4551</v>
      </c>
    </row>
    <row r="7" spans="1:4" x14ac:dyDescent="0.45">
      <c r="A7" s="2" t="str">
        <f>Censal!A6</f>
        <v>DANE</v>
      </c>
      <c r="B7" s="2" t="str">
        <f>Censal!B6</f>
        <v>Municipio</v>
      </c>
      <c r="C7" s="2">
        <f>Censal!C6</f>
        <v>2018</v>
      </c>
      <c r="D7" s="2">
        <f>Censal!D6</f>
        <v>4551</v>
      </c>
    </row>
    <row r="8" spans="1:4" x14ac:dyDescent="0.45">
      <c r="A8" s="2" t="str">
        <f>ProyectadaTotal!B19</f>
        <v>Proyectada</v>
      </c>
      <c r="B8" s="2" t="str">
        <f>ProyectadaTotal!C19</f>
        <v>Municipio</v>
      </c>
      <c r="C8" s="2">
        <f>ProyectadaTotal!D19</f>
        <v>2021</v>
      </c>
      <c r="D8" s="9">
        <f>+AVERAGE(ProyectadaTotal!K19,ProyectadaTotal!Q19)</f>
        <v>4716.5</v>
      </c>
    </row>
    <row r="9" spans="1:4" x14ac:dyDescent="0.45">
      <c r="A9" s="2" t="str">
        <f>ProyectadaTotal!B20</f>
        <v>Proyectada</v>
      </c>
      <c r="B9" s="2" t="str">
        <f>ProyectadaTotal!C20</f>
        <v>Municipio</v>
      </c>
      <c r="C9" s="2">
        <f>ProyectadaTotal!D20</f>
        <v>2024</v>
      </c>
      <c r="D9" s="9">
        <f>+AVERAGE(ProyectadaTotal!K20,ProyectadaTotal!Q20)</f>
        <v>4534.5</v>
      </c>
    </row>
    <row r="10" spans="1:4" x14ac:dyDescent="0.45">
      <c r="A10" s="2" t="str">
        <f>ProyectadaTotal!B21</f>
        <v>Proyectada</v>
      </c>
      <c r="B10" s="2" t="str">
        <f>ProyectadaTotal!C21</f>
        <v>Municipio</v>
      </c>
      <c r="C10" s="2">
        <f>ProyectadaTotal!D21</f>
        <v>2027</v>
      </c>
      <c r="D10" s="9">
        <f>+AVERAGE(ProyectadaTotal!K21,ProyectadaTotal!Q21)</f>
        <v>4352.5</v>
      </c>
    </row>
    <row r="11" spans="1:4" x14ac:dyDescent="0.45">
      <c r="A11" s="2" t="str">
        <f>ProyectadaTotal!B22</f>
        <v>Proyectada</v>
      </c>
      <c r="B11" s="2" t="str">
        <f>ProyectadaTotal!C22</f>
        <v>Municipio</v>
      </c>
      <c r="C11" s="2">
        <f>ProyectadaTotal!D22</f>
        <v>2030</v>
      </c>
      <c r="D11" s="9">
        <f>+AVERAGE(ProyectadaTotal!K22,ProyectadaTotal!Q22)</f>
        <v>4170</v>
      </c>
    </row>
    <row r="12" spans="1:4" x14ac:dyDescent="0.45">
      <c r="A12" s="2" t="str">
        <f>ProyectadaTotal!B23</f>
        <v>Proyectada</v>
      </c>
      <c r="B12" s="2" t="str">
        <f>ProyectadaTotal!C23</f>
        <v>Municipio</v>
      </c>
      <c r="C12" s="2">
        <f>ProyectadaTotal!D23</f>
        <v>2033</v>
      </c>
      <c r="D12" s="9">
        <f>+AVERAGE(ProyectadaTotal!K23,ProyectadaTotal!Q23)</f>
        <v>3988</v>
      </c>
    </row>
    <row r="13" spans="1:4" x14ac:dyDescent="0.45">
      <c r="A13" s="2" t="str">
        <f>ProyectadaTotal!B24</f>
        <v>Proyectada</v>
      </c>
      <c r="B13" s="2" t="str">
        <f>ProyectadaTotal!C24</f>
        <v>Municipio</v>
      </c>
      <c r="C13" s="2">
        <f>ProyectadaTotal!D24</f>
        <v>2036</v>
      </c>
      <c r="D13" s="9">
        <f>+AVERAGE(ProyectadaTotal!K24,ProyectadaTotal!Q24)</f>
        <v>3806.5</v>
      </c>
    </row>
    <row r="14" spans="1:4" x14ac:dyDescent="0.45">
      <c r="A14" s="2" t="str">
        <f>ProyectadaTotal!B25</f>
        <v>Proyectada</v>
      </c>
      <c r="B14" s="2" t="str">
        <f>ProyectadaTotal!C25</f>
        <v>Municipio</v>
      </c>
      <c r="C14" s="2">
        <f>ProyectadaTotal!D25</f>
        <v>2039</v>
      </c>
      <c r="D14" s="9">
        <f>+AVERAGE(ProyectadaTotal!K25,ProyectadaTotal!Q25)</f>
        <v>3625</v>
      </c>
    </row>
    <row r="15" spans="1:4" x14ac:dyDescent="0.45">
      <c r="A15" s="2" t="str">
        <f>ProyectadaTotal!B26</f>
        <v>Proyectada</v>
      </c>
      <c r="B15" s="2" t="str">
        <f>ProyectadaTotal!C26</f>
        <v>Municipio</v>
      </c>
      <c r="C15" s="2">
        <f>ProyectadaTotal!D26</f>
        <v>2042</v>
      </c>
      <c r="D15" s="9">
        <f>+AVERAGE(ProyectadaTotal!K26,ProyectadaTotal!Q26)</f>
        <v>3444</v>
      </c>
    </row>
    <row r="16" spans="1:4" x14ac:dyDescent="0.45">
      <c r="A16" s="2" t="str">
        <f>ProyectadaTotal!B27</f>
        <v>Proyectada</v>
      </c>
      <c r="B16" s="2" t="str">
        <f>ProyectadaTotal!C27</f>
        <v>Municipio</v>
      </c>
      <c r="C16" s="2">
        <f>ProyectadaTotal!D27</f>
        <v>2045</v>
      </c>
      <c r="D16" s="9">
        <f>+AVERAGE(ProyectadaTotal!K27,ProyectadaTotal!Q27)</f>
        <v>3262.5</v>
      </c>
    </row>
    <row r="17" spans="1:4" x14ac:dyDescent="0.45">
      <c r="A17" s="2" t="str">
        <f>ProyectadaTotal!B28</f>
        <v>Proyectada</v>
      </c>
      <c r="B17" s="2" t="str">
        <f>ProyectadaTotal!C28</f>
        <v>Municipio</v>
      </c>
      <c r="C17" s="2">
        <f>ProyectadaTotal!D28</f>
        <v>2048</v>
      </c>
      <c r="D17" s="9">
        <f>+AVERAGE(ProyectadaTotal!K28,ProyectadaTotal!Q28)</f>
        <v>3081</v>
      </c>
    </row>
    <row r="18" spans="1:4" x14ac:dyDescent="0.45">
      <c r="A18" s="2" t="str">
        <f>ProyectadaTotal!B29</f>
        <v>Proyectada</v>
      </c>
      <c r="B18" s="2" t="str">
        <f>ProyectadaTotal!C29</f>
        <v>Municipio</v>
      </c>
      <c r="C18" s="2">
        <f>ProyectadaTotal!D29</f>
        <v>2051</v>
      </c>
      <c r="D18" s="9">
        <f>+AVERAGE(ProyectadaTotal!K29,ProyectadaTotal!Q29)</f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Censal</vt:lpstr>
      <vt:lpstr>ProyectadaTotal</vt:lpstr>
      <vt:lpstr>DinamicaDemografica</vt:lpstr>
      <vt:lpstr>PoblacionGIS</vt:lpstr>
      <vt:lpstr>ProyectadaTotalChart</vt:lpstr>
      <vt:lpstr>CensalChart</vt:lpstr>
      <vt:lpstr>PoblacionGISChart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2026-04-01T21:24:37Z</dcterms:modified>
</cp:coreProperties>
</file>