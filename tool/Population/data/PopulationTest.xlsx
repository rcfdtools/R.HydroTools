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HydroTools\tool\Population\data\"/>
    </mc:Choice>
  </mc:AlternateContent>
  <xr:revisionPtr revIDLastSave="0" documentId="13_ncr:1_{A4A51987-A10E-4B85-9D1E-34D0F28B18CE}" xr6:coauthVersionLast="47" xr6:coauthVersionMax="47" xr10:uidLastSave="{00000000-0000-0000-0000-000000000000}"/>
  <bookViews>
    <workbookView xWindow="-28898" yWindow="6368" windowWidth="28996" windowHeight="15675" xr2:uid="{1806D99B-D834-4FFC-97CD-8FB49E502DB0}"/>
  </bookViews>
  <sheets>
    <sheet name="Population" sheetId="1" r:id="rId1"/>
  </sheets>
  <definedNames>
    <definedName name="_xlnm._FilterDatabase" localSheetId="0" hidden="1">Population!$A$1:$K$6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K5" i="1" s="1"/>
  <c r="J3" i="1"/>
  <c r="K3" i="1" s="1"/>
</calcChain>
</file>

<file path=xl/sharedStrings.xml><?xml version="1.0" encoding="utf-8"?>
<sst xmlns="http://schemas.openxmlformats.org/spreadsheetml/2006/main" count="77" uniqueCount="25">
  <si>
    <t>DANE</t>
  </si>
  <si>
    <t>25899</t>
  </si>
  <si>
    <t>Zipaquirá</t>
  </si>
  <si>
    <t>25</t>
  </si>
  <si>
    <t>Cundinamarca</t>
  </si>
  <si>
    <t>Colombia</t>
  </si>
  <si>
    <t>Source</t>
  </si>
  <si>
    <t>Year</t>
  </si>
  <si>
    <t>CountyID</t>
  </si>
  <si>
    <t>CountyName</t>
  </si>
  <si>
    <t>StateID</t>
  </si>
  <si>
    <t>StateName</t>
  </si>
  <si>
    <t>PTotal</t>
  </si>
  <si>
    <t>PUrban</t>
  </si>
  <si>
    <t>PRural</t>
  </si>
  <si>
    <t>Notes</t>
  </si>
  <si>
    <t>DANE old reports. PUrban as 85% from total based on oficial census data.</t>
  </si>
  <si>
    <t>CountryName</t>
  </si>
  <si>
    <t>CountryID</t>
  </si>
  <si>
    <t>CO</t>
  </si>
  <si>
    <t>15667</t>
  </si>
  <si>
    <t>San Luis de Gaceno</t>
  </si>
  <si>
    <t>15</t>
  </si>
  <si>
    <t>Boyacá</t>
  </si>
  <si>
    <t>San Luis De Gaceno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</si>
</sst>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48B6C-D14F-4E94-B3A5-8F6624F8A8E2}">
  <dimension ref="A1:L10"/>
  <sheetViews>
    <sheetView tabSelected="1" zoomScale="130" zoomScaleNormal="130" workbookViewId="0">
      <pane ySplit="1" topLeftCell="A2" activePane="bottomLeft" state="frozen"/>
      <selection pane="bottomLeft" activeCell="G15" sqref="G15"/>
    </sheetView>
  </sheetViews>
  <sheetFormatPr defaultRowHeight="16.5" x14ac:dyDescent="0.6"/>
  <cols>
    <col min="1" max="3" width="9.06640625" style="1"/>
    <col min="4" max="4" width="16.33203125" style="1" customWidth="1"/>
    <col min="5" max="5" width="9.06640625" style="1"/>
    <col min="6" max="6" width="20" style="1" customWidth="1"/>
    <col min="7" max="7" width="9.06640625" style="1"/>
    <col min="8" max="8" width="16.33203125" style="1" customWidth="1"/>
    <col min="9" max="11" width="9.06640625" style="1"/>
    <col min="12" max="12" width="61.59765625" style="1" bestFit="1" customWidth="1"/>
    <col min="13" max="16384" width="9.06640625" style="1"/>
  </cols>
  <sheetData>
    <row r="1" spans="1:12" x14ac:dyDescent="0.6">
      <c r="A1" s="1" t="s">
        <v>6</v>
      </c>
      <c r="B1" s="1" t="s">
        <v>7</v>
      </c>
      <c r="C1" s="1" t="s">
        <v>18</v>
      </c>
      <c r="D1" s="1" t="s">
        <v>17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</row>
    <row r="2" spans="1:12" x14ac:dyDescent="0.6">
      <c r="A2" s="1" t="s">
        <v>0</v>
      </c>
      <c r="B2" s="1">
        <v>1993</v>
      </c>
      <c r="C2" s="1" t="s">
        <v>19</v>
      </c>
      <c r="D2" s="1" t="s">
        <v>5</v>
      </c>
      <c r="E2" s="1" t="s">
        <v>1</v>
      </c>
      <c r="F2" s="1" t="s">
        <v>2</v>
      </c>
      <c r="G2" s="1" t="s">
        <v>3</v>
      </c>
      <c r="H2" s="1" t="s">
        <v>4</v>
      </c>
      <c r="I2" s="1">
        <v>69695</v>
      </c>
      <c r="J2" s="1">
        <v>60585</v>
      </c>
      <c r="K2" s="1">
        <v>9110</v>
      </c>
    </row>
    <row r="3" spans="1:12" x14ac:dyDescent="0.6">
      <c r="A3" s="1" t="s">
        <v>0</v>
      </c>
      <c r="B3" s="1">
        <v>1995</v>
      </c>
      <c r="C3" s="1" t="s">
        <v>19</v>
      </c>
      <c r="D3" s="1" t="s">
        <v>5</v>
      </c>
      <c r="E3" s="1" t="s">
        <v>1</v>
      </c>
      <c r="F3" s="1" t="s">
        <v>2</v>
      </c>
      <c r="G3" s="1" t="s">
        <v>3</v>
      </c>
      <c r="H3" s="1" t="s">
        <v>4</v>
      </c>
      <c r="I3" s="1">
        <v>78923</v>
      </c>
      <c r="J3" s="1">
        <f>ROUND(I3*0.85,0)</f>
        <v>67085</v>
      </c>
      <c r="K3" s="1">
        <f>I3-J3</f>
        <v>11838</v>
      </c>
      <c r="L3" s="1" t="s">
        <v>16</v>
      </c>
    </row>
    <row r="4" spans="1:12" x14ac:dyDescent="0.6">
      <c r="A4" s="1" t="s">
        <v>0</v>
      </c>
      <c r="B4" s="1">
        <v>2005</v>
      </c>
      <c r="C4" s="1" t="s">
        <v>19</v>
      </c>
      <c r="D4" s="1" t="s">
        <v>5</v>
      </c>
      <c r="E4" s="1" t="s">
        <v>1</v>
      </c>
      <c r="F4" s="1" t="s">
        <v>2</v>
      </c>
      <c r="G4" s="1" t="s">
        <v>3</v>
      </c>
      <c r="H4" s="1" t="s">
        <v>4</v>
      </c>
      <c r="I4" s="1">
        <v>101551</v>
      </c>
      <c r="J4" s="1">
        <v>88527</v>
      </c>
      <c r="K4" s="1">
        <v>13024</v>
      </c>
    </row>
    <row r="5" spans="1:12" x14ac:dyDescent="0.6">
      <c r="A5" s="1" t="s">
        <v>0</v>
      </c>
      <c r="B5" s="1">
        <v>2017</v>
      </c>
      <c r="C5" s="1" t="s">
        <v>19</v>
      </c>
      <c r="D5" s="1" t="s">
        <v>5</v>
      </c>
      <c r="E5" s="1" t="s">
        <v>1</v>
      </c>
      <c r="F5" s="1" t="s">
        <v>2</v>
      </c>
      <c r="G5" s="1" t="s">
        <v>3</v>
      </c>
      <c r="H5" s="1" t="s">
        <v>4</v>
      </c>
      <c r="I5" s="1">
        <v>118267</v>
      </c>
      <c r="J5" s="1">
        <f>ROUND(I5*0.85,0)</f>
        <v>100527</v>
      </c>
      <c r="K5" s="1">
        <f>I5-J5</f>
        <v>17740</v>
      </c>
      <c r="L5" s="1" t="s">
        <v>16</v>
      </c>
    </row>
    <row r="6" spans="1:12" x14ac:dyDescent="0.6">
      <c r="A6" s="1" t="s">
        <v>0</v>
      </c>
      <c r="B6" s="1">
        <v>2018</v>
      </c>
      <c r="C6" s="1" t="s">
        <v>19</v>
      </c>
      <c r="D6" s="1" t="s">
        <v>5</v>
      </c>
      <c r="E6" s="1" t="s">
        <v>1</v>
      </c>
      <c r="F6" s="1" t="s">
        <v>2</v>
      </c>
      <c r="G6" s="1" t="s">
        <v>3</v>
      </c>
      <c r="H6" s="1" t="s">
        <v>4</v>
      </c>
      <c r="I6" s="1">
        <v>129652</v>
      </c>
      <c r="J6" s="1">
        <v>106083</v>
      </c>
      <c r="K6" s="1">
        <v>23569</v>
      </c>
    </row>
    <row r="7" spans="1:12" x14ac:dyDescent="0.6">
      <c r="A7" s="1" t="s">
        <v>0</v>
      </c>
      <c r="B7" s="1">
        <v>1985</v>
      </c>
      <c r="C7" s="1" t="s">
        <v>19</v>
      </c>
      <c r="D7" s="1" t="s">
        <v>5</v>
      </c>
      <c r="E7" s="1" t="s">
        <v>20</v>
      </c>
      <c r="F7" s="1" t="s">
        <v>21</v>
      </c>
      <c r="G7" s="1" t="s">
        <v>22</v>
      </c>
      <c r="H7" s="1" t="s">
        <v>23</v>
      </c>
      <c r="I7" s="1">
        <v>7371</v>
      </c>
      <c r="J7" s="1">
        <v>1946</v>
      </c>
      <c r="K7" s="1">
        <v>5425</v>
      </c>
    </row>
    <row r="8" spans="1:12" x14ac:dyDescent="0.6">
      <c r="A8" s="1" t="s">
        <v>0</v>
      </c>
      <c r="B8" s="1">
        <v>1993</v>
      </c>
      <c r="C8" s="1" t="s">
        <v>19</v>
      </c>
      <c r="D8" s="1" t="s">
        <v>5</v>
      </c>
      <c r="E8" s="1" t="s">
        <v>20</v>
      </c>
      <c r="F8" s="1" t="s">
        <v>24</v>
      </c>
      <c r="G8" s="1" t="s">
        <v>22</v>
      </c>
      <c r="H8" s="1" t="s">
        <v>23</v>
      </c>
      <c r="I8" s="1">
        <v>7439</v>
      </c>
      <c r="J8" s="1">
        <v>2319</v>
      </c>
      <c r="K8" s="1">
        <v>5120</v>
      </c>
    </row>
    <row r="9" spans="1:12" x14ac:dyDescent="0.6">
      <c r="A9" s="1" t="s">
        <v>0</v>
      </c>
      <c r="B9" s="1">
        <v>2005</v>
      </c>
      <c r="C9" s="1" t="s">
        <v>19</v>
      </c>
      <c r="D9" s="1" t="s">
        <v>5</v>
      </c>
      <c r="E9" s="1" t="s">
        <v>20</v>
      </c>
      <c r="F9" s="1" t="s">
        <v>21</v>
      </c>
      <c r="G9" s="1" t="s">
        <v>22</v>
      </c>
      <c r="H9" s="1" t="s">
        <v>23</v>
      </c>
      <c r="I9" s="1">
        <v>6383</v>
      </c>
      <c r="J9" s="1">
        <v>2106</v>
      </c>
      <c r="K9" s="1">
        <v>4277</v>
      </c>
    </row>
    <row r="10" spans="1:12" x14ac:dyDescent="0.6">
      <c r="A10" s="1" t="s">
        <v>0</v>
      </c>
      <c r="B10" s="1">
        <v>2018</v>
      </c>
      <c r="C10" s="1" t="s">
        <v>19</v>
      </c>
      <c r="D10" s="1" t="s">
        <v>5</v>
      </c>
      <c r="E10" s="1" t="s">
        <v>20</v>
      </c>
      <c r="F10" s="1" t="s">
        <v>24</v>
      </c>
      <c r="G10" s="1" t="s">
        <v>22</v>
      </c>
      <c r="H10" s="1" t="s">
        <v>23</v>
      </c>
      <c r="I10" s="1">
        <v>4551</v>
      </c>
      <c r="J10" s="1">
        <v>2142</v>
      </c>
      <c r="K10" s="1">
        <v>2409</v>
      </c>
    </row>
  </sheetData>
  <autoFilter ref="A1:K6" xr:uid="{59748B6C-D14F-4E94-B3A5-8F6624F8A8E2}"/>
  <sortState xmlns:xlrd2="http://schemas.microsoft.com/office/spreadsheetml/2017/richdata2" ref="A2:L6">
    <sortCondition ref="E2:E6"/>
    <sortCondition ref="B2:B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Population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2026-03-30T13:10:09Z</dcterms:created>
  <dcterms:modified xsi:type="dcterms:W3CDTF">2026-04-02T18:25:44Z</dcterms:modified>
</cp:coreProperties>
</file>