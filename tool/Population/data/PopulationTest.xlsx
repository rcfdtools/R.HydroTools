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HydroTools\tool\Population\data\"/>
    </mc:Choice>
  </mc:AlternateContent>
  <xr:revisionPtr revIDLastSave="0" documentId="13_ncr:1_{FFEBF8E6-463D-4818-85DA-50567F2968D1}" xr6:coauthVersionLast="47" xr6:coauthVersionMax="47" xr10:uidLastSave="{00000000-0000-0000-0000-000000000000}"/>
  <bookViews>
    <workbookView xWindow="-98" yWindow="-98" windowWidth="28996" windowHeight="15675" xr2:uid="{1806D99B-D834-4FFC-97CD-8FB49E502DB0}"/>
  </bookViews>
  <sheets>
    <sheet name="Population" sheetId="1" r:id="rId1"/>
  </sheets>
  <definedNames>
    <definedName name="_xlnm._FilterDatabase" localSheetId="0" hidden="1">Population!$A$1:$K$6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K5" i="1" s="1"/>
  <c r="J3" i="1"/>
  <c r="K3" i="1" s="1"/>
</calcChain>
</file>

<file path=xl/sharedStrings.xml><?xml version="1.0" encoding="utf-8"?>
<sst xmlns="http://schemas.openxmlformats.org/spreadsheetml/2006/main" count="201" uniqueCount="29">
  <si>
    <t>DANE</t>
  </si>
  <si>
    <t>25899</t>
  </si>
  <si>
    <t>Zipaquirá</t>
  </si>
  <si>
    <t>25</t>
  </si>
  <si>
    <t>Cundinamarca</t>
  </si>
  <si>
    <t>Colombia</t>
  </si>
  <si>
    <t>Source</t>
  </si>
  <si>
    <t>Year</t>
  </si>
  <si>
    <t>CountyID</t>
  </si>
  <si>
    <t>CountyName</t>
  </si>
  <si>
    <t>StateID</t>
  </si>
  <si>
    <t>StateName</t>
  </si>
  <si>
    <t>PTotal</t>
  </si>
  <si>
    <t>PUrban</t>
  </si>
  <si>
    <t>PRural</t>
  </si>
  <si>
    <t>Notes</t>
  </si>
  <si>
    <t>CountryName</t>
  </si>
  <si>
    <t>CountryID</t>
  </si>
  <si>
    <t>CO</t>
  </si>
  <si>
    <t>15667</t>
  </si>
  <si>
    <t>San Luis de Gaceno</t>
  </si>
  <si>
    <t>15</t>
  </si>
  <si>
    <t>Boyacá</t>
  </si>
  <si>
    <t>San Luis De Gaceno</t>
  </si>
  <si>
    <t>DANE old reports. PUrban as 85% from total based on official census data.</t>
  </si>
  <si>
    <t>11</t>
  </si>
  <si>
    <t>Bogotá, D.C.</t>
  </si>
  <si>
    <t>11001</t>
  </si>
  <si>
    <t>DANE old reports. PUrban as 99.8% from total based on official census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</si>
</sst>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8B6C-D14F-4E94-B3A5-8F6624F8A8E2}">
  <dimension ref="A1:L26"/>
  <sheetViews>
    <sheetView tabSelected="1" zoomScale="130" zoomScaleNormal="130" workbookViewId="0">
      <pane ySplit="1" topLeftCell="A5" activePane="bottomLeft" state="frozen"/>
      <selection pane="bottomLeft" activeCell="K12" sqref="K12"/>
    </sheetView>
  </sheetViews>
  <sheetFormatPr defaultRowHeight="16.5" x14ac:dyDescent="0.6"/>
  <cols>
    <col min="1" max="3" width="9.06640625" style="1"/>
    <col min="4" max="4" width="16.33203125" style="1" customWidth="1"/>
    <col min="5" max="5" width="9.06640625" style="1"/>
    <col min="6" max="6" width="16.33203125" style="1" customWidth="1"/>
    <col min="7" max="7" width="9.06640625" style="1"/>
    <col min="8" max="8" width="20" style="1" customWidth="1"/>
    <col min="9" max="11" width="9.06640625" style="1"/>
    <col min="12" max="12" width="61.59765625" style="1" bestFit="1" customWidth="1"/>
    <col min="13" max="16384" width="9.06640625" style="1"/>
  </cols>
  <sheetData>
    <row r="1" spans="1:12" x14ac:dyDescent="0.6">
      <c r="A1" s="1" t="s">
        <v>6</v>
      </c>
      <c r="B1" s="1" t="s">
        <v>7</v>
      </c>
      <c r="C1" s="1" t="s">
        <v>17</v>
      </c>
      <c r="D1" s="1" t="s">
        <v>16</v>
      </c>
      <c r="E1" s="1" t="s">
        <v>10</v>
      </c>
      <c r="F1" s="1" t="s">
        <v>11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x14ac:dyDescent="0.6">
      <c r="A2" s="1" t="s">
        <v>0</v>
      </c>
      <c r="B2" s="1">
        <v>1993</v>
      </c>
      <c r="C2" s="1" t="s">
        <v>18</v>
      </c>
      <c r="D2" s="1" t="s">
        <v>5</v>
      </c>
      <c r="E2" s="1" t="s">
        <v>3</v>
      </c>
      <c r="F2" s="1" t="s">
        <v>4</v>
      </c>
      <c r="G2" s="1" t="s">
        <v>1</v>
      </c>
      <c r="H2" s="1" t="s">
        <v>2</v>
      </c>
      <c r="I2" s="1">
        <v>69695</v>
      </c>
      <c r="J2" s="1">
        <v>60585</v>
      </c>
      <c r="K2" s="1">
        <v>9110</v>
      </c>
    </row>
    <row r="3" spans="1:12" x14ac:dyDescent="0.6">
      <c r="A3" s="1" t="s">
        <v>0</v>
      </c>
      <c r="B3" s="1">
        <v>1995</v>
      </c>
      <c r="C3" s="1" t="s">
        <v>18</v>
      </c>
      <c r="D3" s="1" t="s">
        <v>5</v>
      </c>
      <c r="E3" s="1" t="s">
        <v>3</v>
      </c>
      <c r="F3" s="1" t="s">
        <v>4</v>
      </c>
      <c r="G3" s="1" t="s">
        <v>1</v>
      </c>
      <c r="H3" s="1" t="s">
        <v>2</v>
      </c>
      <c r="I3" s="1">
        <v>78923</v>
      </c>
      <c r="J3" s="1">
        <f>ROUND(I3*0.85,0)</f>
        <v>67085</v>
      </c>
      <c r="K3" s="1">
        <f>I3-J3</f>
        <v>11838</v>
      </c>
      <c r="L3" s="1" t="s">
        <v>24</v>
      </c>
    </row>
    <row r="4" spans="1:12" x14ac:dyDescent="0.6">
      <c r="A4" s="1" t="s">
        <v>0</v>
      </c>
      <c r="B4" s="1">
        <v>2005</v>
      </c>
      <c r="C4" s="1" t="s">
        <v>18</v>
      </c>
      <c r="D4" s="1" t="s">
        <v>5</v>
      </c>
      <c r="E4" s="1" t="s">
        <v>3</v>
      </c>
      <c r="F4" s="1" t="s">
        <v>4</v>
      </c>
      <c r="G4" s="1" t="s">
        <v>1</v>
      </c>
      <c r="H4" s="1" t="s">
        <v>2</v>
      </c>
      <c r="I4" s="1">
        <v>101551</v>
      </c>
      <c r="J4" s="1">
        <v>88527</v>
      </c>
      <c r="K4" s="1">
        <v>13024</v>
      </c>
    </row>
    <row r="5" spans="1:12" x14ac:dyDescent="0.6">
      <c r="A5" s="1" t="s">
        <v>0</v>
      </c>
      <c r="B5" s="1">
        <v>2017</v>
      </c>
      <c r="C5" s="1" t="s">
        <v>18</v>
      </c>
      <c r="D5" s="1" t="s">
        <v>5</v>
      </c>
      <c r="E5" s="1" t="s">
        <v>3</v>
      </c>
      <c r="F5" s="1" t="s">
        <v>4</v>
      </c>
      <c r="G5" s="1" t="s">
        <v>1</v>
      </c>
      <c r="H5" s="1" t="s">
        <v>2</v>
      </c>
      <c r="I5" s="1">
        <v>118267</v>
      </c>
      <c r="J5" s="1">
        <f>ROUND(I5*0.85,0)</f>
        <v>100527</v>
      </c>
      <c r="K5" s="1">
        <f>I5-J5</f>
        <v>17740</v>
      </c>
      <c r="L5" s="1" t="s">
        <v>24</v>
      </c>
    </row>
    <row r="6" spans="1:12" x14ac:dyDescent="0.6">
      <c r="A6" s="1" t="s">
        <v>0</v>
      </c>
      <c r="B6" s="1">
        <v>2018</v>
      </c>
      <c r="C6" s="1" t="s">
        <v>18</v>
      </c>
      <c r="D6" s="1" t="s">
        <v>5</v>
      </c>
      <c r="E6" s="1" t="s">
        <v>3</v>
      </c>
      <c r="F6" s="1" t="s">
        <v>4</v>
      </c>
      <c r="G6" s="1" t="s">
        <v>1</v>
      </c>
      <c r="H6" s="1" t="s">
        <v>2</v>
      </c>
      <c r="I6" s="1">
        <v>129652</v>
      </c>
      <c r="J6" s="1">
        <v>106083</v>
      </c>
      <c r="K6" s="1">
        <v>23569</v>
      </c>
    </row>
    <row r="7" spans="1:12" x14ac:dyDescent="0.6">
      <c r="A7" s="1" t="s">
        <v>0</v>
      </c>
      <c r="B7" s="1">
        <v>1985</v>
      </c>
      <c r="C7" s="1" t="s">
        <v>18</v>
      </c>
      <c r="D7" s="1" t="s">
        <v>5</v>
      </c>
      <c r="E7" s="1" t="s">
        <v>21</v>
      </c>
      <c r="F7" s="1" t="s">
        <v>22</v>
      </c>
      <c r="G7" s="1" t="s">
        <v>19</v>
      </c>
      <c r="H7" s="1" t="s">
        <v>20</v>
      </c>
      <c r="I7" s="1">
        <v>7371</v>
      </c>
      <c r="J7" s="1">
        <v>1946</v>
      </c>
      <c r="K7" s="1">
        <v>5425</v>
      </c>
    </row>
    <row r="8" spans="1:12" x14ac:dyDescent="0.6">
      <c r="A8" s="1" t="s">
        <v>0</v>
      </c>
      <c r="B8" s="1">
        <v>1993</v>
      </c>
      <c r="C8" s="1" t="s">
        <v>18</v>
      </c>
      <c r="D8" s="1" t="s">
        <v>5</v>
      </c>
      <c r="E8" s="1" t="s">
        <v>21</v>
      </c>
      <c r="F8" s="1" t="s">
        <v>22</v>
      </c>
      <c r="G8" s="1" t="s">
        <v>19</v>
      </c>
      <c r="H8" s="1" t="s">
        <v>23</v>
      </c>
      <c r="I8" s="1">
        <v>7439</v>
      </c>
      <c r="J8" s="1">
        <v>2319</v>
      </c>
      <c r="K8" s="1">
        <v>5120</v>
      </c>
    </row>
    <row r="9" spans="1:12" x14ac:dyDescent="0.6">
      <c r="A9" s="1" t="s">
        <v>0</v>
      </c>
      <c r="B9" s="1">
        <v>2005</v>
      </c>
      <c r="C9" s="1" t="s">
        <v>18</v>
      </c>
      <c r="D9" s="1" t="s">
        <v>5</v>
      </c>
      <c r="E9" s="1" t="s">
        <v>21</v>
      </c>
      <c r="F9" s="1" t="s">
        <v>22</v>
      </c>
      <c r="G9" s="1" t="s">
        <v>19</v>
      </c>
      <c r="H9" s="1" t="s">
        <v>20</v>
      </c>
      <c r="I9" s="1">
        <v>6383</v>
      </c>
      <c r="J9" s="1">
        <v>2106</v>
      </c>
      <c r="K9" s="1">
        <v>4277</v>
      </c>
    </row>
    <row r="10" spans="1:12" x14ac:dyDescent="0.6">
      <c r="A10" s="1" t="s">
        <v>0</v>
      </c>
      <c r="B10" s="1">
        <v>2018</v>
      </c>
      <c r="C10" s="1" t="s">
        <v>18</v>
      </c>
      <c r="D10" s="1" t="s">
        <v>5</v>
      </c>
      <c r="E10" s="1" t="s">
        <v>21</v>
      </c>
      <c r="F10" s="1" t="s">
        <v>22</v>
      </c>
      <c r="G10" s="1" t="s">
        <v>19</v>
      </c>
      <c r="H10" s="1" t="s">
        <v>23</v>
      </c>
      <c r="I10" s="1">
        <v>4551</v>
      </c>
      <c r="J10" s="1">
        <v>2142</v>
      </c>
      <c r="K10" s="1">
        <v>2409</v>
      </c>
    </row>
    <row r="11" spans="1:12" x14ac:dyDescent="0.6">
      <c r="A11" s="1" t="s">
        <v>0</v>
      </c>
      <c r="B11" s="1">
        <v>1985</v>
      </c>
      <c r="C11" s="1" t="s">
        <v>18</v>
      </c>
      <c r="D11" s="1" t="s">
        <v>5</v>
      </c>
      <c r="E11" s="1" t="s">
        <v>25</v>
      </c>
      <c r="F11" s="1" t="s">
        <v>26</v>
      </c>
      <c r="G11" s="1" t="s">
        <v>27</v>
      </c>
      <c r="H11" s="1" t="s">
        <v>26</v>
      </c>
      <c r="I11" s="1">
        <v>4225649</v>
      </c>
      <c r="J11" s="1">
        <v>4216887</v>
      </c>
      <c r="K11" s="1">
        <v>8762</v>
      </c>
    </row>
    <row r="12" spans="1:12" x14ac:dyDescent="0.6">
      <c r="A12" s="1" t="s">
        <v>0</v>
      </c>
      <c r="B12" s="1">
        <v>1993</v>
      </c>
      <c r="C12" s="1" t="s">
        <v>18</v>
      </c>
      <c r="D12" s="1" t="s">
        <v>5</v>
      </c>
      <c r="E12" s="1" t="s">
        <v>25</v>
      </c>
      <c r="F12" s="1" t="s">
        <v>26</v>
      </c>
      <c r="G12" s="1" t="s">
        <v>27</v>
      </c>
      <c r="H12" s="1" t="s">
        <v>26</v>
      </c>
      <c r="I12" s="1">
        <v>4945448</v>
      </c>
      <c r="J12" s="1">
        <v>4931796</v>
      </c>
      <c r="K12" s="1">
        <v>13652</v>
      </c>
    </row>
    <row r="13" spans="1:12" x14ac:dyDescent="0.6">
      <c r="A13" s="1" t="s">
        <v>0</v>
      </c>
      <c r="B13" s="1">
        <v>2005</v>
      </c>
      <c r="C13" s="1" t="s">
        <v>18</v>
      </c>
      <c r="D13" s="1" t="s">
        <v>5</v>
      </c>
      <c r="E13" s="1" t="s">
        <v>25</v>
      </c>
      <c r="F13" s="1" t="s">
        <v>26</v>
      </c>
      <c r="G13" s="1" t="s">
        <v>27</v>
      </c>
      <c r="H13" s="1" t="s">
        <v>26</v>
      </c>
      <c r="I13" s="1">
        <v>6840116</v>
      </c>
      <c r="J13" s="1">
        <v>6824510</v>
      </c>
      <c r="K13" s="1">
        <v>15606</v>
      </c>
    </row>
    <row r="14" spans="1:12" x14ac:dyDescent="0.6">
      <c r="A14" s="1" t="s">
        <v>0</v>
      </c>
      <c r="B14" s="1">
        <v>2018</v>
      </c>
      <c r="C14" s="1" t="s">
        <v>18</v>
      </c>
      <c r="D14" s="1" t="s">
        <v>5</v>
      </c>
      <c r="E14" s="1" t="s">
        <v>25</v>
      </c>
      <c r="F14" s="1" t="s">
        <v>4</v>
      </c>
      <c r="G14" s="1" t="s">
        <v>27</v>
      </c>
      <c r="H14" s="1" t="s">
        <v>26</v>
      </c>
      <c r="I14" s="1">
        <v>7181469</v>
      </c>
      <c r="J14" s="1">
        <v>7166249</v>
      </c>
      <c r="K14" s="1">
        <v>15220</v>
      </c>
    </row>
    <row r="15" spans="1:12" x14ac:dyDescent="0.6">
      <c r="A15" s="1" t="s">
        <v>0</v>
      </c>
      <c r="B15" s="1">
        <v>1775</v>
      </c>
      <c r="C15" s="1" t="s">
        <v>18</v>
      </c>
      <c r="D15" s="1" t="s">
        <v>5</v>
      </c>
      <c r="E15" s="1" t="s">
        <v>25</v>
      </c>
      <c r="F15" s="1" t="s">
        <v>26</v>
      </c>
      <c r="G15" s="1" t="s">
        <v>27</v>
      </c>
      <c r="H15" s="1" t="s">
        <v>26</v>
      </c>
      <c r="I15" s="1">
        <v>16233</v>
      </c>
      <c r="J15" s="1">
        <v>16201</v>
      </c>
      <c r="K15" s="1">
        <v>32</v>
      </c>
      <c r="L15" s="1" t="s">
        <v>28</v>
      </c>
    </row>
    <row r="16" spans="1:12" x14ac:dyDescent="0.6">
      <c r="A16" s="1" t="s">
        <v>0</v>
      </c>
      <c r="B16" s="1">
        <v>1800</v>
      </c>
      <c r="C16" s="1" t="s">
        <v>18</v>
      </c>
      <c r="D16" s="1" t="s">
        <v>5</v>
      </c>
      <c r="E16" s="1" t="s">
        <v>25</v>
      </c>
      <c r="F16" s="1" t="s">
        <v>26</v>
      </c>
      <c r="G16" s="1" t="s">
        <v>27</v>
      </c>
      <c r="H16" s="1" t="s">
        <v>26</v>
      </c>
      <c r="I16" s="1">
        <v>21964</v>
      </c>
      <c r="J16" s="1">
        <v>21920</v>
      </c>
      <c r="K16" s="1">
        <v>44</v>
      </c>
      <c r="L16" s="1" t="s">
        <v>28</v>
      </c>
    </row>
    <row r="17" spans="1:12" x14ac:dyDescent="0.6">
      <c r="A17" s="1" t="s">
        <v>0</v>
      </c>
      <c r="B17" s="1">
        <v>1832</v>
      </c>
      <c r="C17" s="1" t="s">
        <v>18</v>
      </c>
      <c r="D17" s="1" t="s">
        <v>5</v>
      </c>
      <c r="E17" s="1" t="s">
        <v>25</v>
      </c>
      <c r="F17" s="1" t="s">
        <v>26</v>
      </c>
      <c r="G17" s="1" t="s">
        <v>27</v>
      </c>
      <c r="H17" s="1" t="s">
        <v>26</v>
      </c>
      <c r="I17" s="1">
        <v>28341</v>
      </c>
      <c r="J17" s="1">
        <v>28284</v>
      </c>
      <c r="K17" s="1">
        <v>57</v>
      </c>
      <c r="L17" s="1" t="s">
        <v>28</v>
      </c>
    </row>
    <row r="18" spans="1:12" x14ac:dyDescent="0.6">
      <c r="A18" s="1" t="s">
        <v>0</v>
      </c>
      <c r="B18" s="1">
        <v>1870</v>
      </c>
      <c r="C18" s="1" t="s">
        <v>18</v>
      </c>
      <c r="D18" s="1" t="s">
        <v>5</v>
      </c>
      <c r="E18" s="1" t="s">
        <v>25</v>
      </c>
      <c r="F18" s="1" t="s">
        <v>26</v>
      </c>
      <c r="G18" s="1" t="s">
        <v>27</v>
      </c>
      <c r="H18" s="1" t="s">
        <v>26</v>
      </c>
      <c r="I18" s="1">
        <v>40883</v>
      </c>
      <c r="J18" s="1">
        <v>40801</v>
      </c>
      <c r="K18" s="1">
        <v>82</v>
      </c>
      <c r="L18" s="1" t="s">
        <v>28</v>
      </c>
    </row>
    <row r="19" spans="1:12" x14ac:dyDescent="0.6">
      <c r="A19" s="1" t="s">
        <v>0</v>
      </c>
      <c r="B19" s="1">
        <v>1905</v>
      </c>
      <c r="C19" s="1" t="s">
        <v>18</v>
      </c>
      <c r="D19" s="1" t="s">
        <v>5</v>
      </c>
      <c r="E19" s="1" t="s">
        <v>25</v>
      </c>
      <c r="F19" s="1" t="s">
        <v>26</v>
      </c>
      <c r="G19" s="1" t="s">
        <v>27</v>
      </c>
      <c r="H19" s="1" t="s">
        <v>26</v>
      </c>
      <c r="I19" s="1">
        <v>100000</v>
      </c>
      <c r="J19" s="1">
        <v>99800</v>
      </c>
      <c r="K19" s="1">
        <v>200</v>
      </c>
      <c r="L19" s="1" t="s">
        <v>28</v>
      </c>
    </row>
    <row r="20" spans="1:12" x14ac:dyDescent="0.6">
      <c r="A20" s="1" t="s">
        <v>0</v>
      </c>
      <c r="B20" s="1">
        <v>1912</v>
      </c>
      <c r="C20" s="1" t="s">
        <v>18</v>
      </c>
      <c r="D20" s="1" t="s">
        <v>5</v>
      </c>
      <c r="E20" s="1" t="s">
        <v>25</v>
      </c>
      <c r="F20" s="1" t="s">
        <v>26</v>
      </c>
      <c r="G20" s="1" t="s">
        <v>27</v>
      </c>
      <c r="H20" s="1" t="s">
        <v>26</v>
      </c>
      <c r="I20" s="1">
        <v>121257</v>
      </c>
      <c r="J20" s="1">
        <v>121014</v>
      </c>
      <c r="K20" s="1">
        <v>243</v>
      </c>
      <c r="L20" s="1" t="s">
        <v>28</v>
      </c>
    </row>
    <row r="21" spans="1:12" x14ac:dyDescent="0.6">
      <c r="A21" s="1" t="s">
        <v>0</v>
      </c>
      <c r="B21" s="1">
        <v>1918</v>
      </c>
      <c r="C21" s="1" t="s">
        <v>18</v>
      </c>
      <c r="D21" s="1" t="s">
        <v>5</v>
      </c>
      <c r="E21" s="1" t="s">
        <v>25</v>
      </c>
      <c r="F21" s="1" t="s">
        <v>26</v>
      </c>
      <c r="G21" s="1" t="s">
        <v>27</v>
      </c>
      <c r="H21" s="1" t="s">
        <v>26</v>
      </c>
      <c r="I21" s="1">
        <v>143994</v>
      </c>
      <c r="J21" s="1">
        <v>143706</v>
      </c>
      <c r="K21" s="1">
        <v>288</v>
      </c>
      <c r="L21" s="1" t="s">
        <v>28</v>
      </c>
    </row>
    <row r="22" spans="1:12" x14ac:dyDescent="0.6">
      <c r="A22" s="1" t="s">
        <v>0</v>
      </c>
      <c r="B22" s="1">
        <v>1928</v>
      </c>
      <c r="C22" s="1" t="s">
        <v>18</v>
      </c>
      <c r="D22" s="1" t="s">
        <v>5</v>
      </c>
      <c r="E22" s="1" t="s">
        <v>25</v>
      </c>
      <c r="F22" s="1" t="s">
        <v>26</v>
      </c>
      <c r="G22" s="1" t="s">
        <v>27</v>
      </c>
      <c r="H22" s="1" t="s">
        <v>26</v>
      </c>
      <c r="I22" s="1">
        <v>235702</v>
      </c>
      <c r="J22" s="1">
        <v>235231</v>
      </c>
      <c r="K22" s="1">
        <v>471</v>
      </c>
      <c r="L22" s="1" t="s">
        <v>28</v>
      </c>
    </row>
    <row r="23" spans="1:12" x14ac:dyDescent="0.6">
      <c r="A23" s="1" t="s">
        <v>0</v>
      </c>
      <c r="B23" s="1">
        <v>1938</v>
      </c>
      <c r="C23" s="1" t="s">
        <v>18</v>
      </c>
      <c r="D23" s="1" t="s">
        <v>5</v>
      </c>
      <c r="E23" s="1" t="s">
        <v>25</v>
      </c>
      <c r="F23" s="1" t="s">
        <v>26</v>
      </c>
      <c r="G23" s="1" t="s">
        <v>27</v>
      </c>
      <c r="H23" s="1" t="s">
        <v>26</v>
      </c>
      <c r="I23" s="1">
        <v>325650</v>
      </c>
      <c r="J23" s="1">
        <v>324999</v>
      </c>
      <c r="K23" s="1">
        <v>651</v>
      </c>
      <c r="L23" s="1" t="s">
        <v>28</v>
      </c>
    </row>
    <row r="24" spans="1:12" x14ac:dyDescent="0.6">
      <c r="A24" s="1" t="s">
        <v>0</v>
      </c>
      <c r="B24" s="1">
        <v>1951</v>
      </c>
      <c r="C24" s="1" t="s">
        <v>18</v>
      </c>
      <c r="D24" s="1" t="s">
        <v>5</v>
      </c>
      <c r="E24" s="1" t="s">
        <v>25</v>
      </c>
      <c r="F24" s="1" t="s">
        <v>26</v>
      </c>
      <c r="G24" s="1" t="s">
        <v>27</v>
      </c>
      <c r="H24" s="1" t="s">
        <v>26</v>
      </c>
      <c r="I24" s="1">
        <v>715250</v>
      </c>
      <c r="J24" s="1">
        <v>713820</v>
      </c>
      <c r="K24" s="1">
        <v>1430</v>
      </c>
      <c r="L24" s="1" t="s">
        <v>28</v>
      </c>
    </row>
    <row r="25" spans="1:12" x14ac:dyDescent="0.6">
      <c r="A25" s="1" t="s">
        <v>0</v>
      </c>
      <c r="B25" s="1">
        <v>1964</v>
      </c>
      <c r="C25" s="1" t="s">
        <v>18</v>
      </c>
      <c r="D25" s="1" t="s">
        <v>5</v>
      </c>
      <c r="E25" s="1" t="s">
        <v>25</v>
      </c>
      <c r="F25" s="1" t="s">
        <v>26</v>
      </c>
      <c r="G25" s="1" t="s">
        <v>27</v>
      </c>
      <c r="H25" s="1" t="s">
        <v>26</v>
      </c>
      <c r="I25" s="1">
        <v>1697311</v>
      </c>
      <c r="J25" s="1">
        <v>1693916</v>
      </c>
      <c r="K25" s="1">
        <v>3395</v>
      </c>
      <c r="L25" s="1" t="s">
        <v>28</v>
      </c>
    </row>
    <row r="26" spans="1:12" x14ac:dyDescent="0.6">
      <c r="A26" s="1" t="s">
        <v>0</v>
      </c>
      <c r="B26" s="1">
        <v>1973</v>
      </c>
      <c r="C26" s="1" t="s">
        <v>18</v>
      </c>
      <c r="D26" s="1" t="s">
        <v>5</v>
      </c>
      <c r="E26" s="1" t="s">
        <v>25</v>
      </c>
      <c r="F26" s="1" t="s">
        <v>26</v>
      </c>
      <c r="G26" s="1" t="s">
        <v>27</v>
      </c>
      <c r="H26" s="1" t="s">
        <v>26</v>
      </c>
      <c r="I26" s="1">
        <v>2855065</v>
      </c>
      <c r="J26" s="1">
        <v>2849355</v>
      </c>
      <c r="K26" s="1">
        <v>5710</v>
      </c>
      <c r="L26" s="1" t="s">
        <v>28</v>
      </c>
    </row>
  </sheetData>
  <autoFilter ref="A1:K6" xr:uid="{59748B6C-D14F-4E94-B3A5-8F6624F8A8E2}"/>
  <sortState xmlns:xlrd2="http://schemas.microsoft.com/office/spreadsheetml/2017/richdata2" ref="A2:L6">
    <sortCondition ref="G2:G6"/>
    <sortCondition ref="B2:B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2026-03-30T13:10:09Z</dcterms:created>
  <dcterms:modified xsi:type="dcterms:W3CDTF">2026-04-03T14:04:18Z</dcterms:modified>
</cp:coreProperties>
</file>