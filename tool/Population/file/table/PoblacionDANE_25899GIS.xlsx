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2.xml" ContentType="application/vnd.openxmlformats-officedocument.spreadsheetml.comments+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1"/>
  <workbookPr/>
  <mc:AlternateContent xmlns:mc="http://schemas.openxmlformats.org/markup-compatibility/2006">
    <mc:Choice Requires="x15">
      <x15ac:absPath xmlns:x15ac="http://schemas.microsoft.com/office/spreadsheetml/2010/11/ac" url="D:\R.HydroTools\tool\Population\table\"/>
    </mc:Choice>
  </mc:AlternateContent>
  <xr:revisionPtr revIDLastSave="0" documentId="13_ncr:1_{B4F4C58D-E2DD-4189-AA41-D12BD1BCE148}" xr6:coauthVersionLast="47" xr6:coauthVersionMax="47" xr10:uidLastSave="{00000000-0000-0000-0000-000000000000}"/>
  <bookViews>
    <workbookView xWindow="-98" yWindow="-98" windowWidth="28996" windowHeight="15675" tabRatio="769" activeTab="2" xr2:uid="{00000000-000D-0000-FFFF-FFFF00000000}"/>
  </bookViews>
  <sheets>
    <sheet name="PoblacionSISBEN" sheetId="10" r:id="rId1"/>
    <sheet name="TipoSueloEPE" sheetId="11" r:id="rId2"/>
    <sheet name="AguaPotSanBas" sheetId="14" r:id="rId3"/>
    <sheet name="PoblacionAreaDensEPEQ" sheetId="6" r:id="rId4"/>
    <sheet name="PoblacionGIS" sheetId="17" r:id="rId5"/>
    <sheet name="QAcueductoChart" sheetId="15" r:id="rId6"/>
    <sheet name="QAlcantarilladoChart" sheetId="16" r:id="rId7"/>
    <sheet name="PoblacionGISChart" sheetId="9" r:id="rId8"/>
    <sheet name="DensidadGISChart" sheetId="12" r:id="rId9"/>
    <sheet name="EPE" sheetId="1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6" l="1"/>
  <c r="E4" i="6"/>
  <c r="E5" i="6"/>
  <c r="E6" i="6"/>
  <c r="E7" i="6"/>
  <c r="E8" i="6"/>
  <c r="E9" i="6"/>
  <c r="E10" i="6"/>
  <c r="E11" i="6"/>
  <c r="E12" i="6"/>
  <c r="E13" i="6"/>
  <c r="E14" i="6"/>
  <c r="E15" i="6"/>
  <c r="E16" i="6"/>
  <c r="E17" i="6"/>
  <c r="E18" i="6"/>
  <c r="E19" i="6"/>
  <c r="E20" i="6"/>
  <c r="E21" i="6"/>
  <c r="E22" i="6"/>
  <c r="E23" i="6"/>
  <c r="E2" i="6"/>
  <c r="M3" i="6"/>
  <c r="M4" i="6"/>
  <c r="M5" i="6"/>
  <c r="P5" i="6" s="1"/>
  <c r="M6" i="6"/>
  <c r="M7" i="6"/>
  <c r="P7" i="6" s="1"/>
  <c r="M8" i="6"/>
  <c r="M9" i="6"/>
  <c r="P9" i="6" s="1"/>
  <c r="M10" i="6"/>
  <c r="P10" i="6" s="1"/>
  <c r="M11" i="6"/>
  <c r="P11" i="6" s="1"/>
  <c r="M12" i="6"/>
  <c r="P12" i="6" s="1"/>
  <c r="M13" i="6"/>
  <c r="P13" i="6" s="1"/>
  <c r="M14" i="6"/>
  <c r="P14" i="6" s="1"/>
  <c r="M15" i="6"/>
  <c r="P15" i="6" s="1"/>
  <c r="M16" i="6"/>
  <c r="P16" i="6" s="1"/>
  <c r="M17" i="6"/>
  <c r="P17" i="6" s="1"/>
  <c r="M18" i="6"/>
  <c r="M19" i="6"/>
  <c r="P19" i="6" s="1"/>
  <c r="M20" i="6"/>
  <c r="P20" i="6" s="1"/>
  <c r="M21" i="6"/>
  <c r="P21" i="6" s="1"/>
  <c r="M22" i="6"/>
  <c r="P22" i="6" s="1"/>
  <c r="M23" i="6"/>
  <c r="P23" i="6" s="1"/>
  <c r="M2" i="6"/>
  <c r="P2" i="6" s="1"/>
  <c r="I3" i="6"/>
  <c r="I4" i="6"/>
  <c r="I5" i="6"/>
  <c r="I6" i="6"/>
  <c r="I7" i="6"/>
  <c r="I8" i="6"/>
  <c r="I9" i="6"/>
  <c r="I10" i="6"/>
  <c r="I11" i="6"/>
  <c r="I12" i="6"/>
  <c r="I13" i="6"/>
  <c r="I14" i="6"/>
  <c r="I15" i="6"/>
  <c r="I16" i="6"/>
  <c r="I17" i="6"/>
  <c r="I18" i="6"/>
  <c r="I19" i="6"/>
  <c r="I20" i="6"/>
  <c r="I21" i="6"/>
  <c r="I22" i="6"/>
  <c r="I23" i="6"/>
  <c r="I2" i="6"/>
  <c r="P18" i="6"/>
  <c r="P3" i="6"/>
  <c r="P6" i="6"/>
  <c r="P4" i="6"/>
  <c r="P8" i="6"/>
  <c r="D13" i="14"/>
  <c r="D10" i="14"/>
  <c r="E10" i="14" s="1"/>
  <c r="D9" i="14"/>
  <c r="E9" i="14" s="1"/>
  <c r="D8" i="14"/>
  <c r="E32" i="14" s="1"/>
  <c r="C18" i="11" a="1"/>
  <c r="C18" i="11" s="1"/>
  <c r="C17" i="11" a="1"/>
  <c r="C17" i="11" s="1"/>
  <c r="D18" i="11" a="1"/>
  <c r="D18" i="11" s="1"/>
  <c r="D17" i="11" a="1"/>
  <c r="D17" i="11" s="1"/>
  <c r="H4" i="6" s="1"/>
  <c r="F11" i="11"/>
  <c r="F12" i="11"/>
  <c r="F10" i="11"/>
  <c r="D3" i="6"/>
  <c r="D4" i="6"/>
  <c r="D5" i="6"/>
  <c r="D6" i="6"/>
  <c r="D7" i="6"/>
  <c r="D8" i="6"/>
  <c r="D9" i="6"/>
  <c r="D10" i="6"/>
  <c r="D11" i="6"/>
  <c r="D12" i="6"/>
  <c r="D13" i="6"/>
  <c r="D14" i="6"/>
  <c r="D15" i="6"/>
  <c r="D16" i="6"/>
  <c r="D17" i="6"/>
  <c r="D18" i="6"/>
  <c r="D19" i="6"/>
  <c r="D20" i="6"/>
  <c r="D21" i="6"/>
  <c r="D22" i="6"/>
  <c r="D23" i="6"/>
  <c r="D2" i="6"/>
  <c r="N2" i="6" l="1"/>
  <c r="Q2" i="6" s="1"/>
  <c r="E31" i="14"/>
  <c r="E33" i="14"/>
  <c r="E34" i="14"/>
  <c r="E11" i="14"/>
  <c r="G4" i="6"/>
  <c r="H15" i="6"/>
  <c r="G15" i="6" s="1"/>
  <c r="H3" i="6"/>
  <c r="H14" i="6"/>
  <c r="G14" i="6" s="1"/>
  <c r="H13" i="6"/>
  <c r="G13" i="6" s="1"/>
  <c r="H2" i="6"/>
  <c r="H12" i="6"/>
  <c r="G12" i="6" s="1"/>
  <c r="H16" i="6"/>
  <c r="G16" i="6" s="1"/>
  <c r="H23" i="6"/>
  <c r="G23" i="6" s="1"/>
  <c r="H11" i="6"/>
  <c r="G11" i="6" s="1"/>
  <c r="H22" i="6"/>
  <c r="G22" i="6" s="1"/>
  <c r="H10" i="6"/>
  <c r="G10" i="6" s="1"/>
  <c r="H20" i="6"/>
  <c r="G20" i="6" s="1"/>
  <c r="H8" i="6"/>
  <c r="G8" i="6" s="1"/>
  <c r="H21" i="6"/>
  <c r="G21" i="6" s="1"/>
  <c r="H9" i="6"/>
  <c r="G9" i="6" s="1"/>
  <c r="H19" i="6"/>
  <c r="G19" i="6" s="1"/>
  <c r="H7" i="6"/>
  <c r="H6" i="6"/>
  <c r="H17" i="6"/>
  <c r="G17" i="6" s="1"/>
  <c r="H5" i="6"/>
  <c r="H18" i="6"/>
  <c r="G18" i="6" s="1"/>
  <c r="C22" i="11"/>
  <c r="D22" i="11" s="1"/>
  <c r="N10" i="6"/>
  <c r="Q10" i="6" s="1"/>
  <c r="N11" i="6"/>
  <c r="Q11" i="6" s="1"/>
  <c r="N12" i="6"/>
  <c r="Q12" i="6" s="1"/>
  <c r="N13" i="6"/>
  <c r="Q13" i="6" s="1"/>
  <c r="N14" i="6"/>
  <c r="Q14" i="6" s="1"/>
  <c r="N22" i="6"/>
  <c r="Q22" i="6" s="1"/>
  <c r="H10" i="10"/>
  <c r="G10" i="10"/>
  <c r="H9" i="10"/>
  <c r="G9" i="10"/>
  <c r="C10" i="10" a="1"/>
  <c r="C10" i="10" s="1"/>
  <c r="C9" i="10" a="1"/>
  <c r="C9" i="10" s="1"/>
  <c r="H5" i="10"/>
  <c r="I5" i="10" s="1"/>
  <c r="H4" i="10"/>
  <c r="D10" i="10" s="1" a="1"/>
  <c r="D10" i="10" s="1"/>
  <c r="G5" i="10"/>
  <c r="G4" i="10"/>
  <c r="L23" i="6" l="1"/>
  <c r="N23" i="6"/>
  <c r="Q23" i="6" s="1"/>
  <c r="L21" i="6"/>
  <c r="N21" i="6"/>
  <c r="Q21" i="6" s="1"/>
  <c r="L9" i="6"/>
  <c r="N9" i="6"/>
  <c r="Q9" i="6" s="1"/>
  <c r="L8" i="6"/>
  <c r="N8" i="6"/>
  <c r="Q8" i="6" s="1"/>
  <c r="L20" i="6"/>
  <c r="N20" i="6"/>
  <c r="Q20" i="6" s="1"/>
  <c r="L19" i="6"/>
  <c r="N19" i="6"/>
  <c r="Q19" i="6" s="1"/>
  <c r="L7" i="6"/>
  <c r="N7" i="6"/>
  <c r="Q7" i="6" s="1"/>
  <c r="L18" i="6"/>
  <c r="N18" i="6"/>
  <c r="Q18" i="6" s="1"/>
  <c r="L6" i="6"/>
  <c r="N6" i="6"/>
  <c r="Q6" i="6" s="1"/>
  <c r="L17" i="6"/>
  <c r="N17" i="6"/>
  <c r="Q17" i="6" s="1"/>
  <c r="L5" i="6"/>
  <c r="N5" i="6"/>
  <c r="Q5" i="6" s="1"/>
  <c r="L16" i="6"/>
  <c r="N16" i="6"/>
  <c r="Q16" i="6" s="1"/>
  <c r="L4" i="6"/>
  <c r="N4" i="6"/>
  <c r="Q4" i="6" s="1"/>
  <c r="L15" i="6"/>
  <c r="N15" i="6"/>
  <c r="Q15" i="6" s="1"/>
  <c r="L3" i="6"/>
  <c r="N3" i="6"/>
  <c r="Q3" i="6" s="1"/>
  <c r="F11" i="6"/>
  <c r="L11" i="6"/>
  <c r="F22" i="6"/>
  <c r="L22" i="6"/>
  <c r="F10" i="6"/>
  <c r="O10" i="6" s="1"/>
  <c r="R10" i="6" s="1"/>
  <c r="L10" i="6"/>
  <c r="F13" i="6"/>
  <c r="L13" i="6"/>
  <c r="F12" i="6"/>
  <c r="O12" i="6" s="1"/>
  <c r="R12" i="6" s="1"/>
  <c r="L12" i="6"/>
  <c r="F14" i="6"/>
  <c r="L14" i="6"/>
  <c r="F2" i="6"/>
  <c r="L2" i="6"/>
  <c r="D11" i="14"/>
  <c r="D12" i="14" s="1"/>
  <c r="J13" i="6"/>
  <c r="G5" i="6"/>
  <c r="J10" i="6"/>
  <c r="J4" i="6"/>
  <c r="J22" i="6"/>
  <c r="G6" i="6"/>
  <c r="G7" i="6"/>
  <c r="G2" i="6"/>
  <c r="G3" i="6"/>
  <c r="F9" i="6"/>
  <c r="J9" i="6"/>
  <c r="F7" i="6"/>
  <c r="F4" i="6"/>
  <c r="F20" i="6"/>
  <c r="J20" i="6"/>
  <c r="F5" i="6"/>
  <c r="F16" i="6"/>
  <c r="J16" i="6"/>
  <c r="F15" i="6"/>
  <c r="J15" i="6"/>
  <c r="F3" i="6"/>
  <c r="F21" i="6"/>
  <c r="J21" i="6"/>
  <c r="F17" i="6"/>
  <c r="J17" i="6"/>
  <c r="J11" i="6"/>
  <c r="F8" i="6"/>
  <c r="J8" i="6"/>
  <c r="F19" i="6"/>
  <c r="J19" i="6"/>
  <c r="F18" i="6"/>
  <c r="J18" i="6"/>
  <c r="F6" i="6"/>
  <c r="J14" i="6"/>
  <c r="F23" i="6"/>
  <c r="J23" i="6"/>
  <c r="J12" i="6"/>
  <c r="E22" i="11"/>
  <c r="I10" i="10"/>
  <c r="I9" i="10"/>
  <c r="D9" i="10" a="1"/>
  <c r="D9" i="10" s="1"/>
  <c r="I4" i="10"/>
  <c r="K10" i="6" l="1"/>
  <c r="K3" i="6"/>
  <c r="O3" i="6"/>
  <c r="R3" i="6" s="1"/>
  <c r="K11" i="6"/>
  <c r="O11" i="6"/>
  <c r="R11" i="6" s="1"/>
  <c r="K15" i="6"/>
  <c r="O15" i="6"/>
  <c r="R15" i="6" s="1"/>
  <c r="K14" i="6"/>
  <c r="O14" i="6"/>
  <c r="R14" i="6" s="1"/>
  <c r="K19" i="6"/>
  <c r="O19" i="6"/>
  <c r="R19" i="6" s="1"/>
  <c r="K5" i="6"/>
  <c r="O5" i="6"/>
  <c r="R5" i="6" s="1"/>
  <c r="K20" i="6"/>
  <c r="O20" i="6"/>
  <c r="R20" i="6" s="1"/>
  <c r="K4" i="6"/>
  <c r="O4" i="6"/>
  <c r="R4" i="6" s="1"/>
  <c r="K13" i="6"/>
  <c r="O13" i="6"/>
  <c r="R13" i="6" s="1"/>
  <c r="K23" i="6"/>
  <c r="O23" i="6"/>
  <c r="R23" i="6" s="1"/>
  <c r="K17" i="6"/>
  <c r="O17" i="6"/>
  <c r="R17" i="6" s="1"/>
  <c r="K22" i="6"/>
  <c r="O22" i="6"/>
  <c r="R22" i="6" s="1"/>
  <c r="K6" i="6"/>
  <c r="O6" i="6"/>
  <c r="R6" i="6" s="1"/>
  <c r="K2" i="6"/>
  <c r="O2" i="6"/>
  <c r="R2" i="6" s="1"/>
  <c r="K18" i="6"/>
  <c r="O18" i="6"/>
  <c r="R18" i="6" s="1"/>
  <c r="K16" i="6"/>
  <c r="O16" i="6"/>
  <c r="R16" i="6" s="1"/>
  <c r="K8" i="6"/>
  <c r="O8" i="6"/>
  <c r="R8" i="6" s="1"/>
  <c r="K7" i="6"/>
  <c r="O7" i="6"/>
  <c r="R7" i="6" s="1"/>
  <c r="K12" i="6"/>
  <c r="K21" i="6"/>
  <c r="O21" i="6"/>
  <c r="R21" i="6" s="1"/>
  <c r="K9" i="6"/>
  <c r="O9" i="6"/>
  <c r="R9" i="6" s="1"/>
  <c r="J6" i="6"/>
  <c r="J3" i="6"/>
  <c r="J5" i="6"/>
  <c r="J2" i="6"/>
  <c r="J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D17" authorId="0" shapeId="0" xr:uid="{F667EC18-137D-4D81-8F54-C6AC412ABDAA}">
      <text>
        <r>
          <rPr>
            <sz val="9"/>
            <color indexed="81"/>
            <rFont val="Tahoma"/>
            <family val="2"/>
          </rPr>
          <t>&lt;= 2500</t>
        </r>
      </text>
    </comment>
    <comment ref="D18" authorId="0" shapeId="0" xr:uid="{E5644440-8FAE-49E7-A4CC-8945D96AA48A}">
      <text>
        <r>
          <rPr>
            <sz val="9"/>
            <color indexed="81"/>
            <rFont val="Tahoma"/>
            <family val="2"/>
          </rPr>
          <t>2501 a 12500</t>
        </r>
      </text>
    </comment>
    <comment ref="D19" authorId="0" shapeId="0" xr:uid="{66814579-A583-4B1D-AC3D-80C4F13B8966}">
      <text>
        <r>
          <rPr>
            <sz val="9"/>
            <color indexed="81"/>
            <rFont val="Tahoma"/>
            <family val="2"/>
          </rPr>
          <t>12501 a 60000</t>
        </r>
      </text>
    </comment>
    <comment ref="D20" authorId="0" shapeId="0" xr:uid="{989B4C59-47B0-4DF4-9499-C3F7E4571A18}">
      <text>
        <r>
          <rPr>
            <sz val="9"/>
            <color indexed="81"/>
            <rFont val="Tahoma"/>
            <family val="2"/>
          </rPr>
          <t>&gt; 60000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 authorId="0" shapeId="0" xr:uid="{7DBB7662-5E92-4F88-874E-C697DB91CB55}">
      <text>
        <r>
          <rPr>
            <sz val="9"/>
            <color indexed="81"/>
            <rFont val="Tahoma"/>
            <family val="2"/>
          </rPr>
          <t>Población total</t>
        </r>
      </text>
    </comment>
    <comment ref="D1" authorId="0" shapeId="0" xr:uid="{C4B0D29D-3A5D-4F24-A721-A2E561845AA5}">
      <text>
        <r>
          <rPr>
            <sz val="9"/>
            <color indexed="81"/>
            <rFont val="Tahoma"/>
            <family val="2"/>
          </rPr>
          <t>Porcentaje urbano</t>
        </r>
      </text>
    </comment>
    <comment ref="E1" authorId="0" shapeId="0" xr:uid="{28668795-8F94-4A02-B516-1F590D6429F3}">
      <text>
        <r>
          <rPr>
            <sz val="9"/>
            <color indexed="81"/>
            <rFont val="Tahoma"/>
            <family val="2"/>
          </rPr>
          <t>Población urbana</t>
        </r>
      </text>
    </comment>
    <comment ref="F1" authorId="0" shapeId="0" xr:uid="{0A60AD00-62FD-43D7-B58F-0AF908A53283}">
      <text>
        <r>
          <rPr>
            <sz val="9"/>
            <color indexed="81"/>
            <rFont val="Tahoma"/>
            <family val="2"/>
          </rPr>
          <t>Población rural</t>
        </r>
      </text>
    </comment>
    <comment ref="G1" authorId="0" shapeId="0" xr:uid="{CDE42DCF-29F9-40FF-BC55-C4625D85D6AA}">
      <text>
        <r>
          <rPr>
            <sz val="9"/>
            <color indexed="81"/>
            <rFont val="Tahoma"/>
            <family val="2"/>
          </rPr>
          <t>Área urbana proyectada linealmente</t>
        </r>
      </text>
    </comment>
    <comment ref="H1" authorId="0" shapeId="0" xr:uid="{5FC28843-A7DE-47EA-BB40-A4CEE76DEDA1}">
      <text>
        <r>
          <rPr>
            <sz val="9"/>
            <color indexed="81"/>
            <rFont val="Tahoma"/>
            <family val="2"/>
          </rPr>
          <t>Área rural proyectada linealmente.
Utilizando la regresión, al menos se debe dejar 1 ha para suelo urbano.</t>
        </r>
      </text>
    </comment>
    <comment ref="I1" authorId="0" shapeId="0" xr:uid="{57E91A39-6AE6-4ADF-83DD-6D7247F42E63}">
      <text>
        <r>
          <rPr>
            <sz val="9"/>
            <color indexed="81"/>
            <rFont val="Tahoma"/>
            <family val="2"/>
          </rPr>
          <t>Densidad total en habitantes / hectárea</t>
        </r>
      </text>
    </comment>
    <comment ref="J1" authorId="0" shapeId="0" xr:uid="{F1E8A7FD-5B5C-4812-B2D6-2CBD71A92030}">
      <text>
        <r>
          <rPr>
            <sz val="9"/>
            <color indexed="81"/>
            <rFont val="Tahoma"/>
            <family val="2"/>
          </rPr>
          <t>Densidad urbana en habitantes / hectárea</t>
        </r>
      </text>
    </comment>
    <comment ref="K1" authorId="0" shapeId="0" xr:uid="{2DD09233-94AA-4DD1-96AF-1EFE2862457A}">
      <text>
        <r>
          <rPr>
            <sz val="9"/>
            <color indexed="81"/>
            <rFont val="Tahoma"/>
            <family val="2"/>
          </rPr>
          <t>Densidad rural en habitantes / hectárea</t>
        </r>
      </text>
    </comment>
    <comment ref="L1" authorId="0" shapeId="0" xr:uid="{CFB7FB5E-B583-4F90-8CB1-C4BFEC478A70}">
      <text>
        <r>
          <rPr>
            <sz val="9"/>
            <color indexed="81"/>
            <rFont val="Tahoma"/>
            <family val="2"/>
          </rPr>
          <t>Espacio público efectivo urbano en ha</t>
        </r>
      </text>
    </comment>
    <comment ref="M1" authorId="0" shapeId="0" xr:uid="{46767F03-0BB1-43B9-B66D-A9FB380A4F1F}">
      <text>
        <r>
          <rPr>
            <sz val="9"/>
            <color indexed="81"/>
            <rFont val="Tahoma"/>
            <family val="2"/>
          </rPr>
          <t>Caudal total demandado acueducto lps - día</t>
        </r>
      </text>
    </comment>
    <comment ref="N1" authorId="0" shapeId="0" xr:uid="{91FBA825-8321-4C16-BA53-BD03C5EB30EE}">
      <text>
        <r>
          <rPr>
            <sz val="9"/>
            <color indexed="81"/>
            <rFont val="Tahoma"/>
            <family val="2"/>
          </rPr>
          <t>Caudal urbano demandado acueducto lps - día</t>
        </r>
      </text>
    </comment>
    <comment ref="O1" authorId="0" shapeId="0" xr:uid="{DE5723A9-8645-48C5-A8C8-B1859F5ECEC9}">
      <text>
        <r>
          <rPr>
            <sz val="9"/>
            <color indexed="81"/>
            <rFont val="Tahoma"/>
            <family val="2"/>
          </rPr>
          <t>Caudal rural demandado acueducto lps - día</t>
        </r>
      </text>
    </comment>
    <comment ref="P1" authorId="0" shapeId="0" xr:uid="{7AC6D96D-B4D2-4AD2-97A8-3ACFD250E9AE}">
      <text>
        <r>
          <rPr>
            <sz val="9"/>
            <color indexed="81"/>
            <rFont val="Tahoma"/>
            <family val="2"/>
          </rPr>
          <t>Caudal total sanitario residencial retornado en lps - día</t>
        </r>
      </text>
    </comment>
    <comment ref="Q1" authorId="0" shapeId="0" xr:uid="{4A5B18AA-D2A8-4139-AB75-B9D6581DC6A6}">
      <text>
        <r>
          <rPr>
            <sz val="9"/>
            <color indexed="81"/>
            <rFont val="Tahoma"/>
            <family val="2"/>
          </rPr>
          <t>Caudal urbano sanitario residencial retornado en lps - día</t>
        </r>
      </text>
    </comment>
    <comment ref="R1" authorId="0" shapeId="0" xr:uid="{B6D4EC77-19BF-42EB-AE28-96E9A12A68FD}">
      <text>
        <r>
          <rPr>
            <sz val="9"/>
            <color indexed="81"/>
            <rFont val="Tahoma"/>
            <family val="2"/>
          </rPr>
          <t>Caudal rural sanitario residencial retornado en lps - día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<sst xmlns="http://schemas.openxmlformats.org/spreadsheetml/2006/main" count="340" uniqueCount="117">
  <si>
    <t>Fuente</t>
  </si>
  <si>
    <t>Fecha</t>
  </si>
  <si>
    <t>PTotal</t>
  </si>
  <si>
    <t>Zona</t>
  </si>
  <si>
    <t>c1</t>
  </si>
  <si>
    <t>c2</t>
  </si>
  <si>
    <t>DANE</t>
  </si>
  <si>
    <t>Proyectada</t>
  </si>
  <si>
    <t>PTUrbano</t>
  </si>
  <si>
    <t>PTRural</t>
  </si>
  <si>
    <t>PTCPR</t>
  </si>
  <si>
    <t>PUrbana</t>
  </si>
  <si>
    <t>PRural</t>
  </si>
  <si>
    <t>PorcUrb</t>
  </si>
  <si>
    <t>PorcRural</t>
  </si>
  <si>
    <t>PorcTotal</t>
  </si>
  <si>
    <t>Urbano</t>
  </si>
  <si>
    <t>Rural</t>
  </si>
  <si>
    <t>Análisis de porcentaje de distribución por tendencia lineal</t>
  </si>
  <si>
    <t>Constante</t>
  </si>
  <si>
    <t>Análisis de tendencia observada</t>
  </si>
  <si>
    <t>Urbana</t>
  </si>
  <si>
    <t>Tendencia de distribución</t>
  </si>
  <si>
    <t>Aumenta, lo cual es indicativo de que los centros poblados rurales se están redensificando o que se estan implantando proyectos de vivienda campestre.</t>
  </si>
  <si>
    <t xml:space="preserve">Disminuye, lo que indica que a pesar de que la población urbana ha aumentado, su crecimiento no ha sido tan alto como el de los centros poblados en zonas rurales. </t>
  </si>
  <si>
    <t>Ejemplo</t>
  </si>
  <si>
    <t>Σ</t>
  </si>
  <si>
    <t>Formulación POT usando MOT</t>
  </si>
  <si>
    <t>Diagnóstico POT usando IGAC</t>
  </si>
  <si>
    <t>DANE 2020</t>
  </si>
  <si>
    <t>Urbano (ha)</t>
  </si>
  <si>
    <t>Rural (ha)</t>
  </si>
  <si>
    <t>Total (ha)</t>
  </si>
  <si>
    <t>Fuente geográfica</t>
  </si>
  <si>
    <t>Proyección de áreas por tipo de suelo</t>
  </si>
  <si>
    <t>DensUrb</t>
  </si>
  <si>
    <t>DensRur</t>
  </si>
  <si>
    <t>DensTotal</t>
  </si>
  <si>
    <t>AreaUrbPL</t>
  </si>
  <si>
    <t>AreaRurPL</t>
  </si>
  <si>
    <t>Análisis de distribución geográfica poblacional a partir de datos censales SISBEN</t>
  </si>
  <si>
    <t>Ejemplo con tendencia lineal</t>
  </si>
  <si>
    <t>Análisis de distribución del tipo de suelo</t>
  </si>
  <si>
    <t>Espacio público efectivo por habitante (m²)</t>
  </si>
  <si>
    <t>EPE</t>
  </si>
  <si>
    <t>EPEUrbHa</t>
  </si>
  <si>
    <t>AM</t>
  </si>
  <si>
    <t>Area municipal total a distribuir (ha)</t>
  </si>
  <si>
    <t>Parámetros generales</t>
  </si>
  <si>
    <t>Análisis de densidad, espacio público efectivo y demanda de servicios públicos</t>
  </si>
  <si>
    <t>Nivel de complejidad</t>
  </si>
  <si>
    <t>Bajo</t>
  </si>
  <si>
    <t>Medio</t>
  </si>
  <si>
    <t>Alto</t>
  </si>
  <si>
    <t>Nivel de complejidad del sistema</t>
  </si>
  <si>
    <t>Baja</t>
  </si>
  <si>
    <t>Media</t>
  </si>
  <si>
    <t>Alta</t>
  </si>
  <si>
    <t>Clima cálido</t>
  </si>
  <si>
    <t>Capacidad económica de los usuarios</t>
  </si>
  <si>
    <t>Clima templado o frío</t>
  </si>
  <si>
    <t>Asignación del nivel de complejidad - Título A RAS</t>
  </si>
  <si>
    <t>Clima</t>
  </si>
  <si>
    <t>Nivel de complejidad por población</t>
  </si>
  <si>
    <t>Población en la zona urbana (habitantes &lt;=)</t>
  </si>
  <si>
    <t>Nivel de complejidad por capacidad económica</t>
  </si>
  <si>
    <t>Población total actual</t>
  </si>
  <si>
    <t>Mayor nivel a aplicar</t>
  </si>
  <si>
    <t>Dotación neta aplicable</t>
  </si>
  <si>
    <t xml:space="preserve">Notas:
Población proyectada al periodo de diseño, incluida la población flotante.
Incluye la capacidad económica de población flotante. Debe ser evaluada  según metodología del DNP.
El nivel de complejidad del sistema adoptado debe ser el que resulte mayor entre la clasificación obtenida por la población urbana y la capacidad económica. La clasificación anterior solamente puede ser superada si se demuestra que el grado de exigencia técnica es alto y cumple con el requisito 3 del literal A.3.3. </t>
  </si>
  <si>
    <t>habitantes</t>
  </si>
  <si>
    <t>m.s.n.m</t>
  </si>
  <si>
    <t>Cota media casco urbano</t>
  </si>
  <si>
    <t>Dotación aplicable a proyecto</t>
  </si>
  <si>
    <t>Medio Alto</t>
  </si>
  <si>
    <t>Notas:
Se considera como clima cálido aquella zona del territorio nacional que se encuentre por debajo de 1000 m.s.n.m.
Para niveles de complejidad Medio Alto y Alto, el coeficiente de retorno uede ser definido por la persona prestadora del servicio público de alcantarillado</t>
  </si>
  <si>
    <t>Coeficiente de retorno</t>
  </si>
  <si>
    <t>Coeficiente de retorno a alcantarillado</t>
  </si>
  <si>
    <t>Adim.</t>
  </si>
  <si>
    <t>L/hab/día</t>
  </si>
  <si>
    <t>QAcuUrb</t>
  </si>
  <si>
    <t>QAcuTotal</t>
  </si>
  <si>
    <t>QAcuRur</t>
  </si>
  <si>
    <t>QAlcTotal</t>
  </si>
  <si>
    <t>QAlcUrb</t>
  </si>
  <si>
    <t>QAlcRur</t>
  </si>
  <si>
    <t>Dotación neta por habitante y clima - Título B RAS (L/hab/día) y coeficientes de retorno aguas residuales domésticas QD - Título D RAS</t>
  </si>
  <si>
    <t>Suelo</t>
  </si>
  <si>
    <t>Total</t>
  </si>
  <si>
    <t>Poblacion</t>
  </si>
  <si>
    <t>1905/12/31</t>
  </si>
  <si>
    <t>1928/12/31</t>
  </si>
  <si>
    <t>1938/12/31</t>
  </si>
  <si>
    <t>1951/12/31</t>
  </si>
  <si>
    <t>1964/12/31</t>
  </si>
  <si>
    <t>1973/12/31</t>
  </si>
  <si>
    <t>1985/12/31</t>
  </si>
  <si>
    <t>1993/12/31</t>
  </si>
  <si>
    <t>1995/12/31</t>
  </si>
  <si>
    <t>2005/12/31</t>
  </si>
  <si>
    <t>2018/12/31</t>
  </si>
  <si>
    <t>2019/12/31</t>
  </si>
  <si>
    <t>2024/12/31</t>
  </si>
  <si>
    <t>2029/12/31</t>
  </si>
  <si>
    <t>2034/12/31</t>
  </si>
  <si>
    <t>2039/12/31</t>
  </si>
  <si>
    <t>2044/12/31</t>
  </si>
  <si>
    <t>2049/12/31</t>
  </si>
  <si>
    <t>2054/12/31</t>
  </si>
  <si>
    <t>2059/12/31</t>
  </si>
  <si>
    <t>2064/12/31</t>
  </si>
  <si>
    <t>2069/12/31</t>
  </si>
  <si>
    <t>Densidad</t>
  </si>
  <si>
    <t>QAlc</t>
  </si>
  <si>
    <t>QAcu</t>
  </si>
  <si>
    <t>Análisis de demanda de agua potable y caudal servido (*Resolución 1096 del 17 de Noviembre de 2000 - RAS)</t>
  </si>
  <si>
    <t>*Tenga en cuenta que la Resolución 0330 de 2017, por medio del cual se actualizó el reglamento de agua potable y saneamiento básico - RAS, ajustó los rangos de elevación de la zona estudio a partir de los cuales se definen los valores correspondientes a las dotaciones netas y coeficientes de retorno. Posteriormente y mediante la Resolución 799 de 2021, se realizaron ajustes complementarios a estas normas.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</si>
</sst>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Calibri"/>
      <family val="2"/>
      <scheme val="minor"/>
    </font>
    <font>
      <sz val="11"/>
      <color theme="1"/>
      <name val="Segoe UI Light"/>
      <family val="2"/>
    </font>
    <font>
      <sz val="11"/>
      <color rgb="FF0070C0"/>
      <name val="Segoe UI Light"/>
      <family val="2"/>
    </font>
    <font>
      <sz val="11"/>
      <color theme="1"/>
      <name val="Calibri"/>
      <family val="2"/>
      <scheme val="minor"/>
    </font>
    <font>
      <sz val="9"/>
      <color indexed="81"/>
      <name val="Tahoma"/>
      <family val="2"/>
    </font>
    <font>
      <sz val="11"/>
      <name val="Segoe UI Light"/>
      <family val="2"/>
    </font>
    <font>
      <sz val="10"/>
      <color theme="1"/>
      <name val="Segoe UI Light"/>
      <family val="2"/>
    </font>
    <font>
      <b/>
      <sz val="11"/>
      <name val="Segoe UI Light"/>
      <family val="2"/>
    </font>
  </fonts>
  <fills count="3">
    <fill>
      <patternFill patternType="none"/>
    </fill>
    <fill>
      <patternFill patternType="gray125"/>
    </fill>
    <fill>
      <patternFill patternType="solid">
        <fgColor theme="0" tint="-4.9989318521683403E-2"/>
        <bgColor indexed="64"/>
      </patternFill>
    </fill>
  </fills>
  <borders count="26">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diagonal/>
    </border>
    <border>
      <left style="thin">
        <color indexed="64"/>
      </left>
      <right style="thin">
        <color theme="0" tint="-4.9989318521683403E-2"/>
      </right>
      <top/>
      <bottom/>
      <diagonal/>
    </border>
    <border>
      <left style="thin">
        <color indexed="64"/>
      </left>
      <right style="thin">
        <color theme="0" tint="-4.9989318521683403E-2"/>
      </right>
      <top/>
      <bottom style="thin">
        <color theme="0" tint="-4.9989318521683403E-2"/>
      </bottom>
      <diagonal/>
    </border>
    <border>
      <left style="thin">
        <color indexed="64"/>
      </left>
      <right style="thin">
        <color theme="0" tint="-4.9989318521683403E-2"/>
      </right>
      <top/>
      <bottom style="thin">
        <color indexed="64"/>
      </bottom>
      <diagonal/>
    </border>
    <border>
      <left style="thin">
        <color indexed="64"/>
      </left>
      <right/>
      <top style="thin">
        <color indexed="64"/>
      </top>
      <bottom style="thin">
        <color theme="0" tint="-4.9989318521683403E-2"/>
      </bottom>
      <diagonal/>
    </border>
    <border>
      <left/>
      <right style="thin">
        <color theme="0" tint="-4.9989318521683403E-2"/>
      </right>
      <top style="thin">
        <color indexed="64"/>
      </top>
      <bottom style="thin">
        <color theme="0" tint="-4.9989318521683403E-2"/>
      </bottom>
      <diagonal/>
    </border>
    <border>
      <left style="thin">
        <color indexed="64"/>
      </left>
      <right/>
      <top style="thin">
        <color theme="0" tint="-4.9989318521683403E-2"/>
      </top>
      <bottom style="thin">
        <color indexed="64"/>
      </bottom>
      <diagonal/>
    </border>
    <border>
      <left/>
      <right style="thin">
        <color theme="0" tint="-4.9989318521683403E-2"/>
      </right>
      <top style="thin">
        <color theme="0" tint="-4.9989318521683403E-2"/>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s>
  <cellStyleXfs count="2">
    <xf numFmtId="0" fontId="0" fillId="0" borderId="0"/>
    <xf numFmtId="9" fontId="3" fillId="0" borderId="0" applyFont="0" applyFill="0" applyBorder="0" applyAlignment="0" applyProtection="0"/>
  </cellStyleXfs>
  <cellXfs count="93">
    <xf numFmtId="0" fontId="0" fillId="0" borderId="0" xfId="0"/>
    <xf numFmtId="0" fontId="1" fillId="0" borderId="0" xfId="0" applyFont="1" applyAlignment="1">
      <alignment horizontal="left" vertical="top"/>
    </xf>
    <xf numFmtId="0" fontId="1" fillId="2" borderId="0" xfId="0" applyFont="1" applyFill="1" applyAlignment="1">
      <alignment horizontal="left" vertical="top"/>
    </xf>
    <xf numFmtId="0" fontId="1" fillId="0" borderId="0" xfId="0" applyFont="1"/>
    <xf numFmtId="0" fontId="1" fillId="0" borderId="1" xfId="0" applyFont="1" applyBorder="1" applyAlignment="1">
      <alignment horizontal="center"/>
    </xf>
    <xf numFmtId="9" fontId="1" fillId="0" borderId="2" xfId="1" applyFont="1" applyBorder="1" applyAlignment="1">
      <alignment horizontal="center"/>
    </xf>
    <xf numFmtId="0" fontId="1" fillId="0" borderId="5" xfId="0" applyFont="1" applyBorder="1" applyAlignment="1">
      <alignment horizontal="center"/>
    </xf>
    <xf numFmtId="9" fontId="1" fillId="0" borderId="6" xfId="1" applyFont="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7" xfId="0" applyFont="1" applyFill="1" applyBorder="1"/>
    <xf numFmtId="0" fontId="1" fillId="2" borderId="8" xfId="0" applyFont="1" applyFill="1" applyBorder="1"/>
    <xf numFmtId="0" fontId="1" fillId="2" borderId="9" xfId="0" applyFont="1" applyFill="1" applyBorder="1"/>
    <xf numFmtId="0" fontId="1" fillId="0" borderId="2" xfId="0" applyFont="1" applyBorder="1" applyAlignment="1">
      <alignment horizontal="center"/>
    </xf>
    <xf numFmtId="0" fontId="1" fillId="0" borderId="6"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10" fontId="1" fillId="0" borderId="1" xfId="1" applyNumberFormat="1" applyFont="1" applyBorder="1" applyAlignment="1">
      <alignment horizontal="center"/>
    </xf>
    <xf numFmtId="10" fontId="1" fillId="0" borderId="5" xfId="1" applyNumberFormat="1" applyFont="1" applyBorder="1" applyAlignment="1">
      <alignment horizontal="center"/>
    </xf>
    <xf numFmtId="10" fontId="1" fillId="0" borderId="0" xfId="1" applyNumberFormat="1" applyFont="1" applyAlignment="1">
      <alignment horizontal="left" vertical="top"/>
    </xf>
    <xf numFmtId="1" fontId="1" fillId="0" borderId="0" xfId="0" applyNumberFormat="1" applyFont="1" applyAlignment="1">
      <alignment horizontal="left" vertical="top"/>
    </xf>
    <xf numFmtId="0" fontId="1" fillId="0" borderId="3" xfId="0" applyFont="1" applyBorder="1"/>
    <xf numFmtId="0" fontId="1" fillId="0" borderId="4" xfId="0" applyFont="1" applyBorder="1"/>
    <xf numFmtId="0" fontId="1" fillId="2" borderId="7" xfId="0" applyFont="1" applyFill="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2" fontId="1" fillId="0" borderId="5" xfId="1" applyNumberFormat="1" applyFont="1" applyBorder="1" applyAlignment="1">
      <alignment horizontal="center"/>
    </xf>
    <xf numFmtId="2" fontId="1" fillId="0" borderId="6" xfId="1" applyNumberFormat="1" applyFont="1" applyBorder="1" applyAlignment="1">
      <alignment horizontal="center"/>
    </xf>
    <xf numFmtId="2" fontId="1" fillId="0" borderId="0" xfId="0" applyNumberFormat="1" applyFont="1" applyAlignment="1">
      <alignment horizontal="left" vertical="top"/>
    </xf>
    <xf numFmtId="0" fontId="5" fillId="2" borderId="8" xfId="0" applyFont="1" applyFill="1" applyBorder="1" applyAlignment="1">
      <alignment horizontal="left"/>
    </xf>
    <xf numFmtId="0" fontId="5" fillId="2" borderId="9" xfId="0" applyFont="1" applyFill="1" applyBorder="1" applyAlignment="1">
      <alignment horizontal="left"/>
    </xf>
    <xf numFmtId="164" fontId="5" fillId="0" borderId="1" xfId="0" applyNumberFormat="1" applyFont="1" applyBorder="1" applyAlignment="1">
      <alignment horizontal="left"/>
    </xf>
    <xf numFmtId="164" fontId="5" fillId="0" borderId="2" xfId="0" applyNumberFormat="1" applyFont="1" applyBorder="1" applyAlignment="1">
      <alignment horizontal="left"/>
    </xf>
    <xf numFmtId="164" fontId="5" fillId="0" borderId="5" xfId="0" applyNumberFormat="1" applyFont="1" applyBorder="1" applyAlignment="1">
      <alignment horizontal="left"/>
    </xf>
    <xf numFmtId="164" fontId="5" fillId="0" borderId="6" xfId="0" applyNumberFormat="1" applyFont="1" applyBorder="1" applyAlignment="1">
      <alignment horizontal="left"/>
    </xf>
    <xf numFmtId="0" fontId="1" fillId="0" borderId="0" xfId="0" applyFont="1" applyAlignment="1">
      <alignment vertical="top" wrapText="1"/>
    </xf>
    <xf numFmtId="0" fontId="2" fillId="0" borderId="8" xfId="0" applyFont="1" applyBorder="1" applyAlignment="1">
      <alignment horizontal="left"/>
    </xf>
    <xf numFmtId="0" fontId="1" fillId="0" borderId="9" xfId="0" applyFont="1" applyBorder="1"/>
    <xf numFmtId="0" fontId="2" fillId="0" borderId="5" xfId="0" applyFont="1" applyBorder="1" applyAlignment="1">
      <alignment horizontal="left"/>
    </xf>
    <xf numFmtId="0" fontId="1" fillId="0" borderId="6" xfId="0" applyFont="1" applyBorder="1"/>
    <xf numFmtId="0" fontId="2" fillId="0" borderId="8" xfId="0" applyFont="1" applyBorder="1" applyAlignment="1">
      <alignment horizontal="left" vertical="top"/>
    </xf>
    <xf numFmtId="0" fontId="1" fillId="0" borderId="2" xfId="0" applyFont="1" applyBorder="1" applyAlignment="1">
      <alignment horizontal="center" vertical="top"/>
    </xf>
    <xf numFmtId="0" fontId="1" fillId="0" borderId="6" xfId="0" applyFont="1" applyBorder="1" applyAlignment="1">
      <alignment horizontal="center" vertical="top"/>
    </xf>
    <xf numFmtId="0" fontId="1" fillId="0" borderId="9" xfId="0" applyFont="1" applyBorder="1" applyAlignment="1">
      <alignment horizontal="left" vertical="top"/>
    </xf>
    <xf numFmtId="0" fontId="1" fillId="0" borderId="6"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xf>
    <xf numFmtId="0" fontId="1" fillId="0" borderId="2" xfId="0" applyFont="1" applyBorder="1" applyAlignment="1">
      <alignment horizontal="left" vertical="top"/>
    </xf>
    <xf numFmtId="0" fontId="1" fillId="0" borderId="4" xfId="0" applyFont="1" applyBorder="1" applyAlignment="1">
      <alignment horizontal="left" vertical="top"/>
    </xf>
    <xf numFmtId="0" fontId="1" fillId="0" borderId="1" xfId="0" applyFont="1" applyBorder="1" applyAlignment="1">
      <alignment horizontal="left" vertical="top"/>
    </xf>
    <xf numFmtId="0" fontId="1" fillId="0" borderId="5" xfId="0" applyFont="1" applyBorder="1" applyAlignment="1">
      <alignment horizontal="left" vertical="top"/>
    </xf>
    <xf numFmtId="0" fontId="1" fillId="2" borderId="7" xfId="0" applyFont="1" applyFill="1" applyBorder="1" applyAlignment="1">
      <alignment horizontal="left" vertical="top" wrapText="1"/>
    </xf>
    <xf numFmtId="0" fontId="1" fillId="2" borderId="8" xfId="0" applyFont="1" applyFill="1" applyBorder="1" applyAlignment="1">
      <alignment horizontal="center" vertical="top" wrapText="1"/>
    </xf>
    <xf numFmtId="0" fontId="1" fillId="2" borderId="9" xfId="0" applyFont="1" applyFill="1" applyBorder="1" applyAlignment="1">
      <alignment horizontal="center" vertical="top" wrapText="1"/>
    </xf>
    <xf numFmtId="0" fontId="1" fillId="0" borderId="1" xfId="0" applyFont="1" applyBorder="1" applyAlignment="1">
      <alignment horizontal="center" vertical="top"/>
    </xf>
    <xf numFmtId="0" fontId="5" fillId="0" borderId="1" xfId="0" applyFont="1" applyBorder="1" applyAlignment="1">
      <alignment horizontal="left" vertical="top"/>
    </xf>
    <xf numFmtId="0" fontId="7" fillId="0" borderId="1" xfId="0" applyFont="1" applyBorder="1" applyAlignment="1">
      <alignment horizontal="left" vertical="top"/>
    </xf>
    <xf numFmtId="0" fontId="7" fillId="0" borderId="5" xfId="0" applyFont="1" applyBorder="1" applyAlignment="1">
      <alignment horizontal="left" vertical="top"/>
    </xf>
    <xf numFmtId="0" fontId="1" fillId="0" borderId="5" xfId="0" applyFont="1" applyBorder="1" applyAlignment="1">
      <alignment horizontal="center" vertical="top"/>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6" fillId="0" borderId="23" xfId="0" applyFont="1" applyBorder="1" applyAlignment="1">
      <alignment horizontal="left" vertical="top" wrapText="1"/>
    </xf>
    <xf numFmtId="0" fontId="6" fillId="0" borderId="18" xfId="0" applyFont="1" applyBorder="1" applyAlignment="1">
      <alignment horizontal="left" vertical="top" wrapText="1"/>
    </xf>
    <xf numFmtId="0" fontId="6" fillId="0" borderId="25" xfId="0" applyFont="1" applyBorder="1" applyAlignment="1">
      <alignment horizontal="left" vertical="top" wrapText="1"/>
    </xf>
    <xf numFmtId="0" fontId="6" fillId="0" borderId="19" xfId="0" applyFont="1" applyBorder="1" applyAlignment="1">
      <alignment horizontal="left" vertical="top" wrapText="1"/>
    </xf>
    <xf numFmtId="0" fontId="6" fillId="0" borderId="0" xfId="0" applyFont="1" applyAlignment="1">
      <alignment horizontal="left" vertical="top" wrapText="1"/>
    </xf>
    <xf numFmtId="0" fontId="6" fillId="0" borderId="20" xfId="0" applyFont="1" applyBorder="1" applyAlignment="1">
      <alignment horizontal="left" vertical="top" wrapText="1"/>
    </xf>
    <xf numFmtId="0" fontId="6" fillId="0" borderId="24"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1" fillId="0" borderId="0" xfId="0" applyFont="1" applyAlignment="1">
      <alignment horizontal="left" vertical="top" wrapText="1"/>
    </xf>
    <xf numFmtId="0" fontId="1" fillId="0" borderId="21" xfId="0" applyFont="1" applyBorder="1" applyAlignment="1">
      <alignment horizontal="left" vertical="top" wrapText="1"/>
    </xf>
    <xf numFmtId="0" fontId="1" fillId="2" borderId="16" xfId="0" applyFont="1" applyFill="1" applyBorder="1" applyAlignment="1">
      <alignment horizontal="left" vertical="top" wrapText="1"/>
    </xf>
    <xf numFmtId="0" fontId="1" fillId="2" borderId="17"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14" xfId="0" applyFont="1" applyFill="1" applyBorder="1" applyAlignment="1">
      <alignment horizontal="left" vertical="top" wrapText="1"/>
    </xf>
    <xf numFmtId="0" fontId="1" fillId="2" borderId="15" xfId="0" applyFont="1" applyFill="1" applyBorder="1" applyAlignment="1">
      <alignment horizontal="lef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10" xfId="0" applyFont="1" applyBorder="1" applyAlignment="1">
      <alignment horizontal="left" vertical="top"/>
    </xf>
    <xf numFmtId="0" fontId="1" fillId="0" borderId="11" xfId="0" applyFont="1" applyBorder="1" applyAlignment="1">
      <alignment horizontal="left" vertical="top"/>
    </xf>
    <xf numFmtId="0" fontId="1" fillId="0" borderId="12" xfId="0" applyFont="1" applyBorder="1" applyAlignment="1">
      <alignment horizontal="left" vertical="top"/>
    </xf>
    <xf numFmtId="0" fontId="1" fillId="0" borderId="13" xfId="0" applyFont="1" applyBorder="1" applyAlignment="1">
      <alignment horizontal="left" vertical="top"/>
    </xf>
    <xf numFmtId="0" fontId="1" fillId="2" borderId="14" xfId="0" applyFont="1" applyFill="1" applyBorder="1" applyAlignment="1">
      <alignment horizontal="left"/>
    </xf>
    <xf numFmtId="0" fontId="1" fillId="2" borderId="15" xfId="0" applyFont="1" applyFill="1" applyBorder="1" applyAlignment="1">
      <alignment horizontal="left"/>
    </xf>
    <xf numFmtId="0" fontId="1" fillId="2" borderId="16" xfId="0" applyFont="1" applyFill="1" applyBorder="1" applyAlignment="1">
      <alignment horizontal="left"/>
    </xf>
    <xf numFmtId="0" fontId="1" fillId="2" borderId="17" xfId="0" applyFont="1" applyFill="1"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chartsheet" Target="chartsheets/sheet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hartsheet" Target="chartsheets/sheet5.xml"/><Relationship Id="rId4" Type="http://schemas.openxmlformats.org/officeDocument/2006/relationships/worksheet" Target="worksheets/sheet4.xml"/><Relationship Id="rId9" Type="http://schemas.openxmlformats.org/officeDocument/2006/relationships/chartsheet" Target="chartsheets/sheet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s-CO" sz="1300"/>
              <a:t>Porcentajes de distribución poblacional</a:t>
            </a:r>
          </a:p>
        </c:rich>
      </c:tx>
      <c:layout>
        <c:manualLayout>
          <c:xMode val="edge"/>
          <c:yMode val="edge"/>
          <c:x val="0.16005300732179115"/>
          <c:y val="1.412997855747939E-2"/>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autoTitleDeleted val="0"/>
    <c:plotArea>
      <c:layout>
        <c:manualLayout>
          <c:layoutTarget val="inner"/>
          <c:xMode val="edge"/>
          <c:yMode val="edge"/>
          <c:x val="0.23490546588982456"/>
          <c:y val="0.12610672083529312"/>
          <c:w val="0.72786968826978204"/>
          <c:h val="0.73987071069619903"/>
        </c:manualLayout>
      </c:layout>
      <c:scatterChart>
        <c:scatterStyle val="smoothMarker"/>
        <c:varyColors val="0"/>
        <c:ser>
          <c:idx val="0"/>
          <c:order val="0"/>
          <c:tx>
            <c:strRef>
              <c:f>PoblacionSISBEN!$G$3</c:f>
              <c:strCache>
                <c:ptCount val="1"/>
                <c:pt idx="0">
                  <c:v>PorcUrb</c:v>
                </c:pt>
              </c:strCache>
            </c:strRef>
          </c:tx>
          <c:spPr>
            <a:ln w="19050" cap="rnd">
              <a:solidFill>
                <a:srgbClr val="C00000"/>
              </a:solidFill>
              <a:round/>
            </a:ln>
            <a:effectLst/>
          </c:spPr>
          <c:marker>
            <c:symbol val="circle"/>
            <c:size val="5"/>
            <c:spPr>
              <a:solidFill>
                <a:srgbClr val="C00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1"/>
            <c:trendlineLbl>
              <c:layout>
                <c:manualLayout>
                  <c:x val="4.1273148148148146E-3"/>
                  <c:y val="-7.388159722222222E-2"/>
                </c:manualLayout>
              </c:layout>
              <c:numFmt formatCode="General" sourceLinked="0"/>
              <c:spPr>
                <a:solidFill>
                  <a:schemeClr val="bg1"/>
                </a:solid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rendlineLbl>
          </c:trendline>
          <c:xVal>
            <c:numRef>
              <c:f>PoblacionSISBEN!$B$4:$B$5</c:f>
              <c:numCache>
                <c:formatCode>General</c:formatCode>
                <c:ptCount val="2"/>
                <c:pt idx="0">
                  <c:v>2000</c:v>
                </c:pt>
                <c:pt idx="1">
                  <c:v>2018</c:v>
                </c:pt>
              </c:numCache>
            </c:numRef>
          </c:xVal>
          <c:yVal>
            <c:numRef>
              <c:f>PoblacionSISBEN!$G$4:$G$5</c:f>
              <c:numCache>
                <c:formatCode>0.00%</c:formatCode>
                <c:ptCount val="2"/>
                <c:pt idx="0">
                  <c:v>0.83533231566959854</c:v>
                </c:pt>
                <c:pt idx="1">
                  <c:v>0.77216095194659817</c:v>
                </c:pt>
              </c:numCache>
            </c:numRef>
          </c:yVal>
          <c:smooth val="1"/>
          <c:extLst>
            <c:ext xmlns:c16="http://schemas.microsoft.com/office/drawing/2014/chart" uri="{C3380CC4-5D6E-409C-BE32-E72D297353CC}">
              <c16:uniqueId val="{00000000-B25A-4EE8-9B49-AE292DED62F2}"/>
            </c:ext>
          </c:extLst>
        </c:ser>
        <c:ser>
          <c:idx val="1"/>
          <c:order val="1"/>
          <c:tx>
            <c:strRef>
              <c:f>PoblacionSISBEN!$H$3</c:f>
              <c:strCache>
                <c:ptCount val="1"/>
                <c:pt idx="0">
                  <c:v>PorcRural</c:v>
                </c:pt>
              </c:strCache>
            </c:strRef>
          </c:tx>
          <c:spPr>
            <a:ln w="19050" cap="rnd">
              <a:solidFill>
                <a:srgbClr val="00B050"/>
              </a:solidFill>
              <a:round/>
            </a:ln>
            <a:effectLst/>
          </c:spPr>
          <c:marker>
            <c:symbol val="circle"/>
            <c:size val="5"/>
            <c:spPr>
              <a:solidFill>
                <a:srgbClr val="00B05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1"/>
            <c:trendlineLbl>
              <c:layout>
                <c:manualLayout>
                  <c:x val="2.0968093377187157E-2"/>
                  <c:y val="7.0323611111111031E-2"/>
                </c:manualLayout>
              </c:layout>
              <c:numFmt formatCode="General" sourceLinked="0"/>
              <c:spPr>
                <a:solidFill>
                  <a:schemeClr val="bg1"/>
                </a:solid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rendlineLbl>
          </c:trendline>
          <c:xVal>
            <c:numRef>
              <c:f>PoblacionSISBEN!$B$4:$B$5</c:f>
              <c:numCache>
                <c:formatCode>General</c:formatCode>
                <c:ptCount val="2"/>
                <c:pt idx="0">
                  <c:v>2000</c:v>
                </c:pt>
                <c:pt idx="1">
                  <c:v>2018</c:v>
                </c:pt>
              </c:numCache>
            </c:numRef>
          </c:xVal>
          <c:yVal>
            <c:numRef>
              <c:f>PoblacionSISBEN!$H$4:$H$5</c:f>
              <c:numCache>
                <c:formatCode>0.00%</c:formatCode>
                <c:ptCount val="2"/>
                <c:pt idx="0">
                  <c:v>0.16466768433040149</c:v>
                </c:pt>
                <c:pt idx="1">
                  <c:v>0.22783904805340188</c:v>
                </c:pt>
              </c:numCache>
            </c:numRef>
          </c:yVal>
          <c:smooth val="1"/>
          <c:extLst>
            <c:ext xmlns:c16="http://schemas.microsoft.com/office/drawing/2014/chart" uri="{C3380CC4-5D6E-409C-BE32-E72D297353CC}">
              <c16:uniqueId val="{00000001-B25A-4EE8-9B49-AE292DED62F2}"/>
            </c:ext>
          </c:extLst>
        </c:ser>
        <c:dLbls>
          <c:showLegendKey val="0"/>
          <c:showVal val="0"/>
          <c:showCatName val="0"/>
          <c:showSerName val="0"/>
          <c:showPercent val="0"/>
          <c:showBubbleSize val="0"/>
        </c:dLbls>
        <c:axId val="912975983"/>
        <c:axId val="912962543"/>
      </c:scatterChart>
      <c:valAx>
        <c:axId val="912975983"/>
        <c:scaling>
          <c:orientation val="minMax"/>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Año</a:t>
                </a:r>
              </a:p>
            </c:rich>
          </c:tx>
          <c:layout>
            <c:manualLayout>
              <c:xMode val="edge"/>
              <c:yMode val="edge"/>
              <c:x val="0.10289932814561326"/>
              <c:y val="0.912229190477395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912962543"/>
        <c:crosses val="autoZero"/>
        <c:crossBetween val="midCat"/>
      </c:valAx>
      <c:valAx>
        <c:axId val="91296254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Porcentaje</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0.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912975983"/>
        <c:crosses val="autoZero"/>
        <c:crossBetween val="midCat"/>
      </c:valAx>
      <c:spPr>
        <a:noFill/>
        <a:ln>
          <a:noFill/>
        </a:ln>
        <a:effectLst/>
      </c:spPr>
    </c:plotArea>
    <c:legend>
      <c:legendPos val="b"/>
      <c:layout>
        <c:manualLayout>
          <c:xMode val="edge"/>
          <c:yMode val="edge"/>
          <c:x val="0.29177248650627718"/>
          <c:y val="0.36514117600918783"/>
          <c:w val="0.43303865039808381"/>
          <c:h val="0.23019682114423343"/>
        </c:manualLayout>
      </c:layout>
      <c:overlay val="0"/>
      <c:spPr>
        <a:solidFill>
          <a:schemeClr val="bg1"/>
        </a:solid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Segoe UI Light" panose="020B0502040204020203" pitchFamily="34" charset="0"/>
          <a:cs typeface="Segoe UI Light" panose="020B0502040204020203" pitchFamily="34" charset="0"/>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s-CO" sz="1300"/>
              <a:t>Tendencia</a:t>
            </a:r>
            <a:r>
              <a:rPr lang="es-CO" sz="1300" baseline="0"/>
              <a:t> de á</a:t>
            </a:r>
            <a:r>
              <a:rPr lang="es-CO" sz="1300"/>
              <a:t>rea</a:t>
            </a:r>
            <a:r>
              <a:rPr lang="es-CO" sz="1300" baseline="0"/>
              <a:t> en suelo rural</a:t>
            </a:r>
            <a:endParaRPr lang="es-CO" sz="1300"/>
          </a:p>
        </c:rich>
      </c:tx>
      <c:layout>
        <c:manualLayout>
          <c:xMode val="edge"/>
          <c:yMode val="edge"/>
          <c:x val="0.13945740740740742"/>
          <c:y val="1.058251118732827E-2"/>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autoTitleDeleted val="0"/>
    <c:plotArea>
      <c:layout>
        <c:manualLayout>
          <c:layoutTarget val="inner"/>
          <c:xMode val="edge"/>
          <c:yMode val="edge"/>
          <c:x val="0.23490546588982456"/>
          <c:y val="0.12610672083529312"/>
          <c:w val="0.72786968826978204"/>
          <c:h val="0.73987071069619903"/>
        </c:manualLayout>
      </c:layout>
      <c:scatterChart>
        <c:scatterStyle val="smoothMarker"/>
        <c:varyColors val="0"/>
        <c:ser>
          <c:idx val="1"/>
          <c:order val="0"/>
          <c:tx>
            <c:strRef>
              <c:f>TipoSueloEPE!$E$9</c:f>
              <c:strCache>
                <c:ptCount val="1"/>
                <c:pt idx="0">
                  <c:v>Rural (ha)</c:v>
                </c:pt>
              </c:strCache>
            </c:strRef>
          </c:tx>
          <c:spPr>
            <a:ln w="19050" cap="rnd">
              <a:solidFill>
                <a:srgbClr val="00B050"/>
              </a:solidFill>
              <a:round/>
            </a:ln>
            <a:effectLst/>
          </c:spPr>
          <c:marker>
            <c:symbol val="circle"/>
            <c:size val="5"/>
            <c:spPr>
              <a:solidFill>
                <a:srgbClr val="00B050"/>
              </a:solidFill>
              <a:ln w="9525">
                <a:noFill/>
              </a:ln>
              <a:effectLst/>
            </c:spPr>
          </c:marker>
          <c:trendline>
            <c:spPr>
              <a:ln w="19050" cap="rnd">
                <a:solidFill>
                  <a:schemeClr val="tx1"/>
                </a:solidFill>
                <a:prstDash val="sysDot"/>
              </a:ln>
              <a:effectLst/>
            </c:spPr>
            <c:trendlineType val="linear"/>
            <c:dispRSqr val="0"/>
            <c:dispEq val="1"/>
            <c:trendlineLbl>
              <c:layout>
                <c:manualLayout>
                  <c:x val="-6.3632716049382712E-2"/>
                  <c:y val="2.2702231414732956E-2"/>
                </c:manualLayout>
              </c:layout>
              <c:numFmt formatCode="General" sourceLinked="0"/>
              <c:spPr>
                <a:solidFill>
                  <a:schemeClr val="bg1"/>
                </a:solid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rendlineLbl>
          </c:trendline>
          <c:xVal>
            <c:numRef>
              <c:f>TipoSueloEPE!$C$10:$C$12</c:f>
              <c:numCache>
                <c:formatCode>General</c:formatCode>
                <c:ptCount val="3"/>
                <c:pt idx="0">
                  <c:v>2010</c:v>
                </c:pt>
                <c:pt idx="1">
                  <c:v>2013</c:v>
                </c:pt>
                <c:pt idx="2">
                  <c:v>2020</c:v>
                </c:pt>
              </c:numCache>
            </c:numRef>
          </c:xVal>
          <c:yVal>
            <c:numRef>
              <c:f>TipoSueloEPE!$E$10:$E$12</c:f>
              <c:numCache>
                <c:formatCode>General</c:formatCode>
                <c:ptCount val="3"/>
                <c:pt idx="0">
                  <c:v>18726.86</c:v>
                </c:pt>
                <c:pt idx="1">
                  <c:v>18586.900000000001</c:v>
                </c:pt>
                <c:pt idx="2">
                  <c:v>18457.490000000002</c:v>
                </c:pt>
              </c:numCache>
            </c:numRef>
          </c:yVal>
          <c:smooth val="1"/>
          <c:extLst>
            <c:ext xmlns:c16="http://schemas.microsoft.com/office/drawing/2014/chart" uri="{C3380CC4-5D6E-409C-BE32-E72D297353CC}">
              <c16:uniqueId val="{00000003-0F58-456E-8B72-4818E7499AE9}"/>
            </c:ext>
          </c:extLst>
        </c:ser>
        <c:dLbls>
          <c:showLegendKey val="0"/>
          <c:showVal val="0"/>
          <c:showCatName val="0"/>
          <c:showSerName val="0"/>
          <c:showPercent val="0"/>
          <c:showBubbleSize val="0"/>
        </c:dLbls>
        <c:axId val="912975983"/>
        <c:axId val="912962543"/>
      </c:scatterChart>
      <c:valAx>
        <c:axId val="912975983"/>
        <c:scaling>
          <c:orientation val="minMax"/>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Año</a:t>
                </a:r>
              </a:p>
            </c:rich>
          </c:tx>
          <c:layout>
            <c:manualLayout>
              <c:xMode val="edge"/>
              <c:yMode val="edge"/>
              <c:x val="0.10289932814561326"/>
              <c:y val="0.912229190477395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912962543"/>
        <c:crosses val="autoZero"/>
        <c:crossBetween val="midCat"/>
      </c:valAx>
      <c:valAx>
        <c:axId val="912962543"/>
        <c:scaling>
          <c:orientation val="minMax"/>
          <c:min val="1820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Área (ha)</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912975983"/>
        <c:crosses val="autoZero"/>
        <c:crossBetween val="midCat"/>
      </c:valAx>
      <c:spPr>
        <a:noFill/>
        <a:ln>
          <a:noFill/>
        </a:ln>
        <a:effectLst/>
      </c:spPr>
    </c:plotArea>
    <c:legend>
      <c:legendPos val="b"/>
      <c:layout>
        <c:manualLayout>
          <c:xMode val="edge"/>
          <c:yMode val="edge"/>
          <c:x val="0.25896683151245253"/>
          <c:y val="0.69604914447054023"/>
          <c:w val="0.49536912066892341"/>
          <c:h val="0.14218927617404023"/>
        </c:manualLayout>
      </c:layout>
      <c:overlay val="0"/>
      <c:spPr>
        <a:solidFill>
          <a:schemeClr val="bg1"/>
        </a:solid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Segoe UI Light" panose="020B0502040204020203" pitchFamily="34" charset="0"/>
          <a:cs typeface="Segoe UI Light" panose="020B0502040204020203" pitchFamily="34" charset="0"/>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s-CO" sz="1300" b="0" i="0" u="none" strike="noStrike" kern="1200" spc="0" baseline="0">
                <a:solidFill>
                  <a:sysClr val="windowText" lastClr="000000"/>
                </a:solidFill>
                <a:latin typeface="Segoe UI Light" panose="020B0502040204020203" pitchFamily="34" charset="0"/>
                <a:cs typeface="Segoe UI Light" panose="020B0502040204020203" pitchFamily="34" charset="0"/>
              </a:rPr>
              <a:t>Tendencia de área</a:t>
            </a:r>
            <a:r>
              <a:rPr lang="es-CO" sz="1300" baseline="0"/>
              <a:t> en suelo urbano</a:t>
            </a:r>
            <a:endParaRPr lang="es-CO" sz="1300"/>
          </a:p>
        </c:rich>
      </c:tx>
      <c:layout>
        <c:manualLayout>
          <c:xMode val="edge"/>
          <c:yMode val="edge"/>
          <c:x val="0.11398672839506173"/>
          <c:y val="1.0580717455503364E-2"/>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autoTitleDeleted val="0"/>
    <c:plotArea>
      <c:layout>
        <c:manualLayout>
          <c:layoutTarget val="inner"/>
          <c:xMode val="edge"/>
          <c:yMode val="edge"/>
          <c:x val="0.23490546588982456"/>
          <c:y val="0.12610672083529312"/>
          <c:w val="0.72786968826978204"/>
          <c:h val="0.73987071069619903"/>
        </c:manualLayout>
      </c:layout>
      <c:scatterChart>
        <c:scatterStyle val="smoothMarker"/>
        <c:varyColors val="0"/>
        <c:ser>
          <c:idx val="0"/>
          <c:order val="0"/>
          <c:tx>
            <c:strRef>
              <c:f>TipoSueloEPE!$D$9</c:f>
              <c:strCache>
                <c:ptCount val="1"/>
                <c:pt idx="0">
                  <c:v>Urbano (ha)</c:v>
                </c:pt>
              </c:strCache>
            </c:strRef>
          </c:tx>
          <c:spPr>
            <a:ln w="19050" cap="rnd">
              <a:solidFill>
                <a:srgbClr val="C00000"/>
              </a:solidFill>
              <a:round/>
            </a:ln>
            <a:effectLst/>
          </c:spPr>
          <c:marker>
            <c:symbol val="circle"/>
            <c:size val="5"/>
            <c:spPr>
              <a:solidFill>
                <a:srgbClr val="C00000"/>
              </a:solidFill>
              <a:ln w="9525">
                <a:noFill/>
              </a:ln>
              <a:effectLst/>
            </c:spPr>
          </c:marker>
          <c:trendline>
            <c:spPr>
              <a:ln w="19050" cap="rnd">
                <a:solidFill>
                  <a:schemeClr val="tx1"/>
                </a:solidFill>
                <a:prstDash val="sysDot"/>
              </a:ln>
              <a:effectLst/>
            </c:spPr>
            <c:trendlineType val="linear"/>
            <c:dispRSqr val="0"/>
            <c:dispEq val="1"/>
            <c:trendlineLbl>
              <c:layout>
                <c:manualLayout>
                  <c:x val="-0.14490241869127338"/>
                  <c:y val="-3.8799864151938437E-2"/>
                </c:manualLayout>
              </c:layout>
              <c:numFmt formatCode="General" sourceLinked="0"/>
              <c:spPr>
                <a:solidFill>
                  <a:schemeClr val="bg1"/>
                </a:solid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rendlineLbl>
          </c:trendline>
          <c:xVal>
            <c:numRef>
              <c:f>TipoSueloEPE!$C$10:$C$12</c:f>
              <c:numCache>
                <c:formatCode>General</c:formatCode>
                <c:ptCount val="3"/>
                <c:pt idx="0">
                  <c:v>2010</c:v>
                </c:pt>
                <c:pt idx="1">
                  <c:v>2013</c:v>
                </c:pt>
                <c:pt idx="2">
                  <c:v>2020</c:v>
                </c:pt>
              </c:numCache>
            </c:numRef>
          </c:xVal>
          <c:yVal>
            <c:numRef>
              <c:f>TipoSueloEPE!$D$10:$D$12</c:f>
              <c:numCache>
                <c:formatCode>General</c:formatCode>
                <c:ptCount val="3"/>
                <c:pt idx="0">
                  <c:v>795.52</c:v>
                </c:pt>
                <c:pt idx="1">
                  <c:v>935.49</c:v>
                </c:pt>
                <c:pt idx="2">
                  <c:v>1024.53</c:v>
                </c:pt>
              </c:numCache>
            </c:numRef>
          </c:yVal>
          <c:smooth val="1"/>
          <c:extLst>
            <c:ext xmlns:c16="http://schemas.microsoft.com/office/drawing/2014/chart" uri="{C3380CC4-5D6E-409C-BE32-E72D297353CC}">
              <c16:uniqueId val="{00000001-0287-4F6E-B876-3C954B8F76BC}"/>
            </c:ext>
          </c:extLst>
        </c:ser>
        <c:dLbls>
          <c:showLegendKey val="0"/>
          <c:showVal val="0"/>
          <c:showCatName val="0"/>
          <c:showSerName val="0"/>
          <c:showPercent val="0"/>
          <c:showBubbleSize val="0"/>
        </c:dLbls>
        <c:axId val="912975983"/>
        <c:axId val="912962543"/>
      </c:scatterChart>
      <c:valAx>
        <c:axId val="912975983"/>
        <c:scaling>
          <c:orientation val="minMax"/>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Año</a:t>
                </a:r>
              </a:p>
            </c:rich>
          </c:tx>
          <c:layout>
            <c:manualLayout>
              <c:xMode val="edge"/>
              <c:yMode val="edge"/>
              <c:x val="0.10289932814561326"/>
              <c:y val="0.912229190477395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912962543"/>
        <c:crosses val="autoZero"/>
        <c:crossBetween val="midCat"/>
      </c:valAx>
      <c:valAx>
        <c:axId val="912962543"/>
        <c:scaling>
          <c:orientation val="minMax"/>
          <c:min val="650"/>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sz="1200" b="0" i="0" u="none" strike="noStrike" kern="1200" baseline="0">
                    <a:solidFill>
                      <a:sysClr val="windowText" lastClr="000000"/>
                    </a:solidFill>
                    <a:latin typeface="Segoe UI Light" panose="020B0502040204020203" pitchFamily="34" charset="0"/>
                    <a:cs typeface="Segoe UI Light" panose="020B0502040204020203" pitchFamily="34" charset="0"/>
                  </a:rPr>
                  <a:t>Área (ha)</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912975983"/>
        <c:crosses val="autoZero"/>
        <c:crossBetween val="midCat"/>
      </c:valAx>
      <c:spPr>
        <a:noFill/>
        <a:ln>
          <a:noFill/>
        </a:ln>
        <a:effectLst/>
      </c:spPr>
    </c:plotArea>
    <c:legend>
      <c:legendPos val="b"/>
      <c:layout>
        <c:manualLayout>
          <c:xMode val="edge"/>
          <c:yMode val="edge"/>
          <c:x val="0.35691512345679011"/>
          <c:y val="0.67345729142210542"/>
          <c:w val="0.58609567901234572"/>
          <c:h val="0.15925949548394405"/>
        </c:manualLayout>
      </c:layout>
      <c:overlay val="0"/>
      <c:spPr>
        <a:solidFill>
          <a:schemeClr val="bg1"/>
        </a:solid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Segoe UI Light" panose="020B0502040204020203" pitchFamily="34" charset="0"/>
          <a:cs typeface="Segoe UI Light" panose="020B0502040204020203" pitchFamily="34" charset="0"/>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s-CO" sz="1300" b="0" i="0" u="none" strike="noStrike" kern="1200" spc="0" baseline="0">
                <a:solidFill>
                  <a:sysClr val="windowText" lastClr="000000"/>
                </a:solidFill>
                <a:latin typeface="Segoe UI Light" panose="020B0502040204020203" pitchFamily="34" charset="0"/>
                <a:cs typeface="Segoe UI Light" panose="020B0502040204020203" pitchFamily="34" charset="0"/>
              </a:rPr>
              <a:t>Dotación neta agua potable</a:t>
            </a:r>
            <a:endParaRPr lang="es-CO" sz="1300"/>
          </a:p>
        </c:rich>
      </c:tx>
      <c:layout>
        <c:manualLayout>
          <c:xMode val="edge"/>
          <c:yMode val="edge"/>
          <c:x val="0.28026000538658064"/>
          <c:y val="3.5978343165269447E-3"/>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autoTitleDeleted val="0"/>
    <c:plotArea>
      <c:layout>
        <c:manualLayout>
          <c:layoutTarget val="inner"/>
          <c:xMode val="edge"/>
          <c:yMode val="edge"/>
          <c:x val="0.14583044989170726"/>
          <c:y val="0.21101035721021172"/>
          <c:w val="0.81397546487313466"/>
          <c:h val="0.59672172880791186"/>
        </c:manualLayout>
      </c:layout>
      <c:barChart>
        <c:barDir val="col"/>
        <c:grouping val="clustered"/>
        <c:varyColors val="0"/>
        <c:ser>
          <c:idx val="1"/>
          <c:order val="0"/>
          <c:tx>
            <c:strRef>
              <c:f>AguaPotSanBas!$C$30</c:f>
              <c:strCache>
                <c:ptCount val="1"/>
                <c:pt idx="0">
                  <c:v>Clima templado o frío</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AguaPotSanBas!$C$31:$C$34</c:f>
              <c:numCache>
                <c:formatCode>General</c:formatCode>
                <c:ptCount val="4"/>
                <c:pt idx="0">
                  <c:v>90</c:v>
                </c:pt>
                <c:pt idx="1">
                  <c:v>115</c:v>
                </c:pt>
                <c:pt idx="2">
                  <c:v>125</c:v>
                </c:pt>
                <c:pt idx="3">
                  <c:v>140</c:v>
                </c:pt>
              </c:numCache>
            </c:numRef>
          </c:val>
          <c:extLst>
            <c:ext xmlns:c16="http://schemas.microsoft.com/office/drawing/2014/chart" uri="{C3380CC4-5D6E-409C-BE32-E72D297353CC}">
              <c16:uniqueId val="{00000002-9EC8-4EDF-9735-15F5E627D245}"/>
            </c:ext>
          </c:extLst>
        </c:ser>
        <c:ser>
          <c:idx val="0"/>
          <c:order val="1"/>
          <c:tx>
            <c:strRef>
              <c:f>AguaPotSanBas!$D$30</c:f>
              <c:strCache>
                <c:ptCount val="1"/>
                <c:pt idx="0">
                  <c:v>Clima cálido</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AguaPotSanBas!$B$31:$B$34</c:f>
              <c:strCache>
                <c:ptCount val="4"/>
                <c:pt idx="0">
                  <c:v>Bajo</c:v>
                </c:pt>
                <c:pt idx="1">
                  <c:v>Medio</c:v>
                </c:pt>
                <c:pt idx="2">
                  <c:v>Medio Alto</c:v>
                </c:pt>
                <c:pt idx="3">
                  <c:v>Alto</c:v>
                </c:pt>
              </c:strCache>
            </c:strRef>
          </c:cat>
          <c:val>
            <c:numRef>
              <c:f>AguaPotSanBas!$D$31:$D$34</c:f>
              <c:numCache>
                <c:formatCode>General</c:formatCode>
                <c:ptCount val="4"/>
                <c:pt idx="0">
                  <c:v>100</c:v>
                </c:pt>
                <c:pt idx="1">
                  <c:v>125</c:v>
                </c:pt>
                <c:pt idx="2">
                  <c:v>135</c:v>
                </c:pt>
                <c:pt idx="3">
                  <c:v>150</c:v>
                </c:pt>
              </c:numCache>
            </c:numRef>
          </c:val>
          <c:extLst>
            <c:ext xmlns:c16="http://schemas.microsoft.com/office/drawing/2014/chart" uri="{C3380CC4-5D6E-409C-BE32-E72D297353CC}">
              <c16:uniqueId val="{00000001-9EC8-4EDF-9735-15F5E627D245}"/>
            </c:ext>
          </c:extLst>
        </c:ser>
        <c:dLbls>
          <c:showLegendKey val="0"/>
          <c:showVal val="0"/>
          <c:showCatName val="0"/>
          <c:showSerName val="0"/>
          <c:showPercent val="0"/>
          <c:showBubbleSize val="0"/>
        </c:dLbls>
        <c:gapWidth val="150"/>
        <c:axId val="912975983"/>
        <c:axId val="912962543"/>
      </c:barChart>
      <c:catAx>
        <c:axId val="912975983"/>
        <c:scaling>
          <c:orientation val="minMax"/>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Nivel de complejidad</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912962543"/>
        <c:crosses val="autoZero"/>
        <c:auto val="1"/>
        <c:lblAlgn val="ctr"/>
        <c:lblOffset val="100"/>
        <c:tickMarkSkip val="1"/>
        <c:noMultiLvlLbl val="0"/>
      </c:catAx>
      <c:valAx>
        <c:axId val="91296254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sz="1200" b="0" i="0" u="none" strike="noStrike" kern="1200" baseline="0">
                    <a:solidFill>
                      <a:sysClr val="windowText" lastClr="000000"/>
                    </a:solidFill>
                    <a:latin typeface="Segoe UI Light" panose="020B0502040204020203" pitchFamily="34" charset="0"/>
                    <a:cs typeface="Segoe UI Light" panose="020B0502040204020203" pitchFamily="34" charset="0"/>
                  </a:rPr>
                  <a:t>Dotación neta (L/hab~día)</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912975983"/>
        <c:crosses val="autoZero"/>
        <c:crossBetween val="between"/>
      </c:valAx>
      <c:spPr>
        <a:noFill/>
        <a:ln>
          <a:noFill/>
        </a:ln>
        <a:effectLst/>
      </c:spPr>
    </c:plotArea>
    <c:legend>
      <c:legendPos val="b"/>
      <c:layout>
        <c:manualLayout>
          <c:xMode val="edge"/>
          <c:yMode val="edge"/>
          <c:x val="6.5936984487395781E-2"/>
          <c:y val="9.0386549317574394E-2"/>
          <c:w val="0.89527449117386315"/>
          <c:h val="6.6688733310496934E-2"/>
        </c:manualLayout>
      </c:layout>
      <c:overlay val="0"/>
      <c:spPr>
        <a:solidFill>
          <a:schemeClr val="bg1"/>
        </a:solid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Segoe UI Light" panose="020B0502040204020203" pitchFamily="34" charset="0"/>
          <a:cs typeface="Segoe UI Light" panose="020B0502040204020203" pitchFamily="34" charset="0"/>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n-US"/>
              <a:t>Caudal de demanda acueducto</a:t>
            </a:r>
            <a:r>
              <a:rPr lang="en-US" baseline="0"/>
              <a:t> </a:t>
            </a: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n-US"/>
        </a:p>
      </c:txPr>
    </c:title>
    <c:autoTitleDeleted val="0"/>
    <c:plotArea>
      <c:layout>
        <c:manualLayout>
          <c:layoutTarget val="inner"/>
          <c:xMode val="edge"/>
          <c:yMode val="edge"/>
          <c:x val="8.4059800734530107E-2"/>
          <c:y val="7.5395530104191519E-2"/>
          <c:w val="0.8853851140454414"/>
          <c:h val="0.83757935109742632"/>
        </c:manualLayout>
      </c:layout>
      <c:scatterChart>
        <c:scatterStyle val="smoothMarker"/>
        <c:varyColors val="0"/>
        <c:ser>
          <c:idx val="9"/>
          <c:order val="0"/>
          <c:tx>
            <c:strRef>
              <c:f>PoblacionAreaDensEPEQ!$M$1</c:f>
              <c:strCache>
                <c:ptCount val="1"/>
                <c:pt idx="0">
                  <c:v>QAcuTotal</c:v>
                </c:pt>
              </c:strCache>
            </c:strRef>
          </c:tx>
          <c:spPr>
            <a:ln w="19050" cap="rnd">
              <a:solidFill>
                <a:schemeClr val="tx1"/>
              </a:solidFill>
              <a:round/>
            </a:ln>
            <a:effectLst/>
          </c:spPr>
          <c:marker>
            <c:symbol val="circle"/>
            <c:size val="5"/>
            <c:spPr>
              <a:solidFill>
                <a:schemeClr val="tx1"/>
              </a:solidFill>
              <a:ln w="9525">
                <a:noFill/>
              </a:ln>
              <a:effectLst/>
            </c:spPr>
          </c:marker>
          <c:dLbls>
            <c:dLbl>
              <c:idx val="10"/>
              <c:layout>
                <c:manualLayout>
                  <c:x val="-3.9259122208649487E-2"/>
                  <c:y val="-4.76363636363636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BE-4319-8E4C-451C617EF0D1}"/>
                </c:ext>
              </c:extLst>
            </c:dLbl>
            <c:dLbl>
              <c:idx val="11"/>
              <c:layout>
                <c:manualLayout>
                  <c:x val="-1.0185982249850683E-2"/>
                  <c:y val="-7.34443649089318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BE-4319-8E4C-451C617EF0D1}"/>
                </c:ext>
              </c:extLst>
            </c:dLbl>
            <c:spPr>
              <a:noFill/>
              <a:ln>
                <a:noFill/>
              </a:ln>
              <a:effectLst/>
            </c:spPr>
            <c:txPr>
              <a:bodyPr rot="-5400000" spcFirstLastPara="1" vertOverflow="ellipsis" wrap="square" lIns="38100" tIns="19050" rIns="38100" bIns="19050" anchor="ctr" anchorCtr="1">
                <a:spAutoFit/>
              </a:bodyPr>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PoblacionAreaDensEPEQ!$B$2:$B$23</c:f>
              <c:numCache>
                <c:formatCode>General</c:formatCode>
                <c:ptCount val="22"/>
                <c:pt idx="0">
                  <c:v>1905</c:v>
                </c:pt>
                <c:pt idx="1">
                  <c:v>1928</c:v>
                </c:pt>
                <c:pt idx="2">
                  <c:v>1938</c:v>
                </c:pt>
                <c:pt idx="3">
                  <c:v>1951</c:v>
                </c:pt>
                <c:pt idx="4">
                  <c:v>1964</c:v>
                </c:pt>
                <c:pt idx="5">
                  <c:v>1973</c:v>
                </c:pt>
                <c:pt idx="6">
                  <c:v>1985</c:v>
                </c:pt>
                <c:pt idx="7">
                  <c:v>1993</c:v>
                </c:pt>
                <c:pt idx="8">
                  <c:v>1995</c:v>
                </c:pt>
                <c:pt idx="9">
                  <c:v>2005</c:v>
                </c:pt>
                <c:pt idx="10">
                  <c:v>2018</c:v>
                </c:pt>
                <c:pt idx="11">
                  <c:v>2019</c:v>
                </c:pt>
                <c:pt idx="12">
                  <c:v>2024</c:v>
                </c:pt>
                <c:pt idx="13">
                  <c:v>2029</c:v>
                </c:pt>
                <c:pt idx="14">
                  <c:v>2034</c:v>
                </c:pt>
                <c:pt idx="15">
                  <c:v>2039</c:v>
                </c:pt>
                <c:pt idx="16">
                  <c:v>2044</c:v>
                </c:pt>
                <c:pt idx="17">
                  <c:v>2049</c:v>
                </c:pt>
                <c:pt idx="18">
                  <c:v>2054</c:v>
                </c:pt>
                <c:pt idx="19">
                  <c:v>2059</c:v>
                </c:pt>
                <c:pt idx="20">
                  <c:v>2064</c:v>
                </c:pt>
                <c:pt idx="21">
                  <c:v>2069</c:v>
                </c:pt>
              </c:numCache>
            </c:numRef>
          </c:xVal>
          <c:yVal>
            <c:numRef>
              <c:f>PoblacionAreaDensEPEQ!$M$2:$M$23</c:f>
              <c:numCache>
                <c:formatCode>0.00</c:formatCode>
                <c:ptCount val="22"/>
                <c:pt idx="0">
                  <c:v>11.517592592592592</c:v>
                </c:pt>
                <c:pt idx="1">
                  <c:v>18.601851851851851</c:v>
                </c:pt>
                <c:pt idx="2">
                  <c:v>19.886805555555554</c:v>
                </c:pt>
                <c:pt idx="3">
                  <c:v>33.424999999999997</c:v>
                </c:pt>
                <c:pt idx="4">
                  <c:v>45.005787037037038</c:v>
                </c:pt>
                <c:pt idx="5">
                  <c:v>64.54907407407407</c:v>
                </c:pt>
                <c:pt idx="6">
                  <c:v>97.549537037037041</c:v>
                </c:pt>
                <c:pt idx="7">
                  <c:v>112.93171296296296</c:v>
                </c:pt>
                <c:pt idx="8">
                  <c:v>127.88449074074074</c:v>
                </c:pt>
                <c:pt idx="9">
                  <c:v>162.0986111111111</c:v>
                </c:pt>
                <c:pt idx="10">
                  <c:v>208.97592592592594</c:v>
                </c:pt>
                <c:pt idx="11">
                  <c:v>207.27453703703705</c:v>
                </c:pt>
                <c:pt idx="12">
                  <c:v>227.41249999999999</c:v>
                </c:pt>
                <c:pt idx="13">
                  <c:v>248.53726851851852</c:v>
                </c:pt>
                <c:pt idx="14">
                  <c:v>270.64398148148149</c:v>
                </c:pt>
                <c:pt idx="15">
                  <c:v>293.73750000000001</c:v>
                </c:pt>
                <c:pt idx="16">
                  <c:v>317.81296296296296</c:v>
                </c:pt>
                <c:pt idx="17">
                  <c:v>342.87361111111113</c:v>
                </c:pt>
                <c:pt idx="18">
                  <c:v>368.91944444444442</c:v>
                </c:pt>
                <c:pt idx="19">
                  <c:v>395.94722222222219</c:v>
                </c:pt>
                <c:pt idx="20">
                  <c:v>423.96180555555554</c:v>
                </c:pt>
                <c:pt idx="21">
                  <c:v>452.95833333333331</c:v>
                </c:pt>
              </c:numCache>
            </c:numRef>
          </c:yVal>
          <c:smooth val="1"/>
          <c:extLst>
            <c:ext xmlns:c16="http://schemas.microsoft.com/office/drawing/2014/chart" uri="{C3380CC4-5D6E-409C-BE32-E72D297353CC}">
              <c16:uniqueId val="{00000003-6DBE-4319-8E4C-451C617EF0D1}"/>
            </c:ext>
          </c:extLst>
        </c:ser>
        <c:ser>
          <c:idx val="0"/>
          <c:order val="1"/>
          <c:tx>
            <c:strRef>
              <c:f>PoblacionAreaDensEPEQ!$N$1</c:f>
              <c:strCache>
                <c:ptCount val="1"/>
                <c:pt idx="0">
                  <c:v>QAcuUrb</c:v>
                </c:pt>
              </c:strCache>
            </c:strRef>
          </c:tx>
          <c:spPr>
            <a:ln w="19050" cap="rnd">
              <a:solidFill>
                <a:srgbClr val="C00000"/>
              </a:solidFill>
              <a:round/>
            </a:ln>
            <a:effectLst/>
          </c:spPr>
          <c:marker>
            <c:symbol val="circle"/>
            <c:size val="5"/>
            <c:spPr>
              <a:solidFill>
                <a:srgbClr val="C00000"/>
              </a:solidFill>
              <a:ln w="9525">
                <a:noFill/>
              </a:ln>
              <a:effectLst/>
            </c:spPr>
          </c:marker>
          <c:dLbls>
            <c:dLbl>
              <c:idx val="2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BE-4319-8E4C-451C617EF0D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PoblacionAreaDensEPEQ!$B$2:$B$23</c:f>
              <c:numCache>
                <c:formatCode>General</c:formatCode>
                <c:ptCount val="22"/>
                <c:pt idx="0">
                  <c:v>1905</c:v>
                </c:pt>
                <c:pt idx="1">
                  <c:v>1928</c:v>
                </c:pt>
                <c:pt idx="2">
                  <c:v>1938</c:v>
                </c:pt>
                <c:pt idx="3">
                  <c:v>1951</c:v>
                </c:pt>
                <c:pt idx="4">
                  <c:v>1964</c:v>
                </c:pt>
                <c:pt idx="5">
                  <c:v>1973</c:v>
                </c:pt>
                <c:pt idx="6">
                  <c:v>1985</c:v>
                </c:pt>
                <c:pt idx="7">
                  <c:v>1993</c:v>
                </c:pt>
                <c:pt idx="8">
                  <c:v>1995</c:v>
                </c:pt>
                <c:pt idx="9">
                  <c:v>2005</c:v>
                </c:pt>
                <c:pt idx="10">
                  <c:v>2018</c:v>
                </c:pt>
                <c:pt idx="11">
                  <c:v>2019</c:v>
                </c:pt>
                <c:pt idx="12">
                  <c:v>2024</c:v>
                </c:pt>
                <c:pt idx="13">
                  <c:v>2029</c:v>
                </c:pt>
                <c:pt idx="14">
                  <c:v>2034</c:v>
                </c:pt>
                <c:pt idx="15">
                  <c:v>2039</c:v>
                </c:pt>
                <c:pt idx="16">
                  <c:v>2044</c:v>
                </c:pt>
                <c:pt idx="17">
                  <c:v>2049</c:v>
                </c:pt>
                <c:pt idx="18">
                  <c:v>2054</c:v>
                </c:pt>
                <c:pt idx="19">
                  <c:v>2059</c:v>
                </c:pt>
                <c:pt idx="20">
                  <c:v>2064</c:v>
                </c:pt>
                <c:pt idx="21">
                  <c:v>2069</c:v>
                </c:pt>
              </c:numCache>
            </c:numRef>
          </c:xVal>
          <c:yVal>
            <c:numRef>
              <c:f>PoblacionAreaDensEPEQ!$N$2:$N$23</c:f>
              <c:numCache>
                <c:formatCode>0.00</c:formatCode>
                <c:ptCount val="22"/>
                <c:pt idx="0">
                  <c:v>11.517592592592592</c:v>
                </c:pt>
                <c:pt idx="1">
                  <c:v>18.601851851851851</c:v>
                </c:pt>
                <c:pt idx="2">
                  <c:v>19.886805555555554</c:v>
                </c:pt>
                <c:pt idx="3">
                  <c:v>33.424999999999997</c:v>
                </c:pt>
                <c:pt idx="4">
                  <c:v>43.281712962962963</c:v>
                </c:pt>
                <c:pt idx="5">
                  <c:v>60.03634259259259</c:v>
                </c:pt>
                <c:pt idx="6">
                  <c:v>86.621759259259264</c:v>
                </c:pt>
                <c:pt idx="7">
                  <c:v>97.110416666666666</c:v>
                </c:pt>
                <c:pt idx="8">
                  <c:v>109.07037037037037</c:v>
                </c:pt>
                <c:pt idx="9">
                  <c:v>132.5625</c:v>
                </c:pt>
                <c:pt idx="10">
                  <c:v>161.36296296296297</c:v>
                </c:pt>
                <c:pt idx="11">
                  <c:v>159.32129629629631</c:v>
                </c:pt>
                <c:pt idx="12">
                  <c:v>170.80972222222223</c:v>
                </c:pt>
                <c:pt idx="13">
                  <c:v>182.31597222222223</c:v>
                </c:pt>
                <c:pt idx="14">
                  <c:v>193.78333333333333</c:v>
                </c:pt>
                <c:pt idx="15">
                  <c:v>205.1648148148148</c:v>
                </c:pt>
                <c:pt idx="16">
                  <c:v>216.40370370370371</c:v>
                </c:pt>
                <c:pt idx="17">
                  <c:v>227.45138888888889</c:v>
                </c:pt>
                <c:pt idx="18">
                  <c:v>238.25439814814814</c:v>
                </c:pt>
                <c:pt idx="19">
                  <c:v>248.76249999999999</c:v>
                </c:pt>
                <c:pt idx="20">
                  <c:v>258.92384259259262</c:v>
                </c:pt>
                <c:pt idx="21">
                  <c:v>268.68333333333334</c:v>
                </c:pt>
              </c:numCache>
            </c:numRef>
          </c:yVal>
          <c:smooth val="1"/>
          <c:extLst>
            <c:ext xmlns:c16="http://schemas.microsoft.com/office/drawing/2014/chart" uri="{C3380CC4-5D6E-409C-BE32-E72D297353CC}">
              <c16:uniqueId val="{00000005-6DBE-4319-8E4C-451C617EF0D1}"/>
            </c:ext>
          </c:extLst>
        </c:ser>
        <c:ser>
          <c:idx val="1"/>
          <c:order val="2"/>
          <c:tx>
            <c:strRef>
              <c:f>PoblacionAreaDensEPEQ!$O$1</c:f>
              <c:strCache>
                <c:ptCount val="1"/>
                <c:pt idx="0">
                  <c:v>QAcuRur</c:v>
                </c:pt>
              </c:strCache>
            </c:strRef>
          </c:tx>
          <c:spPr>
            <a:ln w="19050" cap="rnd">
              <a:solidFill>
                <a:srgbClr val="00B050"/>
              </a:solidFill>
              <a:round/>
            </a:ln>
            <a:effectLst/>
          </c:spPr>
          <c:marker>
            <c:symbol val="circle"/>
            <c:size val="5"/>
            <c:spPr>
              <a:solidFill>
                <a:srgbClr val="00B050"/>
              </a:solidFill>
              <a:ln w="9525">
                <a:noFill/>
              </a:ln>
              <a:effectLst/>
            </c:spPr>
          </c:marker>
          <c:dLbls>
            <c:dLbl>
              <c:idx val="2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DBE-4319-8E4C-451C617EF0D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PoblacionAreaDensEPEQ!$B$2:$B$23</c:f>
              <c:numCache>
                <c:formatCode>General</c:formatCode>
                <c:ptCount val="22"/>
                <c:pt idx="0">
                  <c:v>1905</c:v>
                </c:pt>
                <c:pt idx="1">
                  <c:v>1928</c:v>
                </c:pt>
                <c:pt idx="2">
                  <c:v>1938</c:v>
                </c:pt>
                <c:pt idx="3">
                  <c:v>1951</c:v>
                </c:pt>
                <c:pt idx="4">
                  <c:v>1964</c:v>
                </c:pt>
                <c:pt idx="5">
                  <c:v>1973</c:v>
                </c:pt>
                <c:pt idx="6">
                  <c:v>1985</c:v>
                </c:pt>
                <c:pt idx="7">
                  <c:v>1993</c:v>
                </c:pt>
                <c:pt idx="8">
                  <c:v>1995</c:v>
                </c:pt>
                <c:pt idx="9">
                  <c:v>2005</c:v>
                </c:pt>
                <c:pt idx="10">
                  <c:v>2018</c:v>
                </c:pt>
                <c:pt idx="11">
                  <c:v>2019</c:v>
                </c:pt>
                <c:pt idx="12">
                  <c:v>2024</c:v>
                </c:pt>
                <c:pt idx="13">
                  <c:v>2029</c:v>
                </c:pt>
                <c:pt idx="14">
                  <c:v>2034</c:v>
                </c:pt>
                <c:pt idx="15">
                  <c:v>2039</c:v>
                </c:pt>
                <c:pt idx="16">
                  <c:v>2044</c:v>
                </c:pt>
                <c:pt idx="17">
                  <c:v>2049</c:v>
                </c:pt>
                <c:pt idx="18">
                  <c:v>2054</c:v>
                </c:pt>
                <c:pt idx="19">
                  <c:v>2059</c:v>
                </c:pt>
                <c:pt idx="20">
                  <c:v>2064</c:v>
                </c:pt>
                <c:pt idx="21">
                  <c:v>2069</c:v>
                </c:pt>
              </c:numCache>
            </c:numRef>
          </c:xVal>
          <c:yVal>
            <c:numRef>
              <c:f>PoblacionAreaDensEPEQ!$O$2:$O$23</c:f>
              <c:numCache>
                <c:formatCode>0.00</c:formatCode>
                <c:ptCount val="22"/>
                <c:pt idx="0">
                  <c:v>0</c:v>
                </c:pt>
                <c:pt idx="1">
                  <c:v>0</c:v>
                </c:pt>
                <c:pt idx="2">
                  <c:v>0</c:v>
                </c:pt>
                <c:pt idx="3">
                  <c:v>0</c:v>
                </c:pt>
                <c:pt idx="4">
                  <c:v>1.7240740740740741</c:v>
                </c:pt>
                <c:pt idx="5">
                  <c:v>4.5127314814814818</c:v>
                </c:pt>
                <c:pt idx="6">
                  <c:v>10.927777777777777</c:v>
                </c:pt>
                <c:pt idx="7">
                  <c:v>15.821296296296296</c:v>
                </c:pt>
                <c:pt idx="8">
                  <c:v>18.814120370370372</c:v>
                </c:pt>
                <c:pt idx="9">
                  <c:v>29.536111111111111</c:v>
                </c:pt>
                <c:pt idx="10">
                  <c:v>47.61296296296296</c:v>
                </c:pt>
                <c:pt idx="11">
                  <c:v>47.953240740740739</c:v>
                </c:pt>
                <c:pt idx="12">
                  <c:v>56.602777777777774</c:v>
                </c:pt>
                <c:pt idx="13">
                  <c:v>66.221296296296302</c:v>
                </c:pt>
                <c:pt idx="14">
                  <c:v>76.860648148148144</c:v>
                </c:pt>
                <c:pt idx="15">
                  <c:v>88.572685185185179</c:v>
                </c:pt>
                <c:pt idx="16">
                  <c:v>101.40925925925926</c:v>
                </c:pt>
                <c:pt idx="17">
                  <c:v>115.42222222222222</c:v>
                </c:pt>
                <c:pt idx="18">
                  <c:v>130.66504629629631</c:v>
                </c:pt>
                <c:pt idx="19">
                  <c:v>147.18472222222223</c:v>
                </c:pt>
                <c:pt idx="20">
                  <c:v>165.03796296296295</c:v>
                </c:pt>
                <c:pt idx="21">
                  <c:v>184.27500000000001</c:v>
                </c:pt>
              </c:numCache>
            </c:numRef>
          </c:yVal>
          <c:smooth val="1"/>
          <c:extLst>
            <c:ext xmlns:c16="http://schemas.microsoft.com/office/drawing/2014/chart" uri="{C3380CC4-5D6E-409C-BE32-E72D297353CC}">
              <c16:uniqueId val="{00000007-6DBE-4319-8E4C-451C617EF0D1}"/>
            </c:ext>
          </c:extLst>
        </c:ser>
        <c:dLbls>
          <c:showLegendKey val="0"/>
          <c:showVal val="0"/>
          <c:showCatName val="0"/>
          <c:showSerName val="0"/>
          <c:showPercent val="0"/>
          <c:showBubbleSize val="0"/>
        </c:dLbls>
        <c:axId val="663400352"/>
        <c:axId val="663400832"/>
      </c:scatterChart>
      <c:valAx>
        <c:axId val="663400352"/>
        <c:scaling>
          <c:orientation val="minMax"/>
          <c:min val="1900"/>
        </c:scaling>
        <c:delete val="0"/>
        <c:axPos val="b"/>
        <c:majorGridlines>
          <c:spPr>
            <a:ln w="6350" cap="flat" cmpd="sng" algn="ctr">
              <a:solidFill>
                <a:schemeClr val="bg1">
                  <a:lumMod val="9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Año</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63400832"/>
        <c:crosses val="autoZero"/>
        <c:crossBetween val="midCat"/>
      </c:valAx>
      <c:valAx>
        <c:axId val="663400832"/>
        <c:scaling>
          <c:orientation val="minMax"/>
          <c:min val="-1"/>
        </c:scaling>
        <c:delete val="0"/>
        <c:axPos val="l"/>
        <c:majorGridlines>
          <c:spPr>
            <a:ln w="6350"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Caudal de demanda (lps-d)</a:t>
                </a:r>
              </a:p>
              <a:p>
                <a:pPr>
                  <a:defRPr/>
                </a:pPr>
                <a:endParaRPr lang="es-CO"/>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0.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63400352"/>
        <c:crosses val="autoZero"/>
        <c:crossBetween val="midCat"/>
      </c:valAx>
      <c:spPr>
        <a:noFill/>
        <a:ln>
          <a:noFill/>
        </a:ln>
        <a:effectLst/>
      </c:spPr>
    </c:plotArea>
    <c:legend>
      <c:legendPos val="b"/>
      <c:layout>
        <c:manualLayout>
          <c:xMode val="edge"/>
          <c:yMode val="edge"/>
          <c:x val="8.837951387606352E-2"/>
          <c:y val="9.84273849352469E-2"/>
          <c:w val="0.11463503425708151"/>
          <c:h val="0.12624839842771657"/>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Segoe UI Light" panose="020B0502040204020203" pitchFamily="34" charset="0"/>
          <a:cs typeface="Segoe UI Light" panose="020B0502040204020203" pitchFamily="34" charset="0"/>
        </a:defRPr>
      </a:pPr>
      <a:endParaRPr lang="es-CO"/>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n-US"/>
              <a:t>Caudal doméstico</a:t>
            </a:r>
            <a:r>
              <a:rPr lang="en-US" baseline="0"/>
              <a:t> </a:t>
            </a:r>
            <a:r>
              <a:rPr lang="en-US"/>
              <a:t>retornado a alcantarillado</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autoTitleDeleted val="0"/>
    <c:plotArea>
      <c:layout>
        <c:manualLayout>
          <c:layoutTarget val="inner"/>
          <c:xMode val="edge"/>
          <c:yMode val="edge"/>
          <c:x val="8.3021474307430135E-2"/>
          <c:y val="7.5395530104191519E-2"/>
          <c:w val="0.8853851140454414"/>
          <c:h val="0.83757935109742632"/>
        </c:manualLayout>
      </c:layout>
      <c:scatterChart>
        <c:scatterStyle val="smoothMarker"/>
        <c:varyColors val="0"/>
        <c:ser>
          <c:idx val="9"/>
          <c:order val="0"/>
          <c:tx>
            <c:strRef>
              <c:f>PoblacionAreaDensEPEQ!$P$1</c:f>
              <c:strCache>
                <c:ptCount val="1"/>
                <c:pt idx="0">
                  <c:v>QAlcTotal</c:v>
                </c:pt>
              </c:strCache>
            </c:strRef>
          </c:tx>
          <c:spPr>
            <a:ln w="19050" cap="rnd">
              <a:solidFill>
                <a:schemeClr val="tx1"/>
              </a:solidFill>
              <a:round/>
            </a:ln>
            <a:effectLst/>
          </c:spPr>
          <c:marker>
            <c:symbol val="circle"/>
            <c:size val="5"/>
            <c:spPr>
              <a:solidFill>
                <a:schemeClr val="tx1"/>
              </a:solidFill>
              <a:ln w="9525">
                <a:noFill/>
              </a:ln>
              <a:effectLst/>
            </c:spPr>
          </c:marker>
          <c:dLbls>
            <c:spPr>
              <a:noFill/>
              <a:ln>
                <a:noFill/>
              </a:ln>
              <a:effectLst/>
            </c:spPr>
            <c:txPr>
              <a:bodyPr rot="-5400000" spcFirstLastPara="1" vertOverflow="ellipsis" wrap="square" lIns="38100" tIns="19050" rIns="38100" bIns="19050" anchor="ctr" anchorCtr="1">
                <a:spAutoFit/>
              </a:bodyPr>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PoblacionAreaDensEPEQ!$B$2:$B$23</c:f>
              <c:numCache>
                <c:formatCode>General</c:formatCode>
                <c:ptCount val="22"/>
                <c:pt idx="0">
                  <c:v>1905</c:v>
                </c:pt>
                <c:pt idx="1">
                  <c:v>1928</c:v>
                </c:pt>
                <c:pt idx="2">
                  <c:v>1938</c:v>
                </c:pt>
                <c:pt idx="3">
                  <c:v>1951</c:v>
                </c:pt>
                <c:pt idx="4">
                  <c:v>1964</c:v>
                </c:pt>
                <c:pt idx="5">
                  <c:v>1973</c:v>
                </c:pt>
                <c:pt idx="6">
                  <c:v>1985</c:v>
                </c:pt>
                <c:pt idx="7">
                  <c:v>1993</c:v>
                </c:pt>
                <c:pt idx="8">
                  <c:v>1995</c:v>
                </c:pt>
                <c:pt idx="9">
                  <c:v>2005</c:v>
                </c:pt>
                <c:pt idx="10">
                  <c:v>2018</c:v>
                </c:pt>
                <c:pt idx="11">
                  <c:v>2019</c:v>
                </c:pt>
                <c:pt idx="12">
                  <c:v>2024</c:v>
                </c:pt>
                <c:pt idx="13">
                  <c:v>2029</c:v>
                </c:pt>
                <c:pt idx="14">
                  <c:v>2034</c:v>
                </c:pt>
                <c:pt idx="15">
                  <c:v>2039</c:v>
                </c:pt>
                <c:pt idx="16">
                  <c:v>2044</c:v>
                </c:pt>
                <c:pt idx="17">
                  <c:v>2049</c:v>
                </c:pt>
                <c:pt idx="18">
                  <c:v>2054</c:v>
                </c:pt>
                <c:pt idx="19">
                  <c:v>2059</c:v>
                </c:pt>
                <c:pt idx="20">
                  <c:v>2064</c:v>
                </c:pt>
                <c:pt idx="21">
                  <c:v>2069</c:v>
                </c:pt>
              </c:numCache>
            </c:numRef>
          </c:xVal>
          <c:yVal>
            <c:numRef>
              <c:f>PoblacionAreaDensEPEQ!$P$2:$P$23</c:f>
              <c:numCache>
                <c:formatCode>0.00</c:formatCode>
                <c:ptCount val="22"/>
                <c:pt idx="0">
                  <c:v>9.7899537037037039</c:v>
                </c:pt>
                <c:pt idx="1">
                  <c:v>15.811574074074073</c:v>
                </c:pt>
                <c:pt idx="2">
                  <c:v>16.90378472222222</c:v>
                </c:pt>
                <c:pt idx="3">
                  <c:v>28.411249999999995</c:v>
                </c:pt>
                <c:pt idx="4">
                  <c:v>38.254918981481481</c:v>
                </c:pt>
                <c:pt idx="5">
                  <c:v>54.866712962962957</c:v>
                </c:pt>
                <c:pt idx="6">
                  <c:v>82.917106481481483</c:v>
                </c:pt>
                <c:pt idx="7">
                  <c:v>95.991956018518522</c:v>
                </c:pt>
                <c:pt idx="8">
                  <c:v>108.70181712962963</c:v>
                </c:pt>
                <c:pt idx="9">
                  <c:v>137.78381944444442</c:v>
                </c:pt>
                <c:pt idx="10">
                  <c:v>177.62953703703704</c:v>
                </c:pt>
                <c:pt idx="11">
                  <c:v>176.1833564814815</c:v>
                </c:pt>
                <c:pt idx="12">
                  <c:v>193.300625</c:v>
                </c:pt>
                <c:pt idx="13">
                  <c:v>211.25667824074074</c:v>
                </c:pt>
                <c:pt idx="14">
                  <c:v>230.04738425925925</c:v>
                </c:pt>
                <c:pt idx="15">
                  <c:v>249.676875</c:v>
                </c:pt>
                <c:pt idx="16">
                  <c:v>270.14101851851848</c:v>
                </c:pt>
                <c:pt idx="17">
                  <c:v>291.44256944444447</c:v>
                </c:pt>
                <c:pt idx="18">
                  <c:v>313.58152777777775</c:v>
                </c:pt>
                <c:pt idx="19">
                  <c:v>336.55513888888885</c:v>
                </c:pt>
                <c:pt idx="20">
                  <c:v>360.36753472222222</c:v>
                </c:pt>
                <c:pt idx="21">
                  <c:v>385.01458333333329</c:v>
                </c:pt>
              </c:numCache>
            </c:numRef>
          </c:yVal>
          <c:smooth val="1"/>
          <c:extLst>
            <c:ext xmlns:c16="http://schemas.microsoft.com/office/drawing/2014/chart" uri="{C3380CC4-5D6E-409C-BE32-E72D297353CC}">
              <c16:uniqueId val="{00000002-AF41-4827-AEA4-D9AD4EC36778}"/>
            </c:ext>
          </c:extLst>
        </c:ser>
        <c:ser>
          <c:idx val="0"/>
          <c:order val="1"/>
          <c:tx>
            <c:strRef>
              <c:f>PoblacionAreaDensEPEQ!$Q$1</c:f>
              <c:strCache>
                <c:ptCount val="1"/>
                <c:pt idx="0">
                  <c:v>QAlcUrb</c:v>
                </c:pt>
              </c:strCache>
            </c:strRef>
          </c:tx>
          <c:spPr>
            <a:ln w="19050" cap="rnd">
              <a:solidFill>
                <a:srgbClr val="C00000"/>
              </a:solidFill>
              <a:round/>
            </a:ln>
            <a:effectLst/>
          </c:spPr>
          <c:marker>
            <c:symbol val="circle"/>
            <c:size val="5"/>
            <c:spPr>
              <a:solidFill>
                <a:srgbClr val="C00000"/>
              </a:solidFill>
              <a:ln w="9525">
                <a:noFill/>
              </a:ln>
              <a:effectLst/>
            </c:spPr>
          </c:marker>
          <c:dLbls>
            <c:dLbl>
              <c:idx val="2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41-4827-AEA4-D9AD4EC3677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PoblacionAreaDensEPEQ!$B$2:$B$23</c:f>
              <c:numCache>
                <c:formatCode>General</c:formatCode>
                <c:ptCount val="22"/>
                <c:pt idx="0">
                  <c:v>1905</c:v>
                </c:pt>
                <c:pt idx="1">
                  <c:v>1928</c:v>
                </c:pt>
                <c:pt idx="2">
                  <c:v>1938</c:v>
                </c:pt>
                <c:pt idx="3">
                  <c:v>1951</c:v>
                </c:pt>
                <c:pt idx="4">
                  <c:v>1964</c:v>
                </c:pt>
                <c:pt idx="5">
                  <c:v>1973</c:v>
                </c:pt>
                <c:pt idx="6">
                  <c:v>1985</c:v>
                </c:pt>
                <c:pt idx="7">
                  <c:v>1993</c:v>
                </c:pt>
                <c:pt idx="8">
                  <c:v>1995</c:v>
                </c:pt>
                <c:pt idx="9">
                  <c:v>2005</c:v>
                </c:pt>
                <c:pt idx="10">
                  <c:v>2018</c:v>
                </c:pt>
                <c:pt idx="11">
                  <c:v>2019</c:v>
                </c:pt>
                <c:pt idx="12">
                  <c:v>2024</c:v>
                </c:pt>
                <c:pt idx="13">
                  <c:v>2029</c:v>
                </c:pt>
                <c:pt idx="14">
                  <c:v>2034</c:v>
                </c:pt>
                <c:pt idx="15">
                  <c:v>2039</c:v>
                </c:pt>
                <c:pt idx="16">
                  <c:v>2044</c:v>
                </c:pt>
                <c:pt idx="17">
                  <c:v>2049</c:v>
                </c:pt>
                <c:pt idx="18">
                  <c:v>2054</c:v>
                </c:pt>
                <c:pt idx="19">
                  <c:v>2059</c:v>
                </c:pt>
                <c:pt idx="20">
                  <c:v>2064</c:v>
                </c:pt>
                <c:pt idx="21">
                  <c:v>2069</c:v>
                </c:pt>
              </c:numCache>
            </c:numRef>
          </c:xVal>
          <c:yVal>
            <c:numRef>
              <c:f>PoblacionAreaDensEPEQ!$Q$2:$Q$23</c:f>
              <c:numCache>
                <c:formatCode>0.00</c:formatCode>
                <c:ptCount val="22"/>
                <c:pt idx="0">
                  <c:v>9.7899537037037039</c:v>
                </c:pt>
                <c:pt idx="1">
                  <c:v>15.811574074074073</c:v>
                </c:pt>
                <c:pt idx="2">
                  <c:v>16.90378472222222</c:v>
                </c:pt>
                <c:pt idx="3">
                  <c:v>28.411249999999995</c:v>
                </c:pt>
                <c:pt idx="4">
                  <c:v>36.789456018518521</c:v>
                </c:pt>
                <c:pt idx="5">
                  <c:v>51.030891203703703</c:v>
                </c:pt>
                <c:pt idx="6">
                  <c:v>73.628495370370374</c:v>
                </c:pt>
                <c:pt idx="7">
                  <c:v>82.543854166666662</c:v>
                </c:pt>
                <c:pt idx="8">
                  <c:v>92.709814814814806</c:v>
                </c:pt>
                <c:pt idx="9">
                  <c:v>112.67812499999999</c:v>
                </c:pt>
                <c:pt idx="10">
                  <c:v>137.15851851851852</c:v>
                </c:pt>
                <c:pt idx="11">
                  <c:v>135.42310185185187</c:v>
                </c:pt>
                <c:pt idx="12">
                  <c:v>145.18826388888888</c:v>
                </c:pt>
                <c:pt idx="13">
                  <c:v>154.96857638888889</c:v>
                </c:pt>
                <c:pt idx="14">
                  <c:v>164.71583333333334</c:v>
                </c:pt>
                <c:pt idx="15">
                  <c:v>174.39009259259257</c:v>
                </c:pt>
                <c:pt idx="16">
                  <c:v>183.94314814814814</c:v>
                </c:pt>
                <c:pt idx="17">
                  <c:v>193.33368055555556</c:v>
                </c:pt>
                <c:pt idx="18">
                  <c:v>202.51623842592591</c:v>
                </c:pt>
                <c:pt idx="19">
                  <c:v>211.44812499999998</c:v>
                </c:pt>
                <c:pt idx="20">
                  <c:v>220.08526620370372</c:v>
                </c:pt>
                <c:pt idx="21">
                  <c:v>228.38083333333333</c:v>
                </c:pt>
              </c:numCache>
            </c:numRef>
          </c:yVal>
          <c:smooth val="1"/>
          <c:extLst>
            <c:ext xmlns:c16="http://schemas.microsoft.com/office/drawing/2014/chart" uri="{C3380CC4-5D6E-409C-BE32-E72D297353CC}">
              <c16:uniqueId val="{00000004-AF41-4827-AEA4-D9AD4EC36778}"/>
            </c:ext>
          </c:extLst>
        </c:ser>
        <c:ser>
          <c:idx val="1"/>
          <c:order val="2"/>
          <c:tx>
            <c:strRef>
              <c:f>PoblacionAreaDensEPEQ!$R$1</c:f>
              <c:strCache>
                <c:ptCount val="1"/>
                <c:pt idx="0">
                  <c:v>QAlcRur</c:v>
                </c:pt>
              </c:strCache>
            </c:strRef>
          </c:tx>
          <c:spPr>
            <a:ln w="19050" cap="rnd">
              <a:solidFill>
                <a:srgbClr val="00B050"/>
              </a:solidFill>
              <a:round/>
            </a:ln>
            <a:effectLst/>
          </c:spPr>
          <c:marker>
            <c:symbol val="circle"/>
            <c:size val="5"/>
            <c:spPr>
              <a:solidFill>
                <a:srgbClr val="00B050"/>
              </a:solidFill>
              <a:ln w="9525">
                <a:noFill/>
              </a:ln>
              <a:effectLst/>
            </c:spPr>
          </c:marker>
          <c:dLbls>
            <c:dLbl>
              <c:idx val="2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41-4827-AEA4-D9AD4EC3677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PoblacionAreaDensEPEQ!$B$2:$B$23</c:f>
              <c:numCache>
                <c:formatCode>General</c:formatCode>
                <c:ptCount val="22"/>
                <c:pt idx="0">
                  <c:v>1905</c:v>
                </c:pt>
                <c:pt idx="1">
                  <c:v>1928</c:v>
                </c:pt>
                <c:pt idx="2">
                  <c:v>1938</c:v>
                </c:pt>
                <c:pt idx="3">
                  <c:v>1951</c:v>
                </c:pt>
                <c:pt idx="4">
                  <c:v>1964</c:v>
                </c:pt>
                <c:pt idx="5">
                  <c:v>1973</c:v>
                </c:pt>
                <c:pt idx="6">
                  <c:v>1985</c:v>
                </c:pt>
                <c:pt idx="7">
                  <c:v>1993</c:v>
                </c:pt>
                <c:pt idx="8">
                  <c:v>1995</c:v>
                </c:pt>
                <c:pt idx="9">
                  <c:v>2005</c:v>
                </c:pt>
                <c:pt idx="10">
                  <c:v>2018</c:v>
                </c:pt>
                <c:pt idx="11">
                  <c:v>2019</c:v>
                </c:pt>
                <c:pt idx="12">
                  <c:v>2024</c:v>
                </c:pt>
                <c:pt idx="13">
                  <c:v>2029</c:v>
                </c:pt>
                <c:pt idx="14">
                  <c:v>2034</c:v>
                </c:pt>
                <c:pt idx="15">
                  <c:v>2039</c:v>
                </c:pt>
                <c:pt idx="16">
                  <c:v>2044</c:v>
                </c:pt>
                <c:pt idx="17">
                  <c:v>2049</c:v>
                </c:pt>
                <c:pt idx="18">
                  <c:v>2054</c:v>
                </c:pt>
                <c:pt idx="19">
                  <c:v>2059</c:v>
                </c:pt>
                <c:pt idx="20">
                  <c:v>2064</c:v>
                </c:pt>
                <c:pt idx="21">
                  <c:v>2069</c:v>
                </c:pt>
              </c:numCache>
            </c:numRef>
          </c:xVal>
          <c:yVal>
            <c:numRef>
              <c:f>PoblacionAreaDensEPEQ!$R$2:$R$23</c:f>
              <c:numCache>
                <c:formatCode>0.00</c:formatCode>
                <c:ptCount val="22"/>
                <c:pt idx="0">
                  <c:v>0</c:v>
                </c:pt>
                <c:pt idx="1">
                  <c:v>0</c:v>
                </c:pt>
                <c:pt idx="2">
                  <c:v>0</c:v>
                </c:pt>
                <c:pt idx="3">
                  <c:v>0</c:v>
                </c:pt>
                <c:pt idx="4">
                  <c:v>1.465462962962963</c:v>
                </c:pt>
                <c:pt idx="5">
                  <c:v>3.8358217592592596</c:v>
                </c:pt>
                <c:pt idx="6">
                  <c:v>9.2886111111111109</c:v>
                </c:pt>
                <c:pt idx="7">
                  <c:v>13.448101851851851</c:v>
                </c:pt>
                <c:pt idx="8">
                  <c:v>15.992002314814815</c:v>
                </c:pt>
                <c:pt idx="9">
                  <c:v>25.105694444444445</c:v>
                </c:pt>
                <c:pt idx="10">
                  <c:v>40.471018518518513</c:v>
                </c:pt>
                <c:pt idx="11">
                  <c:v>40.760254629629628</c:v>
                </c:pt>
                <c:pt idx="12">
                  <c:v>48.112361111111106</c:v>
                </c:pt>
                <c:pt idx="13">
                  <c:v>56.288101851851856</c:v>
                </c:pt>
                <c:pt idx="14">
                  <c:v>65.331550925925924</c:v>
                </c:pt>
                <c:pt idx="15">
                  <c:v>75.286782407407401</c:v>
                </c:pt>
                <c:pt idx="16">
                  <c:v>86.197870370370367</c:v>
                </c:pt>
                <c:pt idx="17">
                  <c:v>98.108888888888885</c:v>
                </c:pt>
                <c:pt idx="18">
                  <c:v>111.06528935185186</c:v>
                </c:pt>
                <c:pt idx="19">
                  <c:v>125.1070138888889</c:v>
                </c:pt>
                <c:pt idx="20">
                  <c:v>140.28226851851849</c:v>
                </c:pt>
                <c:pt idx="21">
                  <c:v>156.63374999999999</c:v>
                </c:pt>
              </c:numCache>
            </c:numRef>
          </c:yVal>
          <c:smooth val="1"/>
          <c:extLst>
            <c:ext xmlns:c16="http://schemas.microsoft.com/office/drawing/2014/chart" uri="{C3380CC4-5D6E-409C-BE32-E72D297353CC}">
              <c16:uniqueId val="{00000006-AF41-4827-AEA4-D9AD4EC36778}"/>
            </c:ext>
          </c:extLst>
        </c:ser>
        <c:dLbls>
          <c:showLegendKey val="0"/>
          <c:showVal val="0"/>
          <c:showCatName val="0"/>
          <c:showSerName val="0"/>
          <c:showPercent val="0"/>
          <c:showBubbleSize val="0"/>
        </c:dLbls>
        <c:axId val="663400352"/>
        <c:axId val="663400832"/>
      </c:scatterChart>
      <c:valAx>
        <c:axId val="663400352"/>
        <c:scaling>
          <c:orientation val="minMax"/>
          <c:min val="1900"/>
        </c:scaling>
        <c:delete val="0"/>
        <c:axPos val="b"/>
        <c:majorGridlines>
          <c:spPr>
            <a:ln w="6350" cap="flat" cmpd="sng" algn="ctr">
              <a:solidFill>
                <a:schemeClr val="bg1">
                  <a:lumMod val="9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Año</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63400832"/>
        <c:crosses val="autoZero"/>
        <c:crossBetween val="midCat"/>
      </c:valAx>
      <c:valAx>
        <c:axId val="663400832"/>
        <c:scaling>
          <c:orientation val="minMax"/>
          <c:min val="-1"/>
        </c:scaling>
        <c:delete val="0"/>
        <c:axPos val="l"/>
        <c:majorGridlines>
          <c:spPr>
            <a:ln w="6350"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Caudal de retorno (lps-d)</a:t>
                </a:r>
              </a:p>
              <a:p>
                <a:pPr>
                  <a:defRPr/>
                </a:pPr>
                <a:endParaRPr lang="es-CO"/>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0.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63400352"/>
        <c:crosses val="autoZero"/>
        <c:crossBetween val="midCat"/>
      </c:valAx>
      <c:spPr>
        <a:noFill/>
        <a:ln>
          <a:noFill/>
        </a:ln>
        <a:effectLst/>
      </c:spPr>
    </c:plotArea>
    <c:legend>
      <c:legendPos val="b"/>
      <c:layout>
        <c:manualLayout>
          <c:xMode val="edge"/>
          <c:yMode val="edge"/>
          <c:x val="8.837951387606352E-2"/>
          <c:y val="9.84273849352469E-2"/>
          <c:w val="0.11463503425708151"/>
          <c:h val="0.12624839842771657"/>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Segoe UI Light" panose="020B0502040204020203" pitchFamily="34" charset="0"/>
          <a:cs typeface="Segoe UI Light" panose="020B0502040204020203" pitchFamily="34" charset="0"/>
        </a:defRPr>
      </a:pPr>
      <a:endParaRPr lang="es-CO"/>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n-US"/>
              <a:t>Población total y proyectada</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autoTitleDeleted val="0"/>
    <c:plotArea>
      <c:layout>
        <c:manualLayout>
          <c:layoutTarget val="inner"/>
          <c:xMode val="edge"/>
          <c:yMode val="edge"/>
          <c:x val="8.094480305121253E-2"/>
          <c:y val="8.7516772934320683E-2"/>
          <c:w val="0.88538511457614932"/>
          <c:h val="0.83757935109742632"/>
        </c:manualLayout>
      </c:layout>
      <c:scatterChart>
        <c:scatterStyle val="smoothMarker"/>
        <c:varyColors val="0"/>
        <c:ser>
          <c:idx val="9"/>
          <c:order val="0"/>
          <c:tx>
            <c:strRef>
              <c:f>PoblacionAreaDensEPEQ!$C$1</c:f>
              <c:strCache>
                <c:ptCount val="1"/>
                <c:pt idx="0">
                  <c:v>PTotal</c:v>
                </c:pt>
              </c:strCache>
            </c:strRef>
          </c:tx>
          <c:spPr>
            <a:ln w="15875" cap="rnd">
              <a:solidFill>
                <a:schemeClr val="tx1"/>
              </a:solidFill>
              <a:round/>
              <a:headEnd type="none" w="sm" len="sm"/>
              <a:tailEnd type="none" w="sm" len="sm"/>
            </a:ln>
            <a:effectLst/>
          </c:spPr>
          <c:marker>
            <c:symbol val="circle"/>
            <c:size val="4"/>
            <c:spPr>
              <a:solidFill>
                <a:schemeClr val="tx1"/>
              </a:solidFill>
              <a:ln w="9525">
                <a:noFill/>
              </a:ln>
              <a:effectLst/>
            </c:spPr>
          </c:marker>
          <c:dLbls>
            <c:dLbl>
              <c:idx val="8"/>
              <c:layout>
                <c:manualLayout>
                  <c:x val="-1.3294996228152521E-2"/>
                  <c:y val="-5.63279638167805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856-43A4-86B4-4B0E8EF8794C}"/>
                </c:ext>
              </c:extLst>
            </c:dLbl>
            <c:dLbl>
              <c:idx val="10"/>
              <c:layout>
                <c:manualLayout>
                  <c:x val="-1.9522160737825908E-2"/>
                  <c:y val="-5.75538699544786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856-43A4-86B4-4B0E8EF8794C}"/>
                </c:ext>
              </c:extLst>
            </c:dLbl>
            <c:dLbl>
              <c:idx val="11"/>
              <c:layout>
                <c:manualLayout>
                  <c:x val="-1.1219274724928159E-2"/>
                  <c:y val="-6.53988747405178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856-43A4-86B4-4B0E8EF8794C}"/>
                </c:ext>
              </c:extLst>
            </c:dLbl>
            <c:spPr>
              <a:noFill/>
              <a:ln>
                <a:noFill/>
              </a:ln>
              <a:effectLst/>
            </c:spPr>
            <c:txPr>
              <a:bodyPr rot="-5400000" spcFirstLastPara="1" vertOverflow="ellipsis"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PoblacionAreaDensEPEQ!$B$2:$B$23</c:f>
              <c:numCache>
                <c:formatCode>General</c:formatCode>
                <c:ptCount val="22"/>
                <c:pt idx="0">
                  <c:v>1905</c:v>
                </c:pt>
                <c:pt idx="1">
                  <c:v>1928</c:v>
                </c:pt>
                <c:pt idx="2">
                  <c:v>1938</c:v>
                </c:pt>
                <c:pt idx="3">
                  <c:v>1951</c:v>
                </c:pt>
                <c:pt idx="4">
                  <c:v>1964</c:v>
                </c:pt>
                <c:pt idx="5">
                  <c:v>1973</c:v>
                </c:pt>
                <c:pt idx="6">
                  <c:v>1985</c:v>
                </c:pt>
                <c:pt idx="7">
                  <c:v>1993</c:v>
                </c:pt>
                <c:pt idx="8">
                  <c:v>1995</c:v>
                </c:pt>
                <c:pt idx="9">
                  <c:v>2005</c:v>
                </c:pt>
                <c:pt idx="10">
                  <c:v>2018</c:v>
                </c:pt>
                <c:pt idx="11">
                  <c:v>2019</c:v>
                </c:pt>
                <c:pt idx="12">
                  <c:v>2024</c:v>
                </c:pt>
                <c:pt idx="13">
                  <c:v>2029</c:v>
                </c:pt>
                <c:pt idx="14">
                  <c:v>2034</c:v>
                </c:pt>
                <c:pt idx="15">
                  <c:v>2039</c:v>
                </c:pt>
                <c:pt idx="16">
                  <c:v>2044</c:v>
                </c:pt>
                <c:pt idx="17">
                  <c:v>2049</c:v>
                </c:pt>
                <c:pt idx="18">
                  <c:v>2054</c:v>
                </c:pt>
                <c:pt idx="19">
                  <c:v>2059</c:v>
                </c:pt>
                <c:pt idx="20">
                  <c:v>2064</c:v>
                </c:pt>
                <c:pt idx="21">
                  <c:v>2069</c:v>
                </c:pt>
              </c:numCache>
            </c:numRef>
          </c:xVal>
          <c:yVal>
            <c:numRef>
              <c:f>PoblacionAreaDensEPEQ!$C$2:$C$23</c:f>
              <c:numCache>
                <c:formatCode>General</c:formatCode>
                <c:ptCount val="22"/>
                <c:pt idx="0">
                  <c:v>7108</c:v>
                </c:pt>
                <c:pt idx="1">
                  <c:v>11480</c:v>
                </c:pt>
                <c:pt idx="2">
                  <c:v>12273</c:v>
                </c:pt>
                <c:pt idx="3">
                  <c:v>20628</c:v>
                </c:pt>
                <c:pt idx="4">
                  <c:v>27775</c:v>
                </c:pt>
                <c:pt idx="5">
                  <c:v>39836</c:v>
                </c:pt>
                <c:pt idx="6">
                  <c:v>60202</c:v>
                </c:pt>
                <c:pt idx="7">
                  <c:v>69695</c:v>
                </c:pt>
                <c:pt idx="8">
                  <c:v>78923</c:v>
                </c:pt>
                <c:pt idx="9">
                  <c:v>100038</c:v>
                </c:pt>
                <c:pt idx="10">
                  <c:v>128968</c:v>
                </c:pt>
                <c:pt idx="11">
                  <c:v>127918</c:v>
                </c:pt>
                <c:pt idx="12">
                  <c:v>140346</c:v>
                </c:pt>
                <c:pt idx="13">
                  <c:v>153383</c:v>
                </c:pt>
                <c:pt idx="14">
                  <c:v>167026</c:v>
                </c:pt>
                <c:pt idx="15">
                  <c:v>181278</c:v>
                </c:pt>
                <c:pt idx="16">
                  <c:v>196136</c:v>
                </c:pt>
                <c:pt idx="17">
                  <c:v>211602</c:v>
                </c:pt>
                <c:pt idx="18">
                  <c:v>227676</c:v>
                </c:pt>
                <c:pt idx="19">
                  <c:v>244356</c:v>
                </c:pt>
                <c:pt idx="20">
                  <c:v>261645</c:v>
                </c:pt>
                <c:pt idx="21">
                  <c:v>279540</c:v>
                </c:pt>
              </c:numCache>
            </c:numRef>
          </c:yVal>
          <c:smooth val="1"/>
          <c:extLst>
            <c:ext xmlns:c16="http://schemas.microsoft.com/office/drawing/2014/chart" uri="{C3380CC4-5D6E-409C-BE32-E72D297353CC}">
              <c16:uniqueId val="{00000009-5856-43A4-86B4-4B0E8EF8794C}"/>
            </c:ext>
          </c:extLst>
        </c:ser>
        <c:ser>
          <c:idx val="0"/>
          <c:order val="1"/>
          <c:tx>
            <c:strRef>
              <c:f>PoblacionAreaDensEPEQ!$E$1</c:f>
              <c:strCache>
                <c:ptCount val="1"/>
                <c:pt idx="0">
                  <c:v>PUrbana</c:v>
                </c:pt>
              </c:strCache>
            </c:strRef>
          </c:tx>
          <c:spPr>
            <a:ln w="19050" cap="rnd">
              <a:solidFill>
                <a:srgbClr val="C00000"/>
              </a:solidFill>
              <a:round/>
            </a:ln>
            <a:effectLst/>
          </c:spPr>
          <c:marker>
            <c:symbol val="circle"/>
            <c:size val="5"/>
            <c:spPr>
              <a:solidFill>
                <a:srgbClr val="C00000"/>
              </a:solidFill>
              <a:ln w="9525">
                <a:noFill/>
              </a:ln>
              <a:effectLst/>
            </c:spPr>
          </c:marker>
          <c:dLbls>
            <c:dLbl>
              <c:idx val="2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173-492D-AAB1-C9939508A352}"/>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PoblacionAreaDensEPEQ!$B$2:$B$23</c:f>
              <c:numCache>
                <c:formatCode>General</c:formatCode>
                <c:ptCount val="22"/>
                <c:pt idx="0">
                  <c:v>1905</c:v>
                </c:pt>
                <c:pt idx="1">
                  <c:v>1928</c:v>
                </c:pt>
                <c:pt idx="2">
                  <c:v>1938</c:v>
                </c:pt>
                <c:pt idx="3">
                  <c:v>1951</c:v>
                </c:pt>
                <c:pt idx="4">
                  <c:v>1964</c:v>
                </c:pt>
                <c:pt idx="5">
                  <c:v>1973</c:v>
                </c:pt>
                <c:pt idx="6">
                  <c:v>1985</c:v>
                </c:pt>
                <c:pt idx="7">
                  <c:v>1993</c:v>
                </c:pt>
                <c:pt idx="8">
                  <c:v>1995</c:v>
                </c:pt>
                <c:pt idx="9">
                  <c:v>2005</c:v>
                </c:pt>
                <c:pt idx="10">
                  <c:v>2018</c:v>
                </c:pt>
                <c:pt idx="11">
                  <c:v>2019</c:v>
                </c:pt>
                <c:pt idx="12">
                  <c:v>2024</c:v>
                </c:pt>
                <c:pt idx="13">
                  <c:v>2029</c:v>
                </c:pt>
                <c:pt idx="14">
                  <c:v>2034</c:v>
                </c:pt>
                <c:pt idx="15">
                  <c:v>2039</c:v>
                </c:pt>
                <c:pt idx="16">
                  <c:v>2044</c:v>
                </c:pt>
                <c:pt idx="17">
                  <c:v>2049</c:v>
                </c:pt>
                <c:pt idx="18">
                  <c:v>2054</c:v>
                </c:pt>
                <c:pt idx="19">
                  <c:v>2059</c:v>
                </c:pt>
                <c:pt idx="20">
                  <c:v>2064</c:v>
                </c:pt>
                <c:pt idx="21">
                  <c:v>2069</c:v>
                </c:pt>
              </c:numCache>
            </c:numRef>
          </c:xVal>
          <c:yVal>
            <c:numRef>
              <c:f>PoblacionAreaDensEPEQ!$E$2:$E$23</c:f>
              <c:numCache>
                <c:formatCode>0</c:formatCode>
                <c:ptCount val="22"/>
                <c:pt idx="0">
                  <c:v>7108</c:v>
                </c:pt>
                <c:pt idx="1">
                  <c:v>11480</c:v>
                </c:pt>
                <c:pt idx="2">
                  <c:v>12273</c:v>
                </c:pt>
                <c:pt idx="3">
                  <c:v>20628</c:v>
                </c:pt>
                <c:pt idx="4">
                  <c:v>26711</c:v>
                </c:pt>
                <c:pt idx="5">
                  <c:v>37051</c:v>
                </c:pt>
                <c:pt idx="6">
                  <c:v>53458</c:v>
                </c:pt>
                <c:pt idx="7">
                  <c:v>59931</c:v>
                </c:pt>
                <c:pt idx="8">
                  <c:v>67312</c:v>
                </c:pt>
                <c:pt idx="9">
                  <c:v>81810</c:v>
                </c:pt>
                <c:pt idx="10">
                  <c:v>99584</c:v>
                </c:pt>
                <c:pt idx="11">
                  <c:v>98324</c:v>
                </c:pt>
                <c:pt idx="12">
                  <c:v>105414</c:v>
                </c:pt>
                <c:pt idx="13">
                  <c:v>112515</c:v>
                </c:pt>
                <c:pt idx="14">
                  <c:v>119592</c:v>
                </c:pt>
                <c:pt idx="15">
                  <c:v>126616</c:v>
                </c:pt>
                <c:pt idx="16">
                  <c:v>133552</c:v>
                </c:pt>
                <c:pt idx="17">
                  <c:v>140370</c:v>
                </c:pt>
                <c:pt idx="18">
                  <c:v>147037</c:v>
                </c:pt>
                <c:pt idx="19">
                  <c:v>153522</c:v>
                </c:pt>
                <c:pt idx="20">
                  <c:v>159793</c:v>
                </c:pt>
                <c:pt idx="21">
                  <c:v>165816</c:v>
                </c:pt>
              </c:numCache>
            </c:numRef>
          </c:yVal>
          <c:smooth val="1"/>
          <c:extLst>
            <c:ext xmlns:c16="http://schemas.microsoft.com/office/drawing/2014/chart" uri="{C3380CC4-5D6E-409C-BE32-E72D297353CC}">
              <c16:uniqueId val="{00000000-1173-492D-AAB1-C9939508A352}"/>
            </c:ext>
          </c:extLst>
        </c:ser>
        <c:ser>
          <c:idx val="1"/>
          <c:order val="2"/>
          <c:tx>
            <c:strRef>
              <c:f>PoblacionAreaDensEPEQ!$F$1</c:f>
              <c:strCache>
                <c:ptCount val="1"/>
                <c:pt idx="0">
                  <c:v>PRural</c:v>
                </c:pt>
              </c:strCache>
            </c:strRef>
          </c:tx>
          <c:spPr>
            <a:ln w="19050" cap="rnd">
              <a:solidFill>
                <a:srgbClr val="00B050"/>
              </a:solidFill>
              <a:round/>
            </a:ln>
            <a:effectLst/>
          </c:spPr>
          <c:marker>
            <c:symbol val="circle"/>
            <c:size val="5"/>
            <c:spPr>
              <a:solidFill>
                <a:srgbClr val="00B050"/>
              </a:solidFill>
              <a:ln w="9525">
                <a:noFill/>
              </a:ln>
              <a:effectLst/>
            </c:spPr>
          </c:marker>
          <c:dLbls>
            <c:dLbl>
              <c:idx val="2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73-492D-AAB1-C9939508A352}"/>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PoblacionAreaDensEPEQ!$B$2:$B$23</c:f>
              <c:numCache>
                <c:formatCode>General</c:formatCode>
                <c:ptCount val="22"/>
                <c:pt idx="0">
                  <c:v>1905</c:v>
                </c:pt>
                <c:pt idx="1">
                  <c:v>1928</c:v>
                </c:pt>
                <c:pt idx="2">
                  <c:v>1938</c:v>
                </c:pt>
                <c:pt idx="3">
                  <c:v>1951</c:v>
                </c:pt>
                <c:pt idx="4">
                  <c:v>1964</c:v>
                </c:pt>
                <c:pt idx="5">
                  <c:v>1973</c:v>
                </c:pt>
                <c:pt idx="6">
                  <c:v>1985</c:v>
                </c:pt>
                <c:pt idx="7">
                  <c:v>1993</c:v>
                </c:pt>
                <c:pt idx="8">
                  <c:v>1995</c:v>
                </c:pt>
                <c:pt idx="9">
                  <c:v>2005</c:v>
                </c:pt>
                <c:pt idx="10">
                  <c:v>2018</c:v>
                </c:pt>
                <c:pt idx="11">
                  <c:v>2019</c:v>
                </c:pt>
                <c:pt idx="12">
                  <c:v>2024</c:v>
                </c:pt>
                <c:pt idx="13">
                  <c:v>2029</c:v>
                </c:pt>
                <c:pt idx="14">
                  <c:v>2034</c:v>
                </c:pt>
                <c:pt idx="15">
                  <c:v>2039</c:v>
                </c:pt>
                <c:pt idx="16">
                  <c:v>2044</c:v>
                </c:pt>
                <c:pt idx="17">
                  <c:v>2049</c:v>
                </c:pt>
                <c:pt idx="18">
                  <c:v>2054</c:v>
                </c:pt>
                <c:pt idx="19">
                  <c:v>2059</c:v>
                </c:pt>
                <c:pt idx="20">
                  <c:v>2064</c:v>
                </c:pt>
                <c:pt idx="21">
                  <c:v>2069</c:v>
                </c:pt>
              </c:numCache>
            </c:numRef>
          </c:xVal>
          <c:yVal>
            <c:numRef>
              <c:f>PoblacionAreaDensEPEQ!$F$2:$F$23</c:f>
              <c:numCache>
                <c:formatCode>0</c:formatCode>
                <c:ptCount val="22"/>
                <c:pt idx="0">
                  <c:v>0</c:v>
                </c:pt>
                <c:pt idx="1">
                  <c:v>0</c:v>
                </c:pt>
                <c:pt idx="2">
                  <c:v>0</c:v>
                </c:pt>
                <c:pt idx="3">
                  <c:v>0</c:v>
                </c:pt>
                <c:pt idx="4">
                  <c:v>1064</c:v>
                </c:pt>
                <c:pt idx="5">
                  <c:v>2785</c:v>
                </c:pt>
                <c:pt idx="6">
                  <c:v>6744</c:v>
                </c:pt>
                <c:pt idx="7">
                  <c:v>9764</c:v>
                </c:pt>
                <c:pt idx="8">
                  <c:v>11611</c:v>
                </c:pt>
                <c:pt idx="9">
                  <c:v>18228</c:v>
                </c:pt>
                <c:pt idx="10">
                  <c:v>29384</c:v>
                </c:pt>
                <c:pt idx="11">
                  <c:v>29594</c:v>
                </c:pt>
                <c:pt idx="12">
                  <c:v>34932</c:v>
                </c:pt>
                <c:pt idx="13">
                  <c:v>40868</c:v>
                </c:pt>
                <c:pt idx="14">
                  <c:v>47434</c:v>
                </c:pt>
                <c:pt idx="15">
                  <c:v>54662</c:v>
                </c:pt>
                <c:pt idx="16">
                  <c:v>62584</c:v>
                </c:pt>
                <c:pt idx="17">
                  <c:v>71232</c:v>
                </c:pt>
                <c:pt idx="18">
                  <c:v>80639</c:v>
                </c:pt>
                <c:pt idx="19">
                  <c:v>90834</c:v>
                </c:pt>
                <c:pt idx="20">
                  <c:v>101852</c:v>
                </c:pt>
                <c:pt idx="21">
                  <c:v>113724</c:v>
                </c:pt>
              </c:numCache>
            </c:numRef>
          </c:yVal>
          <c:smooth val="1"/>
          <c:extLst>
            <c:ext xmlns:c16="http://schemas.microsoft.com/office/drawing/2014/chart" uri="{C3380CC4-5D6E-409C-BE32-E72D297353CC}">
              <c16:uniqueId val="{00000001-1173-492D-AAB1-C9939508A352}"/>
            </c:ext>
          </c:extLst>
        </c:ser>
        <c:dLbls>
          <c:showLegendKey val="0"/>
          <c:showVal val="0"/>
          <c:showCatName val="0"/>
          <c:showSerName val="0"/>
          <c:showPercent val="0"/>
          <c:showBubbleSize val="0"/>
        </c:dLbls>
        <c:axId val="663400352"/>
        <c:axId val="663400832"/>
      </c:scatterChart>
      <c:valAx>
        <c:axId val="663400352"/>
        <c:scaling>
          <c:orientation val="minMax"/>
          <c:min val="1900"/>
        </c:scaling>
        <c:delete val="0"/>
        <c:axPos val="b"/>
        <c:majorGridlines>
          <c:spPr>
            <a:ln w="6350" cap="flat" cmpd="sng" algn="ctr">
              <a:solidFill>
                <a:schemeClr val="bg1">
                  <a:lumMod val="9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Año</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63400832"/>
        <c:crosses val="autoZero"/>
        <c:crossBetween val="midCat"/>
      </c:valAx>
      <c:valAx>
        <c:axId val="663400832"/>
        <c:scaling>
          <c:orientation val="minMax"/>
          <c:min val="-1"/>
        </c:scaling>
        <c:delete val="0"/>
        <c:axPos val="l"/>
        <c:majorGridlines>
          <c:spPr>
            <a:ln w="6350"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Población</a:t>
                </a:r>
              </a:p>
              <a:p>
                <a:pPr>
                  <a:defRPr/>
                </a:pPr>
                <a:endParaRPr lang="es-CO"/>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63400352"/>
        <c:crosses val="autoZero"/>
        <c:crossBetween val="midCat"/>
      </c:valAx>
      <c:spPr>
        <a:noFill/>
        <a:ln>
          <a:noFill/>
        </a:ln>
        <a:effectLst/>
      </c:spPr>
    </c:plotArea>
    <c:legend>
      <c:legendPos val="b"/>
      <c:layout>
        <c:manualLayout>
          <c:xMode val="edge"/>
          <c:yMode val="edge"/>
          <c:x val="8.837951387606352E-2"/>
          <c:y val="9.84273849352469E-2"/>
          <c:w val="0.11463503425708151"/>
          <c:h val="0.12624839842771657"/>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Segoe UI Light" panose="020B0502040204020203" pitchFamily="34" charset="0"/>
          <a:cs typeface="Segoe UI Light" panose="020B0502040204020203" pitchFamily="34" charset="0"/>
        </a:defRPr>
      </a:pPr>
      <a:endParaRPr lang="es-CO"/>
    </a:p>
  </c:txPr>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n-US"/>
              <a:t>Densidad total y proyectada</a:t>
            </a:r>
          </a:p>
        </c:rich>
      </c:tx>
      <c:layout>
        <c:manualLayout>
          <c:xMode val="edge"/>
          <c:yMode val="edge"/>
          <c:x val="0.38726912908256605"/>
          <c:y val="1.4152134329703022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autoTitleDeleted val="0"/>
    <c:plotArea>
      <c:layout>
        <c:manualLayout>
          <c:layoutTarget val="inner"/>
          <c:xMode val="edge"/>
          <c:yMode val="edge"/>
          <c:x val="8.094480305121253E-2"/>
          <c:y val="8.7516772934320683E-2"/>
          <c:w val="0.88538511457614932"/>
          <c:h val="0.82141780004772114"/>
        </c:manualLayout>
      </c:layout>
      <c:scatterChart>
        <c:scatterStyle val="smoothMarker"/>
        <c:varyColors val="0"/>
        <c:ser>
          <c:idx val="9"/>
          <c:order val="0"/>
          <c:tx>
            <c:strRef>
              <c:f>PoblacionAreaDensEPEQ!$I$1</c:f>
              <c:strCache>
                <c:ptCount val="1"/>
                <c:pt idx="0">
                  <c:v>DensTotal</c:v>
                </c:pt>
              </c:strCache>
            </c:strRef>
          </c:tx>
          <c:spPr>
            <a:ln w="19050" cap="rnd">
              <a:solidFill>
                <a:schemeClr val="accent4">
                  <a:lumMod val="60000"/>
                </a:schemeClr>
              </a:solidFill>
              <a:round/>
            </a:ln>
            <a:effectLst/>
          </c:spPr>
          <c:marker>
            <c:symbol val="circle"/>
            <c:size val="5"/>
            <c:spPr>
              <a:solidFill>
                <a:schemeClr val="tx1"/>
              </a:solidFill>
              <a:ln w="9525">
                <a:noFill/>
              </a:ln>
              <a:effectLst/>
            </c:spPr>
          </c:marker>
          <c:dLbls>
            <c:dLbl>
              <c:idx val="21"/>
              <c:layout>
                <c:manualLayout>
                  <c:x val="2.07665285419992E-3"/>
                  <c:y val="-4.04040404040405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D9E-48C4-B4F4-7810C1F4519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PoblacionAreaDensEPEQ!$B$2:$B$23</c:f>
              <c:numCache>
                <c:formatCode>General</c:formatCode>
                <c:ptCount val="22"/>
                <c:pt idx="0">
                  <c:v>1905</c:v>
                </c:pt>
                <c:pt idx="1">
                  <c:v>1928</c:v>
                </c:pt>
                <c:pt idx="2">
                  <c:v>1938</c:v>
                </c:pt>
                <c:pt idx="3">
                  <c:v>1951</c:v>
                </c:pt>
                <c:pt idx="4">
                  <c:v>1964</c:v>
                </c:pt>
                <c:pt idx="5">
                  <c:v>1973</c:v>
                </c:pt>
                <c:pt idx="6">
                  <c:v>1985</c:v>
                </c:pt>
                <c:pt idx="7">
                  <c:v>1993</c:v>
                </c:pt>
                <c:pt idx="8">
                  <c:v>1995</c:v>
                </c:pt>
                <c:pt idx="9">
                  <c:v>2005</c:v>
                </c:pt>
                <c:pt idx="10">
                  <c:v>2018</c:v>
                </c:pt>
                <c:pt idx="11">
                  <c:v>2019</c:v>
                </c:pt>
                <c:pt idx="12">
                  <c:v>2024</c:v>
                </c:pt>
                <c:pt idx="13">
                  <c:v>2029</c:v>
                </c:pt>
                <c:pt idx="14">
                  <c:v>2034</c:v>
                </c:pt>
                <c:pt idx="15">
                  <c:v>2039</c:v>
                </c:pt>
                <c:pt idx="16">
                  <c:v>2044</c:v>
                </c:pt>
                <c:pt idx="17">
                  <c:v>2049</c:v>
                </c:pt>
                <c:pt idx="18">
                  <c:v>2054</c:v>
                </c:pt>
                <c:pt idx="19">
                  <c:v>2059</c:v>
                </c:pt>
                <c:pt idx="20">
                  <c:v>2064</c:v>
                </c:pt>
                <c:pt idx="21">
                  <c:v>2069</c:v>
                </c:pt>
              </c:numCache>
            </c:numRef>
          </c:xVal>
          <c:yVal>
            <c:numRef>
              <c:f>PoblacionAreaDensEPEQ!$I$2:$I$23</c:f>
              <c:numCache>
                <c:formatCode>0.00</c:formatCode>
                <c:ptCount val="22"/>
                <c:pt idx="0">
                  <c:v>0.36484923021329407</c:v>
                </c:pt>
                <c:pt idx="1">
                  <c:v>0.58926127783463933</c:v>
                </c:pt>
                <c:pt idx="2">
                  <c:v>0.62996547585927942</c:v>
                </c:pt>
                <c:pt idx="3">
                  <c:v>1.0588224424366672</c:v>
                </c:pt>
                <c:pt idx="4">
                  <c:v>1.4256735184544518</c:v>
                </c:pt>
                <c:pt idx="5">
                  <c:v>2.0447571658380395</c:v>
                </c:pt>
                <c:pt idx="6">
                  <c:v>3.0901313108188986</c:v>
                </c:pt>
                <c:pt idx="7">
                  <c:v>3.5774011113837272</c:v>
                </c:pt>
                <c:pt idx="8">
                  <c:v>4.051068626353941</c:v>
                </c:pt>
                <c:pt idx="9">
                  <c:v>5.134888476656938</c:v>
                </c:pt>
                <c:pt idx="10">
                  <c:v>6.6198474285520703</c:v>
                </c:pt>
                <c:pt idx="11">
                  <c:v>6.5659515799696333</c:v>
                </c:pt>
                <c:pt idx="12">
                  <c:v>7.2038731096672723</c:v>
                </c:pt>
                <c:pt idx="13">
                  <c:v>7.8730542315427252</c:v>
                </c:pt>
                <c:pt idx="14">
                  <c:v>8.5733409574571837</c:v>
                </c:pt>
                <c:pt idx="15">
                  <c:v>9.3048872755494543</c:v>
                </c:pt>
                <c:pt idx="16">
                  <c:v>10.067539197680732</c:v>
                </c:pt>
                <c:pt idx="17">
                  <c:v>10.861399382610221</c:v>
                </c:pt>
                <c:pt idx="18">
                  <c:v>11.686467830337921</c:v>
                </c:pt>
                <c:pt idx="19">
                  <c:v>12.542641882104627</c:v>
                </c:pt>
                <c:pt idx="20">
                  <c:v>13.430075526049146</c:v>
                </c:pt>
                <c:pt idx="21">
                  <c:v>14.348614774032672</c:v>
                </c:pt>
              </c:numCache>
            </c:numRef>
          </c:yVal>
          <c:smooth val="1"/>
          <c:extLst>
            <c:ext xmlns:c16="http://schemas.microsoft.com/office/drawing/2014/chart" uri="{C3380CC4-5D6E-409C-BE32-E72D297353CC}">
              <c16:uniqueId val="{00000003-3D9E-48C4-B4F4-7810C1F45191}"/>
            </c:ext>
          </c:extLst>
        </c:ser>
        <c:ser>
          <c:idx val="0"/>
          <c:order val="1"/>
          <c:tx>
            <c:strRef>
              <c:f>PoblacionAreaDensEPEQ!$J$1</c:f>
              <c:strCache>
                <c:ptCount val="1"/>
                <c:pt idx="0">
                  <c:v>DensUrb</c:v>
                </c:pt>
              </c:strCache>
            </c:strRef>
          </c:tx>
          <c:spPr>
            <a:ln w="19050" cap="rnd">
              <a:solidFill>
                <a:schemeClr val="accent1"/>
              </a:solidFill>
              <a:round/>
            </a:ln>
            <a:effectLst/>
          </c:spPr>
          <c:marker>
            <c:symbol val="circle"/>
            <c:size val="5"/>
            <c:spPr>
              <a:solidFill>
                <a:srgbClr val="C00000"/>
              </a:solidFill>
              <a:ln w="9525">
                <a:noFill/>
              </a:ln>
              <a:effectLst/>
            </c:spPr>
          </c:marker>
          <c:dLbls>
            <c:dLbl>
              <c:idx val="6"/>
              <c:layout>
                <c:manualLayout>
                  <c:x val="-1.3602076195009477E-3"/>
                  <c:y val="-5.42524457170126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C4-4F49-9B7B-1EB09C5315F8}"/>
                </c:ext>
              </c:extLst>
            </c:dLbl>
            <c:dLbl>
              <c:idx val="10"/>
              <c:layout>
                <c:manualLayout>
                  <c:x val="-2.4203389015700068E-2"/>
                  <c:y val="-5.38181818181819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C4-4F49-9B7B-1EB09C5315F8}"/>
                </c:ext>
              </c:extLst>
            </c:dLbl>
            <c:spPr>
              <a:noFill/>
              <a:ln>
                <a:noFill/>
              </a:ln>
              <a:effectLst/>
            </c:spPr>
            <c:txPr>
              <a:bodyPr rot="-5400000" spcFirstLastPara="1" vertOverflow="ellipsis" wrap="square" lIns="38100" tIns="19050" rIns="38100" bIns="19050" anchor="ctr" anchorCtr="1">
                <a:spAutoFit/>
              </a:bodyPr>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PoblacionAreaDensEPEQ!$B$2:$B$23</c:f>
              <c:numCache>
                <c:formatCode>General</c:formatCode>
                <c:ptCount val="22"/>
                <c:pt idx="0">
                  <c:v>1905</c:v>
                </c:pt>
                <c:pt idx="1">
                  <c:v>1928</c:v>
                </c:pt>
                <c:pt idx="2">
                  <c:v>1938</c:v>
                </c:pt>
                <c:pt idx="3">
                  <c:v>1951</c:v>
                </c:pt>
                <c:pt idx="4">
                  <c:v>1964</c:v>
                </c:pt>
                <c:pt idx="5">
                  <c:v>1973</c:v>
                </c:pt>
                <c:pt idx="6">
                  <c:v>1985</c:v>
                </c:pt>
                <c:pt idx="7">
                  <c:v>1993</c:v>
                </c:pt>
                <c:pt idx="8">
                  <c:v>1995</c:v>
                </c:pt>
                <c:pt idx="9">
                  <c:v>2005</c:v>
                </c:pt>
                <c:pt idx="10">
                  <c:v>2018</c:v>
                </c:pt>
                <c:pt idx="11">
                  <c:v>2019</c:v>
                </c:pt>
                <c:pt idx="12">
                  <c:v>2024</c:v>
                </c:pt>
                <c:pt idx="13">
                  <c:v>2029</c:v>
                </c:pt>
                <c:pt idx="14">
                  <c:v>2034</c:v>
                </c:pt>
                <c:pt idx="15">
                  <c:v>2039</c:v>
                </c:pt>
                <c:pt idx="16">
                  <c:v>2044</c:v>
                </c:pt>
                <c:pt idx="17">
                  <c:v>2049</c:v>
                </c:pt>
                <c:pt idx="18">
                  <c:v>2054</c:v>
                </c:pt>
                <c:pt idx="19">
                  <c:v>2059</c:v>
                </c:pt>
                <c:pt idx="20">
                  <c:v>2064</c:v>
                </c:pt>
                <c:pt idx="21">
                  <c:v>2069</c:v>
                </c:pt>
              </c:numCache>
            </c:numRef>
          </c:xVal>
          <c:yVal>
            <c:numRef>
              <c:f>PoblacionAreaDensEPEQ!$J$2:$J$23</c:f>
              <c:numCache>
                <c:formatCode>0.00</c:formatCode>
                <c:ptCount val="22"/>
                <c:pt idx="0">
                  <c:v>7108</c:v>
                </c:pt>
                <c:pt idx="1">
                  <c:v>11480</c:v>
                </c:pt>
                <c:pt idx="2">
                  <c:v>12273</c:v>
                </c:pt>
                <c:pt idx="3">
                  <c:v>20628</c:v>
                </c:pt>
                <c:pt idx="4">
                  <c:v>26711</c:v>
                </c:pt>
                <c:pt idx="5">
                  <c:v>37051</c:v>
                </c:pt>
                <c:pt idx="6">
                  <c:v>367.72148757522774</c:v>
                </c:pt>
                <c:pt idx="7">
                  <c:v>171.77483344235455</c:v>
                </c:pt>
                <c:pt idx="8">
                  <c:v>168.37601695650241</c:v>
                </c:pt>
                <c:pt idx="9">
                  <c:v>125.05971934953239</c:v>
                </c:pt>
                <c:pt idx="10">
                  <c:v>101.11265048793635</c:v>
                </c:pt>
                <c:pt idx="11">
                  <c:v>97.319539166511078</c:v>
                </c:pt>
                <c:pt idx="12">
                  <c:v>92.670096330560725</c:v>
                </c:pt>
                <c:pt idx="13">
                  <c:v>88.96457835210586</c:v>
                </c:pt>
                <c:pt idx="14">
                  <c:v>85.919063037248776</c:v>
                </c:pt>
                <c:pt idx="15">
                  <c:v>83.34867095942441</c:v>
                </c:pt>
                <c:pt idx="16">
                  <c:v>81.122015050072918</c:v>
                </c:pt>
                <c:pt idx="17">
                  <c:v>79.148220365373305</c:v>
                </c:pt>
                <c:pt idx="18">
                  <c:v>77.359159494086825</c:v>
                </c:pt>
                <c:pt idx="19">
                  <c:v>75.704784101408464</c:v>
                </c:pt>
                <c:pt idx="20">
                  <c:v>74.146397592218833</c:v>
                </c:pt>
                <c:pt idx="21">
                  <c:v>72.653053663463808</c:v>
                </c:pt>
              </c:numCache>
            </c:numRef>
          </c:yVal>
          <c:smooth val="1"/>
          <c:extLst>
            <c:ext xmlns:c16="http://schemas.microsoft.com/office/drawing/2014/chart" uri="{C3380CC4-5D6E-409C-BE32-E72D297353CC}">
              <c16:uniqueId val="{00000005-3D9E-48C4-B4F4-7810C1F45191}"/>
            </c:ext>
          </c:extLst>
        </c:ser>
        <c:ser>
          <c:idx val="1"/>
          <c:order val="2"/>
          <c:tx>
            <c:strRef>
              <c:f>PoblacionAreaDensEPEQ!$K$1</c:f>
              <c:strCache>
                <c:ptCount val="1"/>
                <c:pt idx="0">
                  <c:v>DensRur</c:v>
                </c:pt>
              </c:strCache>
            </c:strRef>
          </c:tx>
          <c:spPr>
            <a:ln w="19050" cap="rnd">
              <a:solidFill>
                <a:schemeClr val="accent2"/>
              </a:solidFill>
              <a:round/>
            </a:ln>
            <a:effectLst/>
          </c:spPr>
          <c:marker>
            <c:symbol val="circle"/>
            <c:size val="5"/>
            <c:spPr>
              <a:solidFill>
                <a:srgbClr val="00B050"/>
              </a:solidFill>
              <a:ln w="9525">
                <a:noFill/>
              </a:ln>
              <a:effectLst/>
            </c:spPr>
          </c:marker>
          <c:dLbls>
            <c:dLbl>
              <c:idx val="21"/>
              <c:layout>
                <c:manualLayout>
                  <c:x val="3.11497928129988E-3"/>
                  <c:y val="-8.080808080808080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C4-4F49-9B7B-1EB09C5315F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PoblacionAreaDensEPEQ!$B$2:$B$23</c:f>
              <c:numCache>
                <c:formatCode>General</c:formatCode>
                <c:ptCount val="22"/>
                <c:pt idx="0">
                  <c:v>1905</c:v>
                </c:pt>
                <c:pt idx="1">
                  <c:v>1928</c:v>
                </c:pt>
                <c:pt idx="2">
                  <c:v>1938</c:v>
                </c:pt>
                <c:pt idx="3">
                  <c:v>1951</c:v>
                </c:pt>
                <c:pt idx="4">
                  <c:v>1964</c:v>
                </c:pt>
                <c:pt idx="5">
                  <c:v>1973</c:v>
                </c:pt>
                <c:pt idx="6">
                  <c:v>1985</c:v>
                </c:pt>
                <c:pt idx="7">
                  <c:v>1993</c:v>
                </c:pt>
                <c:pt idx="8">
                  <c:v>1995</c:v>
                </c:pt>
                <c:pt idx="9">
                  <c:v>2005</c:v>
                </c:pt>
                <c:pt idx="10">
                  <c:v>2018</c:v>
                </c:pt>
                <c:pt idx="11">
                  <c:v>2019</c:v>
                </c:pt>
                <c:pt idx="12">
                  <c:v>2024</c:v>
                </c:pt>
                <c:pt idx="13">
                  <c:v>2029</c:v>
                </c:pt>
                <c:pt idx="14">
                  <c:v>2034</c:v>
                </c:pt>
                <c:pt idx="15">
                  <c:v>2039</c:v>
                </c:pt>
                <c:pt idx="16">
                  <c:v>2044</c:v>
                </c:pt>
                <c:pt idx="17">
                  <c:v>2049</c:v>
                </c:pt>
                <c:pt idx="18">
                  <c:v>2054</c:v>
                </c:pt>
                <c:pt idx="19">
                  <c:v>2059</c:v>
                </c:pt>
                <c:pt idx="20">
                  <c:v>2064</c:v>
                </c:pt>
                <c:pt idx="21">
                  <c:v>2069</c:v>
                </c:pt>
              </c:numCache>
            </c:numRef>
          </c:xVal>
          <c:yVal>
            <c:numRef>
              <c:f>PoblacionAreaDensEPEQ!$K$2:$K$23</c:f>
              <c:numCache>
                <c:formatCode>0.00</c:formatCode>
                <c:ptCount val="22"/>
                <c:pt idx="0">
                  <c:v>0</c:v>
                </c:pt>
                <c:pt idx="1">
                  <c:v>0</c:v>
                </c:pt>
                <c:pt idx="2">
                  <c:v>0</c:v>
                </c:pt>
                <c:pt idx="3">
                  <c:v>0</c:v>
                </c:pt>
                <c:pt idx="4">
                  <c:v>5.4617263367113221E-2</c:v>
                </c:pt>
                <c:pt idx="5">
                  <c:v>0.14295966022313</c:v>
                </c:pt>
                <c:pt idx="6">
                  <c:v>0.34876786865313153</c:v>
                </c:pt>
                <c:pt idx="7">
                  <c:v>0.5103190863774909</c:v>
                </c:pt>
                <c:pt idx="8">
                  <c:v>0.60847128380171234</c:v>
                </c:pt>
                <c:pt idx="9">
                  <c:v>0.96814015137215781</c:v>
                </c:pt>
                <c:pt idx="10">
                  <c:v>1.5885700554055946</c:v>
                </c:pt>
                <c:pt idx="11">
                  <c:v>1.6021266059977355</c:v>
                </c:pt>
                <c:pt idx="12">
                  <c:v>1.9042218753410789</c:v>
                </c:pt>
                <c:pt idx="13">
                  <c:v>2.243361689204995</c:v>
                </c:pt>
                <c:pt idx="14">
                  <c:v>2.6220963893944891</c:v>
                </c:pt>
                <c:pt idx="15">
                  <c:v>3.043048554979364</c:v>
                </c:pt>
                <c:pt idx="16">
                  <c:v>3.5089155781434997</c:v>
                </c:pt>
                <c:pt idx="17">
                  <c:v>4.0224723510459404</c:v>
                </c:pt>
                <c:pt idx="18">
                  <c:v>4.5866309478851361</c:v>
                </c:pt>
                <c:pt idx="19">
                  <c:v>5.2041591581312074</c:v>
                </c:pt>
                <c:pt idx="20">
                  <c:v>5.8782523271803067</c:v>
                </c:pt>
                <c:pt idx="21">
                  <c:v>6.6119677611783443</c:v>
                </c:pt>
              </c:numCache>
            </c:numRef>
          </c:yVal>
          <c:smooth val="1"/>
          <c:extLst>
            <c:ext xmlns:c16="http://schemas.microsoft.com/office/drawing/2014/chart" uri="{C3380CC4-5D6E-409C-BE32-E72D297353CC}">
              <c16:uniqueId val="{00000007-3D9E-48C4-B4F4-7810C1F45191}"/>
            </c:ext>
          </c:extLst>
        </c:ser>
        <c:dLbls>
          <c:showLegendKey val="0"/>
          <c:showVal val="0"/>
          <c:showCatName val="0"/>
          <c:showSerName val="0"/>
          <c:showPercent val="0"/>
          <c:showBubbleSize val="0"/>
        </c:dLbls>
        <c:axId val="663400352"/>
        <c:axId val="663400832"/>
      </c:scatterChart>
      <c:valAx>
        <c:axId val="663400352"/>
        <c:scaling>
          <c:orientation val="minMax"/>
          <c:min val="1985"/>
        </c:scaling>
        <c:delete val="0"/>
        <c:axPos val="b"/>
        <c:majorGridlines>
          <c:spPr>
            <a:ln w="6350" cap="flat" cmpd="sng" algn="ctr">
              <a:solidFill>
                <a:schemeClr val="bg1">
                  <a:lumMod val="9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Año</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63400832"/>
        <c:crosses val="autoZero"/>
        <c:crossBetween val="midCat"/>
      </c:valAx>
      <c:valAx>
        <c:axId val="663400832"/>
        <c:scaling>
          <c:orientation val="minMax"/>
          <c:max val="400"/>
          <c:min val="0"/>
        </c:scaling>
        <c:delete val="0"/>
        <c:axPos val="l"/>
        <c:majorGridlines>
          <c:spPr>
            <a:ln w="6350"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Densidad</a:t>
                </a:r>
                <a:r>
                  <a:rPr lang="es-CO" baseline="0"/>
                  <a:t> (hab/ha)</a:t>
                </a:r>
                <a:endParaRPr lang="es-CO"/>
              </a:p>
              <a:p>
                <a:pPr>
                  <a:defRPr/>
                </a:pPr>
                <a:endParaRPr lang="es-CO"/>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0.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63400352"/>
        <c:crosses val="autoZero"/>
        <c:crossBetween val="midCat"/>
      </c:valAx>
      <c:spPr>
        <a:noFill/>
        <a:ln>
          <a:noFill/>
        </a:ln>
        <a:effectLst/>
      </c:spPr>
    </c:plotArea>
    <c:legend>
      <c:legendPos val="b"/>
      <c:layout>
        <c:manualLayout>
          <c:xMode val="edge"/>
          <c:yMode val="edge"/>
          <c:x val="0.84220447001979604"/>
          <c:y val="0.10246782788515074"/>
          <c:w val="0.11463503425708151"/>
          <c:h val="0.12624839842771657"/>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Segoe UI Light" panose="020B0502040204020203" pitchFamily="34" charset="0"/>
          <a:cs typeface="Segoe UI Light" panose="020B0502040204020203" pitchFamily="34" charset="0"/>
        </a:defRPr>
      </a:pPr>
      <a:endParaRPr lang="es-CO"/>
    </a:p>
  </c:txPr>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r>
              <a:rPr lang="en-US"/>
              <a:t>Espacio público efectivo urbano requerido - EPE (totalizado en hectáreas)</a:t>
            </a:r>
          </a:p>
        </c:rich>
      </c:tx>
      <c:layout>
        <c:manualLayout>
          <c:xMode val="edge"/>
          <c:yMode val="edge"/>
          <c:x val="0.2159452437332299"/>
          <c:y val="8.0914658394973353E-3"/>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autoTitleDeleted val="0"/>
    <c:plotArea>
      <c:layout>
        <c:manualLayout>
          <c:layoutTarget val="inner"/>
          <c:xMode val="edge"/>
          <c:yMode val="edge"/>
          <c:x val="8.094480305121253E-2"/>
          <c:y val="8.7516772934320683E-2"/>
          <c:w val="0.88538511457614932"/>
          <c:h val="0.82141780004772114"/>
        </c:manualLayout>
      </c:layout>
      <c:scatterChart>
        <c:scatterStyle val="smoothMarker"/>
        <c:varyColors val="0"/>
        <c:ser>
          <c:idx val="9"/>
          <c:order val="0"/>
          <c:tx>
            <c:strRef>
              <c:f>PoblacionAreaDensEPEQ!$L$1</c:f>
              <c:strCache>
                <c:ptCount val="1"/>
                <c:pt idx="0">
                  <c:v>EPEUrbHa</c:v>
                </c:pt>
              </c:strCache>
            </c:strRef>
          </c:tx>
          <c:spPr>
            <a:ln w="19050" cap="rnd">
              <a:solidFill>
                <a:schemeClr val="tx1"/>
              </a:solidFill>
              <a:round/>
            </a:ln>
            <a:effectLst/>
          </c:spPr>
          <c:marker>
            <c:symbol val="circle"/>
            <c:size val="5"/>
            <c:spPr>
              <a:solidFill>
                <a:schemeClr val="tx1"/>
              </a:solidFill>
              <a:ln w="9525">
                <a:noFill/>
              </a:ln>
              <a:effectLst/>
            </c:spPr>
          </c:marker>
          <c:dLbls>
            <c:spPr>
              <a:noFill/>
              <a:ln>
                <a:noFill/>
              </a:ln>
              <a:effectLst/>
            </c:spPr>
            <c:txPr>
              <a:bodyPr rot="-5400000" spcFirstLastPara="1" vertOverflow="ellipsis" wrap="square" lIns="38100" tIns="19050" rIns="38100" bIns="19050" anchor="ctr" anchorCtr="1">
                <a:spAutoFit/>
              </a:bodyPr>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PoblacionAreaDensEPEQ!$B$2:$B$23</c:f>
              <c:numCache>
                <c:formatCode>General</c:formatCode>
                <c:ptCount val="22"/>
                <c:pt idx="0">
                  <c:v>1905</c:v>
                </c:pt>
                <c:pt idx="1">
                  <c:v>1928</c:v>
                </c:pt>
                <c:pt idx="2">
                  <c:v>1938</c:v>
                </c:pt>
                <c:pt idx="3">
                  <c:v>1951</c:v>
                </c:pt>
                <c:pt idx="4">
                  <c:v>1964</c:v>
                </c:pt>
                <c:pt idx="5">
                  <c:v>1973</c:v>
                </c:pt>
                <c:pt idx="6">
                  <c:v>1985</c:v>
                </c:pt>
                <c:pt idx="7">
                  <c:v>1993</c:v>
                </c:pt>
                <c:pt idx="8">
                  <c:v>1995</c:v>
                </c:pt>
                <c:pt idx="9">
                  <c:v>2005</c:v>
                </c:pt>
                <c:pt idx="10">
                  <c:v>2018</c:v>
                </c:pt>
                <c:pt idx="11">
                  <c:v>2019</c:v>
                </c:pt>
                <c:pt idx="12">
                  <c:v>2024</c:v>
                </c:pt>
                <c:pt idx="13">
                  <c:v>2029</c:v>
                </c:pt>
                <c:pt idx="14">
                  <c:v>2034</c:v>
                </c:pt>
                <c:pt idx="15">
                  <c:v>2039</c:v>
                </c:pt>
                <c:pt idx="16">
                  <c:v>2044</c:v>
                </c:pt>
                <c:pt idx="17">
                  <c:v>2049</c:v>
                </c:pt>
                <c:pt idx="18">
                  <c:v>2054</c:v>
                </c:pt>
                <c:pt idx="19">
                  <c:v>2059</c:v>
                </c:pt>
                <c:pt idx="20">
                  <c:v>2064</c:v>
                </c:pt>
                <c:pt idx="21">
                  <c:v>2069</c:v>
                </c:pt>
              </c:numCache>
            </c:numRef>
          </c:xVal>
          <c:yVal>
            <c:numRef>
              <c:f>PoblacionAreaDensEPEQ!$L$2:$L$23</c:f>
              <c:numCache>
                <c:formatCode>0</c:formatCode>
                <c:ptCount val="22"/>
                <c:pt idx="0">
                  <c:v>10.662000000000001</c:v>
                </c:pt>
                <c:pt idx="1">
                  <c:v>17.22</c:v>
                </c:pt>
                <c:pt idx="2">
                  <c:v>18.409500000000001</c:v>
                </c:pt>
                <c:pt idx="3">
                  <c:v>30.942</c:v>
                </c:pt>
                <c:pt idx="4">
                  <c:v>40.066499999999998</c:v>
                </c:pt>
                <c:pt idx="5">
                  <c:v>55.576500000000003</c:v>
                </c:pt>
                <c:pt idx="6">
                  <c:v>80.186999999999998</c:v>
                </c:pt>
                <c:pt idx="7">
                  <c:v>89.896500000000003</c:v>
                </c:pt>
                <c:pt idx="8">
                  <c:v>100.968</c:v>
                </c:pt>
                <c:pt idx="9">
                  <c:v>122.715</c:v>
                </c:pt>
                <c:pt idx="10">
                  <c:v>149.376</c:v>
                </c:pt>
                <c:pt idx="11">
                  <c:v>147.48599999999999</c:v>
                </c:pt>
                <c:pt idx="12">
                  <c:v>158.12100000000001</c:v>
                </c:pt>
                <c:pt idx="13">
                  <c:v>168.77250000000001</c:v>
                </c:pt>
                <c:pt idx="14">
                  <c:v>179.38800000000001</c:v>
                </c:pt>
                <c:pt idx="15">
                  <c:v>189.92400000000001</c:v>
                </c:pt>
                <c:pt idx="16">
                  <c:v>200.328</c:v>
                </c:pt>
                <c:pt idx="17">
                  <c:v>210.55500000000001</c:v>
                </c:pt>
                <c:pt idx="18">
                  <c:v>220.55549999999999</c:v>
                </c:pt>
                <c:pt idx="19">
                  <c:v>230.28299999999999</c:v>
                </c:pt>
                <c:pt idx="20">
                  <c:v>239.68950000000001</c:v>
                </c:pt>
                <c:pt idx="21">
                  <c:v>248.72399999999999</c:v>
                </c:pt>
              </c:numCache>
            </c:numRef>
          </c:yVal>
          <c:smooth val="1"/>
          <c:extLst>
            <c:ext xmlns:c16="http://schemas.microsoft.com/office/drawing/2014/chart" uri="{C3380CC4-5D6E-409C-BE32-E72D297353CC}">
              <c16:uniqueId val="{00000001-E693-41C4-B0D5-DD24EDA73E97}"/>
            </c:ext>
          </c:extLst>
        </c:ser>
        <c:dLbls>
          <c:showLegendKey val="0"/>
          <c:showVal val="0"/>
          <c:showCatName val="0"/>
          <c:showSerName val="0"/>
          <c:showPercent val="0"/>
          <c:showBubbleSize val="0"/>
        </c:dLbls>
        <c:axId val="663400352"/>
        <c:axId val="663400832"/>
      </c:scatterChart>
      <c:valAx>
        <c:axId val="663400352"/>
        <c:scaling>
          <c:orientation val="minMax"/>
          <c:min val="1900"/>
        </c:scaling>
        <c:delete val="0"/>
        <c:axPos val="b"/>
        <c:majorGridlines>
          <c:spPr>
            <a:ln w="6350" cap="flat" cmpd="sng" algn="ctr">
              <a:solidFill>
                <a:schemeClr val="bg1">
                  <a:lumMod val="9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Año</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63400832"/>
        <c:crosses val="autoZero"/>
        <c:crossBetween val="midCat"/>
      </c:valAx>
      <c:valAx>
        <c:axId val="663400832"/>
        <c:scaling>
          <c:orientation val="minMax"/>
        </c:scaling>
        <c:delete val="0"/>
        <c:axPos val="l"/>
        <c:majorGridlines>
          <c:spPr>
            <a:ln w="6350"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EPE (ha)</a:t>
                </a:r>
              </a:p>
              <a:p>
                <a:pPr>
                  <a:defRPr/>
                </a:pPr>
                <a:endParaRPr lang="es-CO"/>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63400352"/>
        <c:crosses val="autoZero"/>
        <c:crossBetween val="midCat"/>
      </c:valAx>
      <c:spPr>
        <a:noFill/>
        <a:ln>
          <a:noFill/>
        </a:ln>
        <a:effectLst/>
      </c:spPr>
    </c:plotArea>
    <c:legend>
      <c:legendPos val="b"/>
      <c:layout>
        <c:manualLayout>
          <c:xMode val="edge"/>
          <c:yMode val="edge"/>
          <c:x val="9.0456136799425046E-2"/>
          <c:y val="0.10246782788515074"/>
          <c:w val="0.11463503425708151"/>
          <c:h val="6.9682812375725767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Segoe UI Light" panose="020B0502040204020203" pitchFamily="34" charset="0"/>
          <a:cs typeface="Segoe UI Light" panose="020B0502040204020203" pitchFamily="34" charset="0"/>
        </a:defRPr>
      </a:pPr>
      <a:endParaRPr lang="es-CO"/>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3C34F58-EC69-446D-8C74-8B451E48F1D1}">
  <sheetPr/>
  <sheetViews>
    <sheetView workbookViewId="0"/>
  </sheetViews>
  <pageMargins left="0.25" right="0.25" top="0.75" bottom="0.75" header="0.3" footer="0.3"/>
  <pageSetup paperSize="5"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3EF23B9-6F85-4143-B520-5EBEEB4B2B11}">
  <sheetPr/>
  <sheetViews>
    <sheetView workbookViewId="0"/>
  </sheetViews>
  <pageMargins left="0.25" right="0.25" top="0.75" bottom="0.75" header="0.3" footer="0.3"/>
  <pageSetup paperSize="5"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6C66609-86C6-4B72-9620-31705379CED0}">
  <sheetPr/>
  <sheetViews>
    <sheetView zoomScale="85" workbookViewId="0"/>
  </sheetViews>
  <pageMargins left="0.25" right="0.25" top="0.75" bottom="0.75" header="0.3" footer="0.3"/>
  <pageSetup paperSize="5"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3D4B084-DC95-47A9-A43B-C1238B6B668E}">
  <sheetPr/>
  <sheetViews>
    <sheetView workbookViewId="0"/>
  </sheetViews>
  <pageMargins left="0.25" right="0.25" top="0.75" bottom="0.75" header="0.3" footer="0.3"/>
  <pageSetup paperSize="5"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744064-020E-4D14-8C3A-FD755ABAE664}">
  <sheetPr/>
  <sheetViews>
    <sheetView workbookViewId="0"/>
  </sheetViews>
  <pageMargins left="0.25" right="0.25" top="0.75" bottom="0.75" header="0.3" footer="0.3"/>
  <pageSetup paperSize="5"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9</xdr:col>
      <xdr:colOff>128095</xdr:colOff>
      <xdr:row>1</xdr:row>
      <xdr:rowOff>201668</xdr:rowOff>
    </xdr:from>
    <xdr:to>
      <xdr:col>15</xdr:col>
      <xdr:colOff>121527</xdr:colOff>
      <xdr:row>19</xdr:row>
      <xdr:rowOff>13137</xdr:rowOff>
    </xdr:to>
    <xdr:graphicFrame macro="">
      <xdr:nvGraphicFramePr>
        <xdr:cNvPr id="2" name="Chart 1">
          <a:extLst>
            <a:ext uri="{FF2B5EF4-FFF2-40B4-BE49-F238E27FC236}">
              <a16:creationId xmlns:a16="http://schemas.microsoft.com/office/drawing/2014/main" id="{C18288C4-C1AF-6CEE-9226-7A26315A2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310328</xdr:colOff>
      <xdr:row>4</xdr:row>
      <xdr:rowOff>23813</xdr:rowOff>
    </xdr:from>
    <xdr:to>
      <xdr:col>15</xdr:col>
      <xdr:colOff>320111</xdr:colOff>
      <xdr:row>21</xdr:row>
      <xdr:rowOff>69112</xdr:rowOff>
    </xdr:to>
    <xdr:graphicFrame macro="">
      <xdr:nvGraphicFramePr>
        <xdr:cNvPr id="2" name="Chart 1">
          <a:extLst>
            <a:ext uri="{FF2B5EF4-FFF2-40B4-BE49-F238E27FC236}">
              <a16:creationId xmlns:a16="http://schemas.microsoft.com/office/drawing/2014/main" id="{DC0DB075-3FD1-428D-83AD-B4F10201A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104203</xdr:colOff>
      <xdr:row>4</xdr:row>
      <xdr:rowOff>16566</xdr:rowOff>
    </xdr:from>
    <xdr:to>
      <xdr:col>10</xdr:col>
      <xdr:colOff>279638</xdr:colOff>
      <xdr:row>21</xdr:row>
      <xdr:rowOff>63521</xdr:rowOff>
    </xdr:to>
    <xdr:graphicFrame macro="">
      <xdr:nvGraphicFramePr>
        <xdr:cNvPr id="3" name="Chart 2">
          <a:extLst>
            <a:ext uri="{FF2B5EF4-FFF2-40B4-BE49-F238E27FC236}">
              <a16:creationId xmlns:a16="http://schemas.microsoft.com/office/drawing/2014/main" id="{1B193815-26F1-47A3-B831-423ADC007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577348</xdr:colOff>
      <xdr:row>4</xdr:row>
      <xdr:rowOff>140804</xdr:rowOff>
    </xdr:from>
    <xdr:to>
      <xdr:col>11</xdr:col>
      <xdr:colOff>555970</xdr:colOff>
      <xdr:row>20</xdr:row>
      <xdr:rowOff>191900</xdr:rowOff>
    </xdr:to>
    <xdr:graphicFrame macro="">
      <xdr:nvGraphicFramePr>
        <xdr:cNvPr id="3" name="Chart 2">
          <a:extLst>
            <a:ext uri="{FF2B5EF4-FFF2-40B4-BE49-F238E27FC236}">
              <a16:creationId xmlns:a16="http://schemas.microsoft.com/office/drawing/2014/main" id="{AB811588-6B15-4811-9AAE-41C4A60AB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absoluteAnchor>
    <xdr:pos x="0" y="0"/>
    <xdr:ext cx="12225338" cy="6281738"/>
    <xdr:graphicFrame macro="">
      <xdr:nvGraphicFramePr>
        <xdr:cNvPr id="2" name="Chart 1">
          <a:extLst>
            <a:ext uri="{FF2B5EF4-FFF2-40B4-BE49-F238E27FC236}">
              <a16:creationId xmlns:a16="http://schemas.microsoft.com/office/drawing/2014/main" id="{E21B7C2D-2058-42F5-454B-1897C0A1532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12225338" cy="6281738"/>
    <xdr:graphicFrame macro="">
      <xdr:nvGraphicFramePr>
        <xdr:cNvPr id="2" name="Chart 1">
          <a:extLst>
            <a:ext uri="{FF2B5EF4-FFF2-40B4-BE49-F238E27FC236}">
              <a16:creationId xmlns:a16="http://schemas.microsoft.com/office/drawing/2014/main" id="{636FBB54-3626-9F77-A02B-AAD46DC5318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12231221" cy="6286500"/>
    <xdr:graphicFrame macro="">
      <xdr:nvGraphicFramePr>
        <xdr:cNvPr id="2" name="Chart 1">
          <a:extLst>
            <a:ext uri="{FF2B5EF4-FFF2-40B4-BE49-F238E27FC236}">
              <a16:creationId xmlns:a16="http://schemas.microsoft.com/office/drawing/2014/main" id="{F5D4F964-2B94-23E4-A3A2-70F68F0212E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12225338" cy="6281738"/>
    <xdr:graphicFrame macro="">
      <xdr:nvGraphicFramePr>
        <xdr:cNvPr id="2" name="Chart 1">
          <a:extLst>
            <a:ext uri="{FF2B5EF4-FFF2-40B4-BE49-F238E27FC236}">
              <a16:creationId xmlns:a16="http://schemas.microsoft.com/office/drawing/2014/main" id="{8E566824-DE6C-25D2-526F-D635EC7FDE1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0" y="0"/>
    <xdr:ext cx="12231221" cy="6286500"/>
    <xdr:graphicFrame macro="">
      <xdr:nvGraphicFramePr>
        <xdr:cNvPr id="2" name="Chart 1">
          <a:extLst>
            <a:ext uri="{FF2B5EF4-FFF2-40B4-BE49-F238E27FC236}">
              <a16:creationId xmlns:a16="http://schemas.microsoft.com/office/drawing/2014/main" id="{FFD54833-D7EB-044D-B5AE-25A3F0B061A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7104-CE26-4403-B32C-577E86FFA577}">
  <dimension ref="B2:I19"/>
  <sheetViews>
    <sheetView showGridLines="0" zoomScale="130" zoomScaleNormal="130" workbookViewId="0"/>
  </sheetViews>
  <sheetFormatPr defaultRowHeight="16.5" x14ac:dyDescent="0.6"/>
  <cols>
    <col min="1" max="1" width="2.59765625" style="3" customWidth="1"/>
    <col min="2" max="2" width="10.86328125" style="3" customWidth="1"/>
    <col min="3" max="16384" width="9.06640625" style="3"/>
  </cols>
  <sheetData>
    <row r="2" spans="2:9" x14ac:dyDescent="0.6">
      <c r="B2" s="3" t="s">
        <v>40</v>
      </c>
    </row>
    <row r="3" spans="2:9" x14ac:dyDescent="0.6">
      <c r="B3" s="8" t="s">
        <v>1</v>
      </c>
      <c r="C3" s="9" t="s">
        <v>2</v>
      </c>
      <c r="D3" s="9" t="s">
        <v>8</v>
      </c>
      <c r="E3" s="9" t="s">
        <v>9</v>
      </c>
      <c r="F3" s="9" t="s">
        <v>10</v>
      </c>
      <c r="G3" s="9" t="s">
        <v>13</v>
      </c>
      <c r="H3" s="9" t="s">
        <v>14</v>
      </c>
      <c r="I3" s="10" t="s">
        <v>15</v>
      </c>
    </row>
    <row r="4" spans="2:9" x14ac:dyDescent="0.6">
      <c r="B4" s="16">
        <v>2000</v>
      </c>
      <c r="C4" s="17">
        <v>41271</v>
      </c>
      <c r="D4" s="17">
        <v>34475</v>
      </c>
      <c r="E4" s="17">
        <v>6480</v>
      </c>
      <c r="F4" s="17">
        <v>316</v>
      </c>
      <c r="G4" s="20">
        <f>D4/C4</f>
        <v>0.83533231566959854</v>
      </c>
      <c r="H4" s="20">
        <f>(E4+F4)/C4</f>
        <v>0.16466768433040149</v>
      </c>
      <c r="I4" s="5">
        <f>H4+G4</f>
        <v>1</v>
      </c>
    </row>
    <row r="5" spans="2:9" x14ac:dyDescent="0.6">
      <c r="B5" s="18">
        <v>2018</v>
      </c>
      <c r="C5" s="19">
        <v>96476</v>
      </c>
      <c r="D5" s="19">
        <v>74495</v>
      </c>
      <c r="E5" s="19">
        <v>7081</v>
      </c>
      <c r="F5" s="19">
        <v>14900</v>
      </c>
      <c r="G5" s="21">
        <f>D5/C5</f>
        <v>0.77216095194659817</v>
      </c>
      <c r="H5" s="21">
        <f>(E5+F5)/C5</f>
        <v>0.22783904805340188</v>
      </c>
      <c r="I5" s="7">
        <f>H5+G5</f>
        <v>1</v>
      </c>
    </row>
    <row r="7" spans="2:9" x14ac:dyDescent="0.6">
      <c r="B7" s="3" t="s">
        <v>18</v>
      </c>
    </row>
    <row r="8" spans="2:9" x14ac:dyDescent="0.6">
      <c r="B8" s="26" t="s">
        <v>19</v>
      </c>
      <c r="C8" s="9" t="s">
        <v>16</v>
      </c>
      <c r="D8" s="10" t="s">
        <v>17</v>
      </c>
      <c r="F8" s="8" t="s">
        <v>25</v>
      </c>
      <c r="G8" s="9" t="s">
        <v>16</v>
      </c>
      <c r="H8" s="9" t="s">
        <v>17</v>
      </c>
      <c r="I8" s="10" t="s">
        <v>26</v>
      </c>
    </row>
    <row r="9" spans="2:9" x14ac:dyDescent="0.6">
      <c r="B9" s="27" t="s">
        <v>4</v>
      </c>
      <c r="C9" s="4" cm="1">
        <f t="array" ref="C9">INDEX(LINEST(G4:G5,B4:B5^{1},TRUE,TRUE),1,1)</f>
        <v>-3.5095202068333537E-3</v>
      </c>
      <c r="D9" s="14" cm="1">
        <f t="array" ref="D9">INDEX(LINEST(H4:H5,B4:B5^{1},TRUE,TRUE),1,1)</f>
        <v>3.5095202068333542E-3</v>
      </c>
      <c r="F9" s="16">
        <v>2024</v>
      </c>
      <c r="G9" s="20">
        <f>$C$9*F9+$C$10</f>
        <v>0.75110383070559905</v>
      </c>
      <c r="H9" s="20">
        <f>$D$9*F9+$D$10</f>
        <v>0.24889616929440184</v>
      </c>
      <c r="I9" s="5">
        <f>H9+G9</f>
        <v>1.0000000000000009</v>
      </c>
    </row>
    <row r="10" spans="2:9" x14ac:dyDescent="0.6">
      <c r="B10" s="28" t="s">
        <v>5</v>
      </c>
      <c r="C10" s="6" cm="1">
        <f t="array" ref="C10">INDEX(LINEST(G4:G5,B4:B5^{1},TRUE,TRUE),1,2)</f>
        <v>7.8543727293363066</v>
      </c>
      <c r="D10" s="15" cm="1">
        <f t="array" ref="D10">INDEX(LINEST(H4:H5,B4:B5^{1},TRUE,TRUE),1,2)</f>
        <v>-6.8543727293363066</v>
      </c>
      <c r="F10" s="18">
        <v>2069</v>
      </c>
      <c r="G10" s="21">
        <f>$C$9*F10+$C$10</f>
        <v>0.59317542139809731</v>
      </c>
      <c r="H10" s="21">
        <f>$D$9*F10+$D$10</f>
        <v>0.40682457860190357</v>
      </c>
      <c r="I10" s="7">
        <f>H10+G10</f>
        <v>1.0000000000000009</v>
      </c>
    </row>
    <row r="12" spans="2:9" x14ac:dyDescent="0.6">
      <c r="B12" s="3" t="s">
        <v>20</v>
      </c>
    </row>
    <row r="13" spans="2:9" x14ac:dyDescent="0.6">
      <c r="B13" s="11" t="s">
        <v>3</v>
      </c>
      <c r="C13" s="12" t="s">
        <v>22</v>
      </c>
      <c r="D13" s="12"/>
      <c r="E13" s="12"/>
      <c r="F13" s="12"/>
      <c r="G13" s="12"/>
      <c r="H13" s="12"/>
      <c r="I13" s="13"/>
    </row>
    <row r="14" spans="2:9" ht="16.5" customHeight="1" x14ac:dyDescent="0.6">
      <c r="B14" s="85" t="s">
        <v>21</v>
      </c>
      <c r="C14" s="81" t="s">
        <v>24</v>
      </c>
      <c r="D14" s="81"/>
      <c r="E14" s="81"/>
      <c r="F14" s="81"/>
      <c r="G14" s="81"/>
      <c r="H14" s="81"/>
      <c r="I14" s="82"/>
    </row>
    <row r="15" spans="2:9" x14ac:dyDescent="0.6">
      <c r="B15" s="86"/>
      <c r="C15" s="81"/>
      <c r="D15" s="81"/>
      <c r="E15" s="81"/>
      <c r="F15" s="81"/>
      <c r="G15" s="81"/>
      <c r="H15" s="81"/>
      <c r="I15" s="82"/>
    </row>
    <row r="16" spans="2:9" x14ac:dyDescent="0.6">
      <c r="B16" s="87"/>
      <c r="C16" s="81"/>
      <c r="D16" s="81"/>
      <c r="E16" s="81"/>
      <c r="F16" s="81"/>
      <c r="G16" s="81"/>
      <c r="H16" s="81"/>
      <c r="I16" s="82"/>
    </row>
    <row r="17" spans="2:9" ht="16.5" customHeight="1" x14ac:dyDescent="0.6">
      <c r="B17" s="85" t="s">
        <v>17</v>
      </c>
      <c r="C17" s="81" t="s">
        <v>23</v>
      </c>
      <c r="D17" s="81"/>
      <c r="E17" s="81"/>
      <c r="F17" s="81"/>
      <c r="G17" s="81"/>
      <c r="H17" s="81"/>
      <c r="I17" s="82"/>
    </row>
    <row r="18" spans="2:9" x14ac:dyDescent="0.6">
      <c r="B18" s="86"/>
      <c r="C18" s="81"/>
      <c r="D18" s="81"/>
      <c r="E18" s="81"/>
      <c r="F18" s="81"/>
      <c r="G18" s="81"/>
      <c r="H18" s="81"/>
      <c r="I18" s="82"/>
    </row>
    <row r="19" spans="2:9" x14ac:dyDescent="0.6">
      <c r="B19" s="88"/>
      <c r="C19" s="83"/>
      <c r="D19" s="83"/>
      <c r="E19" s="83"/>
      <c r="F19" s="83"/>
      <c r="G19" s="83"/>
      <c r="H19" s="83"/>
      <c r="I19" s="84"/>
    </row>
  </sheetData>
  <mergeCells count="4">
    <mergeCell ref="C14:I16"/>
    <mergeCell ref="C17:I19"/>
    <mergeCell ref="B14:B16"/>
    <mergeCell ref="B17:B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862CA-2502-49B9-BDCE-723F6597F78F}">
  <dimension ref="B2:F24"/>
  <sheetViews>
    <sheetView showGridLines="0" zoomScale="115" zoomScaleNormal="115" workbookViewId="0"/>
  </sheetViews>
  <sheetFormatPr defaultRowHeight="16.5" x14ac:dyDescent="0.6"/>
  <cols>
    <col min="1" max="1" width="2.59765625" style="3" customWidth="1"/>
    <col min="2" max="2" width="27.33203125" style="3" customWidth="1"/>
    <col min="3" max="3" width="10.796875" style="3" customWidth="1"/>
    <col min="4" max="4" width="10.86328125" style="3" customWidth="1"/>
    <col min="5" max="5" width="8.265625" style="3" customWidth="1"/>
    <col min="6" max="6" width="9.86328125" style="3" customWidth="1"/>
    <col min="7" max="7" width="11.9296875" style="3" bestFit="1" customWidth="1"/>
    <col min="8" max="8" width="10.53125" style="3" bestFit="1" customWidth="1"/>
    <col min="9" max="9" width="11.33203125" style="3" bestFit="1" customWidth="1"/>
    <col min="10" max="16384" width="9.06640625" style="3"/>
  </cols>
  <sheetData>
    <row r="2" spans="2:6" x14ac:dyDescent="0.6">
      <c r="B2" s="3" t="s">
        <v>49</v>
      </c>
    </row>
    <row r="4" spans="2:6" x14ac:dyDescent="0.6">
      <c r="B4" s="3" t="s">
        <v>48</v>
      </c>
    </row>
    <row r="5" spans="2:6" x14ac:dyDescent="0.6">
      <c r="B5" s="89" t="s">
        <v>47</v>
      </c>
      <c r="C5" s="90"/>
      <c r="D5" s="39">
        <v>19482.02</v>
      </c>
      <c r="E5" s="40" t="s">
        <v>46</v>
      </c>
    </row>
    <row r="6" spans="2:6" x14ac:dyDescent="0.6">
      <c r="B6" s="91" t="s">
        <v>43</v>
      </c>
      <c r="C6" s="92"/>
      <c r="D6" s="41">
        <v>15</v>
      </c>
      <c r="E6" s="42" t="s">
        <v>44</v>
      </c>
    </row>
    <row r="8" spans="2:6" x14ac:dyDescent="0.6">
      <c r="B8" s="3" t="s">
        <v>42</v>
      </c>
    </row>
    <row r="9" spans="2:6" x14ac:dyDescent="0.6">
      <c r="B9" s="11" t="s">
        <v>33</v>
      </c>
      <c r="C9" s="9" t="s">
        <v>1</v>
      </c>
      <c r="D9" s="9" t="s">
        <v>30</v>
      </c>
      <c r="E9" s="9" t="s">
        <v>31</v>
      </c>
      <c r="F9" s="10" t="s">
        <v>32</v>
      </c>
    </row>
    <row r="10" spans="2:6" x14ac:dyDescent="0.6">
      <c r="B10" s="24" t="s">
        <v>28</v>
      </c>
      <c r="C10" s="17">
        <v>2010</v>
      </c>
      <c r="D10" s="17">
        <v>795.52</v>
      </c>
      <c r="E10" s="17">
        <v>18726.86</v>
      </c>
      <c r="F10" s="14">
        <f>E10+D10</f>
        <v>19522.38</v>
      </c>
    </row>
    <row r="11" spans="2:6" x14ac:dyDescent="0.6">
      <c r="B11" s="24" t="s">
        <v>27</v>
      </c>
      <c r="C11" s="17">
        <v>2013</v>
      </c>
      <c r="D11" s="17">
        <v>935.49</v>
      </c>
      <c r="E11" s="17">
        <v>18586.900000000001</v>
      </c>
      <c r="F11" s="14">
        <f>E11+D11</f>
        <v>19522.390000000003</v>
      </c>
    </row>
    <row r="12" spans="2:6" x14ac:dyDescent="0.6">
      <c r="B12" s="25" t="s">
        <v>29</v>
      </c>
      <c r="C12" s="19">
        <v>2020</v>
      </c>
      <c r="D12" s="19">
        <v>1024.53</v>
      </c>
      <c r="E12" s="19">
        <v>18457.490000000002</v>
      </c>
      <c r="F12" s="15">
        <f>E12+D12</f>
        <v>19482.02</v>
      </c>
    </row>
    <row r="14" spans="2:6" x14ac:dyDescent="0.6">
      <c r="B14" s="3" t="s">
        <v>34</v>
      </c>
    </row>
    <row r="15" spans="2:6" x14ac:dyDescent="0.6">
      <c r="B15" s="3" t="s">
        <v>18</v>
      </c>
    </row>
    <row r="16" spans="2:6" x14ac:dyDescent="0.6">
      <c r="B16" s="11" t="s">
        <v>19</v>
      </c>
      <c r="C16" s="32" t="s">
        <v>16</v>
      </c>
      <c r="D16" s="33" t="s">
        <v>17</v>
      </c>
    </row>
    <row r="17" spans="2:6" x14ac:dyDescent="0.6">
      <c r="B17" s="24" t="s">
        <v>4</v>
      </c>
      <c r="C17" s="34" cm="1">
        <f t="array" ref="C17">INDEX(LINEST(D10:D12,C10:C12^{1},TRUE,TRUE),1,1)</f>
        <v>21.09677215189873</v>
      </c>
      <c r="D17" s="35" cm="1">
        <f t="array" ref="D17">INDEX(LINEST(E10:E12,C10:C12^{1},TRUE,TRUE),1,1)</f>
        <v>-25.439556962025225</v>
      </c>
    </row>
    <row r="18" spans="2:6" x14ac:dyDescent="0.6">
      <c r="B18" s="25" t="s">
        <v>5</v>
      </c>
      <c r="C18" s="36" cm="1">
        <f t="array" ref="C18">INDEX(LINEST(D10:D12,C10:C12^{1},TRUE,TRUE),1,2)</f>
        <v>-41577.418037974669</v>
      </c>
      <c r="D18" s="37" cm="1">
        <f t="array" ref="D18">INDEX(LINEST(E10:E12,C10:C12^{1},TRUE,TRUE),1,2)</f>
        <v>69834.164240506143</v>
      </c>
    </row>
    <row r="20" spans="2:6" x14ac:dyDescent="0.6">
      <c r="B20" s="3" t="s">
        <v>41</v>
      </c>
    </row>
    <row r="21" spans="2:6" x14ac:dyDescent="0.6">
      <c r="B21" s="8" t="s">
        <v>1</v>
      </c>
      <c r="C21" s="9" t="s">
        <v>16</v>
      </c>
      <c r="D21" s="9" t="s">
        <v>17</v>
      </c>
      <c r="E21" s="10" t="s">
        <v>26</v>
      </c>
    </row>
    <row r="22" spans="2:6" x14ac:dyDescent="0.6">
      <c r="B22" s="18">
        <v>2020</v>
      </c>
      <c r="C22" s="29">
        <f>$C$17*B22+$C$18</f>
        <v>1038.0617088607687</v>
      </c>
      <c r="D22" s="29">
        <f>D5-C22</f>
        <v>18443.958291139232</v>
      </c>
      <c r="E22" s="30">
        <f>C22+D22</f>
        <v>19482.02</v>
      </c>
      <c r="F22" s="38"/>
    </row>
    <row r="23" spans="2:6" x14ac:dyDescent="0.6">
      <c r="B23" s="38"/>
      <c r="C23" s="38"/>
      <c r="D23" s="38"/>
      <c r="E23" s="38"/>
      <c r="F23" s="38"/>
    </row>
    <row r="24" spans="2:6" x14ac:dyDescent="0.6">
      <c r="F24" s="38"/>
    </row>
  </sheetData>
  <mergeCells count="2">
    <mergeCell ref="B5:C5"/>
    <mergeCell ref="B6:C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1D26C-E6F7-461B-8618-6301F37C70DF}">
  <dimension ref="B2:F43"/>
  <sheetViews>
    <sheetView showGridLines="0" tabSelected="1" zoomScale="130" zoomScaleNormal="130" workbookViewId="0">
      <selection activeCell="F8" sqref="F8"/>
    </sheetView>
  </sheetViews>
  <sheetFormatPr defaultRowHeight="16.5" x14ac:dyDescent="0.45"/>
  <cols>
    <col min="1" max="1" width="2.59765625" style="1" customWidth="1"/>
    <col min="2" max="2" width="12.1328125" style="1" customWidth="1"/>
    <col min="3" max="3" width="32.265625" style="1" customWidth="1"/>
    <col min="4" max="5" width="22.59765625" style="1" customWidth="1"/>
    <col min="6" max="6" width="11.1328125" style="1" customWidth="1"/>
    <col min="7" max="7" width="10.53125" style="1" bestFit="1" customWidth="1"/>
    <col min="8" max="8" width="11.33203125" style="1" bestFit="1" customWidth="1"/>
    <col min="9" max="16384" width="9.06640625" style="1"/>
  </cols>
  <sheetData>
    <row r="2" spans="2:5" x14ac:dyDescent="0.45">
      <c r="B2" s="1" t="s">
        <v>115</v>
      </c>
    </row>
    <row r="4" spans="2:5" x14ac:dyDescent="0.45">
      <c r="B4" s="1" t="s">
        <v>48</v>
      </c>
    </row>
    <row r="5" spans="2:5" x14ac:dyDescent="0.45">
      <c r="B5" s="62" t="s">
        <v>66</v>
      </c>
      <c r="C5" s="63"/>
      <c r="D5" s="43">
        <v>128968</v>
      </c>
      <c r="E5" s="46" t="s">
        <v>70</v>
      </c>
    </row>
    <row r="6" spans="2:5" x14ac:dyDescent="0.45">
      <c r="B6" s="77" t="s">
        <v>59</v>
      </c>
      <c r="C6" s="78"/>
      <c r="D6" s="49" t="s">
        <v>55</v>
      </c>
      <c r="E6" s="50"/>
    </row>
    <row r="7" spans="2:5" x14ac:dyDescent="0.45">
      <c r="B7" s="77" t="s">
        <v>72</v>
      </c>
      <c r="C7" s="78"/>
      <c r="D7" s="49">
        <v>2600</v>
      </c>
      <c r="E7" s="50" t="s">
        <v>71</v>
      </c>
    </row>
    <row r="8" spans="2:5" x14ac:dyDescent="0.45">
      <c r="B8" s="77" t="s">
        <v>62</v>
      </c>
      <c r="C8" s="78"/>
      <c r="D8" s="58" t="str">
        <f>IF(D7&lt;=1000,D30,C30)</f>
        <v>Clima templado o frío</v>
      </c>
      <c r="E8" s="50"/>
    </row>
    <row r="9" spans="2:5" x14ac:dyDescent="0.45">
      <c r="B9" s="77" t="s">
        <v>63</v>
      </c>
      <c r="C9" s="78"/>
      <c r="D9" s="58" t="str">
        <f>IF(D5&lt;=D17,C17,IF(D5&lt;=D18,C18,IF(D5&lt;=D19,C19,C20)))</f>
        <v>Alto</v>
      </c>
      <c r="E9" s="50">
        <f>INDEX($B$17:$B$20,MATCH(D9,$C$17:$C$20,0))</f>
        <v>4</v>
      </c>
    </row>
    <row r="10" spans="2:5" x14ac:dyDescent="0.45">
      <c r="B10" s="77" t="s">
        <v>65</v>
      </c>
      <c r="C10" s="78"/>
      <c r="D10" s="58" t="str">
        <f>IF(AND(D6=E17,D5&lt;=D17),C17,IF(AND(D6=E18,D5&lt;=D18),C18,IF(D6=E19,C19,IF(D6=E20,C20,C17))))</f>
        <v>Bajo</v>
      </c>
      <c r="E10" s="50">
        <f>INDEX($B$17:$B$20,MATCH(D10,$C$17:$C$20,0))</f>
        <v>1</v>
      </c>
    </row>
    <row r="11" spans="2:5" x14ac:dyDescent="0.45">
      <c r="B11" s="77" t="s">
        <v>67</v>
      </c>
      <c r="C11" s="78"/>
      <c r="D11" s="59" t="str">
        <f>VLOOKUP(E11,B17:C20,2)</f>
        <v>Alto</v>
      </c>
      <c r="E11" s="50">
        <f>MAX(E9:E10)</f>
        <v>4</v>
      </c>
    </row>
    <row r="12" spans="2:5" ht="16.5" customHeight="1" x14ac:dyDescent="0.45">
      <c r="B12" s="77" t="s">
        <v>68</v>
      </c>
      <c r="C12" s="78"/>
      <c r="D12" s="59">
        <f>VLOOKUP(D11,B31:E34,4, FALSE)</f>
        <v>140</v>
      </c>
      <c r="E12" s="50" t="s">
        <v>79</v>
      </c>
    </row>
    <row r="13" spans="2:5" ht="16.5" customHeight="1" x14ac:dyDescent="0.45">
      <c r="B13" s="75" t="s">
        <v>77</v>
      </c>
      <c r="C13" s="76"/>
      <c r="D13" s="60">
        <f>VLOOKUP(D11,B31:F34,5, FALSE)</f>
        <v>0.85</v>
      </c>
      <c r="E13" s="47" t="s">
        <v>78</v>
      </c>
    </row>
    <row r="15" spans="2:5" x14ac:dyDescent="0.45">
      <c r="B15" s="1" t="s">
        <v>61</v>
      </c>
    </row>
    <row r="16" spans="2:5" ht="33" x14ac:dyDescent="0.45">
      <c r="B16" s="79" t="s">
        <v>50</v>
      </c>
      <c r="C16" s="80"/>
      <c r="D16" s="55" t="s">
        <v>64</v>
      </c>
      <c r="E16" s="56" t="s">
        <v>59</v>
      </c>
    </row>
    <row r="17" spans="2:6" x14ac:dyDescent="0.45">
      <c r="B17" s="48">
        <v>1</v>
      </c>
      <c r="C17" s="52" t="s">
        <v>51</v>
      </c>
      <c r="D17" s="57">
        <v>2500</v>
      </c>
      <c r="E17" s="44" t="s">
        <v>55</v>
      </c>
    </row>
    <row r="18" spans="2:6" x14ac:dyDescent="0.45">
      <c r="B18" s="48">
        <v>2</v>
      </c>
      <c r="C18" s="52" t="s">
        <v>52</v>
      </c>
      <c r="D18" s="57">
        <v>12500</v>
      </c>
      <c r="E18" s="44" t="s">
        <v>55</v>
      </c>
    </row>
    <row r="19" spans="2:6" x14ac:dyDescent="0.45">
      <c r="B19" s="48">
        <v>3</v>
      </c>
      <c r="C19" s="52" t="s">
        <v>74</v>
      </c>
      <c r="D19" s="57">
        <v>60000</v>
      </c>
      <c r="E19" s="44" t="s">
        <v>56</v>
      </c>
    </row>
    <row r="20" spans="2:6" x14ac:dyDescent="0.45">
      <c r="B20" s="51">
        <v>4</v>
      </c>
      <c r="C20" s="53" t="s">
        <v>53</v>
      </c>
      <c r="D20" s="61">
        <v>99999999</v>
      </c>
      <c r="E20" s="45" t="s">
        <v>57</v>
      </c>
    </row>
    <row r="21" spans="2:6" x14ac:dyDescent="0.45">
      <c r="B21" s="67" t="s">
        <v>69</v>
      </c>
      <c r="C21" s="68"/>
      <c r="D21" s="68"/>
      <c r="E21" s="69"/>
    </row>
    <row r="22" spans="2:6" x14ac:dyDescent="0.45">
      <c r="B22" s="67"/>
      <c r="C22" s="68"/>
      <c r="D22" s="68"/>
      <c r="E22" s="69"/>
    </row>
    <row r="23" spans="2:6" x14ac:dyDescent="0.45">
      <c r="B23" s="67"/>
      <c r="C23" s="68"/>
      <c r="D23" s="68"/>
      <c r="E23" s="69"/>
    </row>
    <row r="24" spans="2:6" x14ac:dyDescent="0.45">
      <c r="B24" s="67"/>
      <c r="C24" s="68"/>
      <c r="D24" s="68"/>
      <c r="E24" s="69"/>
    </row>
    <row r="25" spans="2:6" x14ac:dyDescent="0.45">
      <c r="B25" s="67"/>
      <c r="C25" s="68"/>
      <c r="D25" s="68"/>
      <c r="E25" s="69"/>
    </row>
    <row r="26" spans="2:6" x14ac:dyDescent="0.45">
      <c r="B26" s="70"/>
      <c r="C26" s="71"/>
      <c r="D26" s="71"/>
      <c r="E26" s="72"/>
    </row>
    <row r="28" spans="2:6" ht="16.5" customHeight="1" x14ac:dyDescent="0.45">
      <c r="B28" s="73" t="s">
        <v>86</v>
      </c>
      <c r="C28" s="73"/>
      <c r="D28" s="73"/>
      <c r="E28" s="73"/>
      <c r="F28" s="73"/>
    </row>
    <row r="29" spans="2:6" x14ac:dyDescent="0.45">
      <c r="B29" s="74"/>
      <c r="C29" s="74"/>
      <c r="D29" s="74"/>
      <c r="E29" s="74"/>
      <c r="F29" s="74"/>
    </row>
    <row r="30" spans="2:6" ht="49.5" x14ac:dyDescent="0.45">
      <c r="B30" s="54" t="s">
        <v>54</v>
      </c>
      <c r="C30" s="55" t="s">
        <v>60</v>
      </c>
      <c r="D30" s="55" t="s">
        <v>58</v>
      </c>
      <c r="E30" s="55" t="s">
        <v>73</v>
      </c>
      <c r="F30" s="56" t="s">
        <v>76</v>
      </c>
    </row>
    <row r="31" spans="2:6" x14ac:dyDescent="0.45">
      <c r="B31" s="48" t="s">
        <v>51</v>
      </c>
      <c r="C31" s="57">
        <v>90</v>
      </c>
      <c r="D31" s="57">
        <v>100</v>
      </c>
      <c r="E31" s="57">
        <f>IF($D$8=$C$30,C31,D31)</f>
        <v>90</v>
      </c>
      <c r="F31" s="44">
        <v>0.8</v>
      </c>
    </row>
    <row r="32" spans="2:6" x14ac:dyDescent="0.45">
      <c r="B32" s="48" t="s">
        <v>52</v>
      </c>
      <c r="C32" s="57">
        <v>115</v>
      </c>
      <c r="D32" s="57">
        <v>125</v>
      </c>
      <c r="E32" s="57">
        <f>IF($D$8=$C$30,C32,D32)</f>
        <v>115</v>
      </c>
      <c r="F32" s="44">
        <v>0.8</v>
      </c>
    </row>
    <row r="33" spans="2:6" x14ac:dyDescent="0.45">
      <c r="B33" s="48" t="s">
        <v>74</v>
      </c>
      <c r="C33" s="57">
        <v>125</v>
      </c>
      <c r="D33" s="57">
        <v>135</v>
      </c>
      <c r="E33" s="57">
        <f>IF($D$8=$C$30,C33,D33)</f>
        <v>125</v>
      </c>
      <c r="F33" s="44">
        <v>0.85</v>
      </c>
    </row>
    <row r="34" spans="2:6" x14ac:dyDescent="0.45">
      <c r="B34" s="51" t="s">
        <v>53</v>
      </c>
      <c r="C34" s="61">
        <v>140</v>
      </c>
      <c r="D34" s="61">
        <v>150</v>
      </c>
      <c r="E34" s="61">
        <f>IF($D$8=$C$30,C34,D34)</f>
        <v>140</v>
      </c>
      <c r="F34" s="45">
        <v>0.85</v>
      </c>
    </row>
    <row r="35" spans="2:6" ht="16.5" customHeight="1" x14ac:dyDescent="0.45">
      <c r="B35" s="64" t="s">
        <v>75</v>
      </c>
      <c r="C35" s="65"/>
      <c r="D35" s="65"/>
      <c r="E35" s="65"/>
      <c r="F35" s="66"/>
    </row>
    <row r="36" spans="2:6" ht="16.5" customHeight="1" x14ac:dyDescent="0.45">
      <c r="B36" s="67"/>
      <c r="C36" s="68"/>
      <c r="D36" s="68"/>
      <c r="E36" s="68"/>
      <c r="F36" s="69"/>
    </row>
    <row r="37" spans="2:6" x14ac:dyDescent="0.45">
      <c r="B37" s="70"/>
      <c r="C37" s="71"/>
      <c r="D37" s="71"/>
      <c r="E37" s="71"/>
      <c r="F37" s="72"/>
    </row>
    <row r="39" spans="2:6" ht="16.5" customHeight="1" x14ac:dyDescent="0.45">
      <c r="B39" s="73" t="s">
        <v>116</v>
      </c>
      <c r="C39" s="73"/>
      <c r="D39" s="73"/>
      <c r="E39" s="73"/>
      <c r="F39" s="73"/>
    </row>
    <row r="40" spans="2:6" x14ac:dyDescent="0.45">
      <c r="B40" s="73"/>
      <c r="C40" s="73"/>
      <c r="D40" s="73"/>
      <c r="E40" s="73"/>
      <c r="F40" s="73"/>
    </row>
    <row r="41" spans="2:6" x14ac:dyDescent="0.45">
      <c r="B41" s="73"/>
      <c r="C41" s="73"/>
      <c r="D41" s="73"/>
      <c r="E41" s="73"/>
      <c r="F41" s="73"/>
    </row>
    <row r="42" spans="2:6" x14ac:dyDescent="0.45">
      <c r="B42" s="73"/>
      <c r="C42" s="73"/>
      <c r="D42" s="73"/>
      <c r="E42" s="73"/>
      <c r="F42" s="73"/>
    </row>
    <row r="43" spans="2:6" x14ac:dyDescent="0.45">
      <c r="B43" s="73"/>
      <c r="C43" s="73"/>
      <c r="D43" s="73"/>
      <c r="E43" s="73"/>
      <c r="F43" s="73"/>
    </row>
  </sheetData>
  <mergeCells count="14">
    <mergeCell ref="B39:F43"/>
    <mergeCell ref="B7:C7"/>
    <mergeCell ref="B8:C8"/>
    <mergeCell ref="B12:C12"/>
    <mergeCell ref="B6:C6"/>
    <mergeCell ref="B5:C5"/>
    <mergeCell ref="B35:F37"/>
    <mergeCell ref="B28:F29"/>
    <mergeCell ref="B13:C13"/>
    <mergeCell ref="B21:E26"/>
    <mergeCell ref="B9:C9"/>
    <mergeCell ref="B10:C10"/>
    <mergeCell ref="B11:C11"/>
    <mergeCell ref="B16:C16"/>
  </mergeCells>
  <dataValidations disablePrompts="1" count="1">
    <dataValidation type="list" allowBlank="1" showInputMessage="1" showErrorMessage="1" sqref="D6" xr:uid="{C41A9AF3-437A-43C2-81E5-D5F8976E3D1D}">
      <formula1>$E$18:$E$20</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DC757-E655-4AB9-91FA-E1AE22FE7E6A}">
  <dimension ref="A1:R23"/>
  <sheetViews>
    <sheetView showGridLines="0" zoomScale="130" zoomScaleNormal="130" workbookViewId="0">
      <pane xSplit="2" ySplit="1" topLeftCell="I2" activePane="bottomRight" state="frozen"/>
      <selection pane="topRight" activeCell="D1" sqref="D1"/>
      <selection pane="bottomLeft" activeCell="A2" sqref="A2"/>
      <selection pane="bottomRight" activeCell="R2" sqref="R2:R23"/>
    </sheetView>
  </sheetViews>
  <sheetFormatPr defaultColWidth="9.19921875" defaultRowHeight="16.5" x14ac:dyDescent="0.45"/>
  <cols>
    <col min="1" max="1" width="14.19921875" style="1" customWidth="1"/>
    <col min="2" max="2" width="8.33203125" style="1" customWidth="1"/>
    <col min="3" max="4" width="10.73046875" style="1" customWidth="1"/>
    <col min="5" max="5" width="12" style="1" bestFit="1" customWidth="1"/>
    <col min="6" max="6" width="11.73046875" style="1" customWidth="1"/>
    <col min="7" max="7" width="13.33203125" style="1" customWidth="1"/>
    <col min="8" max="9" width="11.73046875" style="1" customWidth="1"/>
    <col min="10" max="10" width="9.265625" style="1" customWidth="1"/>
    <col min="11" max="11" width="10.3984375" style="1" customWidth="1"/>
    <col min="12" max="12" width="10.6640625" style="1" customWidth="1"/>
    <col min="13" max="13" width="10.6640625" style="31" customWidth="1"/>
    <col min="14" max="16384" width="9.19921875" style="1"/>
  </cols>
  <sheetData>
    <row r="1" spans="1:18" x14ac:dyDescent="0.45">
      <c r="A1" s="2" t="s">
        <v>0</v>
      </c>
      <c r="B1" s="2" t="s">
        <v>1</v>
      </c>
      <c r="C1" s="2" t="s">
        <v>2</v>
      </c>
      <c r="D1" s="2" t="s">
        <v>13</v>
      </c>
      <c r="E1" s="2" t="s">
        <v>11</v>
      </c>
      <c r="F1" s="2" t="s">
        <v>12</v>
      </c>
      <c r="G1" s="2" t="s">
        <v>38</v>
      </c>
      <c r="H1" s="2" t="s">
        <v>39</v>
      </c>
      <c r="I1" s="2" t="s">
        <v>37</v>
      </c>
      <c r="J1" s="2" t="s">
        <v>35</v>
      </c>
      <c r="K1" s="2" t="s">
        <v>36</v>
      </c>
      <c r="L1" s="2" t="s">
        <v>45</v>
      </c>
      <c r="M1" s="2" t="s">
        <v>81</v>
      </c>
      <c r="N1" s="2" t="s">
        <v>80</v>
      </c>
      <c r="O1" s="2" t="s">
        <v>82</v>
      </c>
      <c r="P1" s="2" t="s">
        <v>83</v>
      </c>
      <c r="Q1" s="2" t="s">
        <v>84</v>
      </c>
      <c r="R1" s="2" t="s">
        <v>85</v>
      </c>
    </row>
    <row r="2" spans="1:18" x14ac:dyDescent="0.45">
      <c r="A2" s="1" t="s">
        <v>6</v>
      </c>
      <c r="B2" s="1">
        <v>1905</v>
      </c>
      <c r="C2" s="1">
        <v>7108</v>
      </c>
      <c r="D2" s="22">
        <f>IF((PoblacionSISBEN!$C$9*PoblacionAreaDensEPEQ!B2+PoblacionSISBEN!$C$10)&gt;1,1,PoblacionSISBEN!$C$9*PoblacionAreaDensEPEQ!B2+PoblacionSISBEN!$C$10)</f>
        <v>1</v>
      </c>
      <c r="E2" s="23">
        <f>ROUND(C2*D2,0)</f>
        <v>7108</v>
      </c>
      <c r="F2" s="23">
        <f t="shared" ref="F2:F23" si="0">C2-E2</f>
        <v>0</v>
      </c>
      <c r="G2" s="31">
        <f>TipoSueloEPE!$D$5-PoblacionAreaDensEPEQ!H2</f>
        <v>1</v>
      </c>
      <c r="H2" s="31">
        <f>IF(TipoSueloEPE!$D$17*PoblacionAreaDensEPEQ!B2+TipoSueloEPE!$D$18&gt;TipoSueloEPE!$D$5,TipoSueloEPE!$D$5-1,TipoSueloEPE!$D$17*PoblacionAreaDensEPEQ!B2+TipoSueloEPE!$D$18)</f>
        <v>19481.02</v>
      </c>
      <c r="I2" s="31">
        <f>C2/ TipoSueloEPE!$D$5</f>
        <v>0.36484923021329407</v>
      </c>
      <c r="J2" s="31">
        <f t="shared" ref="J2:K4" si="1">E2/G2</f>
        <v>7108</v>
      </c>
      <c r="K2" s="31">
        <f t="shared" si="1"/>
        <v>0</v>
      </c>
      <c r="L2" s="23">
        <f>E2*TipoSueloEPE!$D$6/10000</f>
        <v>10.662000000000001</v>
      </c>
      <c r="M2" s="31">
        <f>C2*AguaPotSanBas!$D$12/86400</f>
        <v>11.517592592592592</v>
      </c>
      <c r="N2" s="31">
        <f>E2*AguaPotSanBas!$D$12/86400</f>
        <v>11.517592592592592</v>
      </c>
      <c r="O2" s="31">
        <f>F2*AguaPotSanBas!$D$12/86400</f>
        <v>0</v>
      </c>
      <c r="P2" s="31">
        <f>M2*AguaPotSanBas!$D$13</f>
        <v>9.7899537037037039</v>
      </c>
      <c r="Q2" s="31">
        <f>N2*AguaPotSanBas!$D$13</f>
        <v>9.7899537037037039</v>
      </c>
      <c r="R2" s="31">
        <f>O2*AguaPotSanBas!$D$13</f>
        <v>0</v>
      </c>
    </row>
    <row r="3" spans="1:18" x14ac:dyDescent="0.45">
      <c r="A3" s="1" t="s">
        <v>6</v>
      </c>
      <c r="B3" s="1">
        <v>1928</v>
      </c>
      <c r="C3" s="1">
        <v>11480</v>
      </c>
      <c r="D3" s="22">
        <f>IF((PoblacionSISBEN!$C$9*PoblacionAreaDensEPEQ!B3+PoblacionSISBEN!$C$10)&gt;1,1,PoblacionSISBEN!$C$9*PoblacionAreaDensEPEQ!B3+PoblacionSISBEN!$C$10)</f>
        <v>1</v>
      </c>
      <c r="E3" s="23">
        <f t="shared" ref="E3:E23" si="2">ROUND(C3*D3,0)</f>
        <v>11480</v>
      </c>
      <c r="F3" s="23">
        <f t="shared" si="0"/>
        <v>0</v>
      </c>
      <c r="G3" s="31">
        <f>TipoSueloEPE!$D$5-PoblacionAreaDensEPEQ!H3</f>
        <v>1</v>
      </c>
      <c r="H3" s="31">
        <f>IF(TipoSueloEPE!$D$17*PoblacionAreaDensEPEQ!B3+TipoSueloEPE!$D$18&gt;TipoSueloEPE!$D$5,TipoSueloEPE!$D$5-1,TipoSueloEPE!$D$17*PoblacionAreaDensEPEQ!B3+TipoSueloEPE!$D$18)</f>
        <v>19481.02</v>
      </c>
      <c r="I3" s="31">
        <f>C3/ TipoSueloEPE!$D$5</f>
        <v>0.58926127783463933</v>
      </c>
      <c r="J3" s="31">
        <f t="shared" si="1"/>
        <v>11480</v>
      </c>
      <c r="K3" s="31">
        <f t="shared" si="1"/>
        <v>0</v>
      </c>
      <c r="L3" s="23">
        <f>E3*TipoSueloEPE!$D$6/10000</f>
        <v>17.22</v>
      </c>
      <c r="M3" s="31">
        <f>C3*AguaPotSanBas!$D$12/86400</f>
        <v>18.601851851851851</v>
      </c>
      <c r="N3" s="31">
        <f>E3*AguaPotSanBas!$D$12/86400</f>
        <v>18.601851851851851</v>
      </c>
      <c r="O3" s="31">
        <f>F3*AguaPotSanBas!$D$12/86400</f>
        <v>0</v>
      </c>
      <c r="P3" s="31">
        <f>M3*AguaPotSanBas!$D$13</f>
        <v>15.811574074074073</v>
      </c>
      <c r="Q3" s="31">
        <f>N3*AguaPotSanBas!$D$13</f>
        <v>15.811574074074073</v>
      </c>
      <c r="R3" s="31">
        <f>O3*AguaPotSanBas!$D$13</f>
        <v>0</v>
      </c>
    </row>
    <row r="4" spans="1:18" x14ac:dyDescent="0.45">
      <c r="A4" s="1" t="s">
        <v>6</v>
      </c>
      <c r="B4" s="1">
        <v>1938</v>
      </c>
      <c r="C4" s="1">
        <v>12273</v>
      </c>
      <c r="D4" s="22">
        <f>IF((PoblacionSISBEN!$C$9*PoblacionAreaDensEPEQ!B4+PoblacionSISBEN!$C$10)&gt;1,1,PoblacionSISBEN!$C$9*PoblacionAreaDensEPEQ!B4+PoblacionSISBEN!$C$10)</f>
        <v>1</v>
      </c>
      <c r="E4" s="23">
        <f t="shared" si="2"/>
        <v>12273</v>
      </c>
      <c r="F4" s="23">
        <f t="shared" si="0"/>
        <v>0</v>
      </c>
      <c r="G4" s="31">
        <f>TipoSueloEPE!$D$5-PoblacionAreaDensEPEQ!H4</f>
        <v>1</v>
      </c>
      <c r="H4" s="31">
        <f>IF(TipoSueloEPE!$D$17*PoblacionAreaDensEPEQ!B4+TipoSueloEPE!$D$18&gt;TipoSueloEPE!$D$5,TipoSueloEPE!$D$5-1,TipoSueloEPE!$D$17*PoblacionAreaDensEPEQ!B4+TipoSueloEPE!$D$18)</f>
        <v>19481.02</v>
      </c>
      <c r="I4" s="31">
        <f>C4/ TipoSueloEPE!$D$5</f>
        <v>0.62996547585927942</v>
      </c>
      <c r="J4" s="31">
        <f t="shared" si="1"/>
        <v>12273</v>
      </c>
      <c r="K4" s="31">
        <f t="shared" si="1"/>
        <v>0</v>
      </c>
      <c r="L4" s="23">
        <f>E4*TipoSueloEPE!$D$6/10000</f>
        <v>18.409500000000001</v>
      </c>
      <c r="M4" s="31">
        <f>C4*AguaPotSanBas!$D$12/86400</f>
        <v>19.886805555555554</v>
      </c>
      <c r="N4" s="31">
        <f>E4*AguaPotSanBas!$D$12/86400</f>
        <v>19.886805555555554</v>
      </c>
      <c r="O4" s="31">
        <f>F4*AguaPotSanBas!$D$12/86400</f>
        <v>0</v>
      </c>
      <c r="P4" s="31">
        <f>M4*AguaPotSanBas!$D$13</f>
        <v>16.90378472222222</v>
      </c>
      <c r="Q4" s="31">
        <f>N4*AguaPotSanBas!$D$13</f>
        <v>16.90378472222222</v>
      </c>
      <c r="R4" s="31">
        <f>O4*AguaPotSanBas!$D$13</f>
        <v>0</v>
      </c>
    </row>
    <row r="5" spans="1:18" x14ac:dyDescent="0.45">
      <c r="A5" s="1" t="s">
        <v>6</v>
      </c>
      <c r="B5" s="1">
        <v>1951</v>
      </c>
      <c r="C5" s="1">
        <v>20628</v>
      </c>
      <c r="D5" s="22">
        <f>IF((PoblacionSISBEN!$C$9*PoblacionAreaDensEPEQ!B5+PoblacionSISBEN!$C$10)&gt;1,1,PoblacionSISBEN!$C$9*PoblacionAreaDensEPEQ!B5+PoblacionSISBEN!$C$10)</f>
        <v>1</v>
      </c>
      <c r="E5" s="23">
        <f t="shared" si="2"/>
        <v>20628</v>
      </c>
      <c r="F5" s="23">
        <f t="shared" si="0"/>
        <v>0</v>
      </c>
      <c r="G5" s="31">
        <f>TipoSueloEPE!$D$5-PoblacionAreaDensEPEQ!H5</f>
        <v>1</v>
      </c>
      <c r="H5" s="31">
        <f>IF(TipoSueloEPE!$D$17*PoblacionAreaDensEPEQ!B5+TipoSueloEPE!$D$18&gt;TipoSueloEPE!$D$5,TipoSueloEPE!$D$5-1,TipoSueloEPE!$D$17*PoblacionAreaDensEPEQ!B5+TipoSueloEPE!$D$18)</f>
        <v>19481.02</v>
      </c>
      <c r="I5" s="31">
        <f>C5/ TipoSueloEPE!$D$5</f>
        <v>1.0588224424366672</v>
      </c>
      <c r="J5" s="31">
        <f t="shared" ref="J5:J23" si="3">E5/G5</f>
        <v>20628</v>
      </c>
      <c r="K5" s="31">
        <f>F5/H5</f>
        <v>0</v>
      </c>
      <c r="L5" s="23">
        <f>E5*TipoSueloEPE!$D$6/10000</f>
        <v>30.942</v>
      </c>
      <c r="M5" s="31">
        <f>C5*AguaPotSanBas!$D$12/86400</f>
        <v>33.424999999999997</v>
      </c>
      <c r="N5" s="31">
        <f>E5*AguaPotSanBas!$D$12/86400</f>
        <v>33.424999999999997</v>
      </c>
      <c r="O5" s="31">
        <f>F5*AguaPotSanBas!$D$12/86400</f>
        <v>0</v>
      </c>
      <c r="P5" s="31">
        <f>M5*AguaPotSanBas!$D$13</f>
        <v>28.411249999999995</v>
      </c>
      <c r="Q5" s="31">
        <f>N5*AguaPotSanBas!$D$13</f>
        <v>28.411249999999995</v>
      </c>
      <c r="R5" s="31">
        <f>O5*AguaPotSanBas!$D$13</f>
        <v>0</v>
      </c>
    </row>
    <row r="6" spans="1:18" x14ac:dyDescent="0.45">
      <c r="A6" s="1" t="s">
        <v>6</v>
      </c>
      <c r="B6" s="1">
        <v>1964</v>
      </c>
      <c r="C6" s="1">
        <v>27775</v>
      </c>
      <c r="D6" s="22">
        <f>IF((PoblacionSISBEN!$C$9*PoblacionAreaDensEPEQ!B6+PoblacionSISBEN!$C$10)&gt;1,1,PoblacionSISBEN!$C$9*PoblacionAreaDensEPEQ!B6+PoblacionSISBEN!$C$10)</f>
        <v>0.96167504311559959</v>
      </c>
      <c r="E6" s="23">
        <f t="shared" si="2"/>
        <v>26711</v>
      </c>
      <c r="F6" s="23">
        <f t="shared" si="0"/>
        <v>1064</v>
      </c>
      <c r="G6" s="31">
        <f>TipoSueloEPE!$D$5-PoblacionAreaDensEPEQ!H6</f>
        <v>1</v>
      </c>
      <c r="H6" s="31">
        <f>IF(TipoSueloEPE!$D$17*PoblacionAreaDensEPEQ!B6+TipoSueloEPE!$D$18&gt;TipoSueloEPE!$D$5,TipoSueloEPE!$D$5-1,TipoSueloEPE!$D$17*PoblacionAreaDensEPEQ!B6+TipoSueloEPE!$D$18)</f>
        <v>19481.02</v>
      </c>
      <c r="I6" s="31">
        <f>C6/ TipoSueloEPE!$D$5</f>
        <v>1.4256735184544518</v>
      </c>
      <c r="J6" s="31">
        <f t="shared" si="3"/>
        <v>26711</v>
      </c>
      <c r="K6" s="31">
        <f>F6/H6</f>
        <v>5.4617263367113221E-2</v>
      </c>
      <c r="L6" s="23">
        <f>E6*TipoSueloEPE!$D$6/10000</f>
        <v>40.066499999999998</v>
      </c>
      <c r="M6" s="31">
        <f>C6*AguaPotSanBas!$D$12/86400</f>
        <v>45.005787037037038</v>
      </c>
      <c r="N6" s="31">
        <f>E6*AguaPotSanBas!$D$12/86400</f>
        <v>43.281712962962963</v>
      </c>
      <c r="O6" s="31">
        <f>F6*AguaPotSanBas!$D$12/86400</f>
        <v>1.7240740740740741</v>
      </c>
      <c r="P6" s="31">
        <f>M6*AguaPotSanBas!$D$13</f>
        <v>38.254918981481481</v>
      </c>
      <c r="Q6" s="31">
        <f>N6*AguaPotSanBas!$D$13</f>
        <v>36.789456018518521</v>
      </c>
      <c r="R6" s="31">
        <f>O6*AguaPotSanBas!$D$13</f>
        <v>1.465462962962963</v>
      </c>
    </row>
    <row r="7" spans="1:18" x14ac:dyDescent="0.45">
      <c r="A7" s="1" t="s">
        <v>6</v>
      </c>
      <c r="B7" s="1">
        <v>1973</v>
      </c>
      <c r="C7" s="1">
        <v>39836</v>
      </c>
      <c r="D7" s="22">
        <f>IF((PoblacionSISBEN!$C$9*PoblacionAreaDensEPEQ!B7+PoblacionSISBEN!$C$10)&gt;1,1,PoblacionSISBEN!$C$9*PoblacionAreaDensEPEQ!B7+PoblacionSISBEN!$C$10)</f>
        <v>0.93008936125409925</v>
      </c>
      <c r="E7" s="23">
        <f t="shared" si="2"/>
        <v>37051</v>
      </c>
      <c r="F7" s="23">
        <f t="shared" si="0"/>
        <v>2785</v>
      </c>
      <c r="G7" s="31">
        <f>TipoSueloEPE!$D$5-PoblacionAreaDensEPEQ!H7</f>
        <v>1</v>
      </c>
      <c r="H7" s="31">
        <f>IF(TipoSueloEPE!$D$17*PoblacionAreaDensEPEQ!B7+TipoSueloEPE!$D$18&gt;TipoSueloEPE!$D$5,TipoSueloEPE!$D$5-1,TipoSueloEPE!$D$17*PoblacionAreaDensEPEQ!B7+TipoSueloEPE!$D$18)</f>
        <v>19481.02</v>
      </c>
      <c r="I7" s="31">
        <f>C7/ TipoSueloEPE!$D$5</f>
        <v>2.0447571658380395</v>
      </c>
      <c r="J7" s="31">
        <f t="shared" si="3"/>
        <v>37051</v>
      </c>
      <c r="K7" s="31">
        <f>F7/H7</f>
        <v>0.14295966022313</v>
      </c>
      <c r="L7" s="23">
        <f>E7*TipoSueloEPE!$D$6/10000</f>
        <v>55.576500000000003</v>
      </c>
      <c r="M7" s="31">
        <f>C7*AguaPotSanBas!$D$12/86400</f>
        <v>64.54907407407407</v>
      </c>
      <c r="N7" s="31">
        <f>E7*AguaPotSanBas!$D$12/86400</f>
        <v>60.03634259259259</v>
      </c>
      <c r="O7" s="31">
        <f>F7*AguaPotSanBas!$D$12/86400</f>
        <v>4.5127314814814818</v>
      </c>
      <c r="P7" s="31">
        <f>M7*AguaPotSanBas!$D$13</f>
        <v>54.866712962962957</v>
      </c>
      <c r="Q7" s="31">
        <f>N7*AguaPotSanBas!$D$13</f>
        <v>51.030891203703703</v>
      </c>
      <c r="R7" s="31">
        <f>O7*AguaPotSanBas!$D$13</f>
        <v>3.8358217592592596</v>
      </c>
    </row>
    <row r="8" spans="1:18" x14ac:dyDescent="0.45">
      <c r="A8" s="1" t="s">
        <v>6</v>
      </c>
      <c r="B8" s="1">
        <v>1985</v>
      </c>
      <c r="C8" s="1">
        <v>60202</v>
      </c>
      <c r="D8" s="22">
        <f>IF((PoblacionSISBEN!$C$9*PoblacionAreaDensEPEQ!B8+PoblacionSISBEN!$C$10)&gt;1,1,PoblacionSISBEN!$C$9*PoblacionAreaDensEPEQ!B8+PoblacionSISBEN!$C$10)</f>
        <v>0.88797511877209967</v>
      </c>
      <c r="E8" s="23">
        <f t="shared" si="2"/>
        <v>53458</v>
      </c>
      <c r="F8" s="23">
        <f t="shared" si="0"/>
        <v>6744</v>
      </c>
      <c r="G8" s="31">
        <f>TipoSueloEPE!$D$5-PoblacionAreaDensEPEQ!H8</f>
        <v>145.37632911392939</v>
      </c>
      <c r="H8" s="31">
        <f>IF(TipoSueloEPE!$D$17*PoblacionAreaDensEPEQ!B8+TipoSueloEPE!$D$18&gt;TipoSueloEPE!$D$5,TipoSueloEPE!$D$5-1,TipoSueloEPE!$D$17*PoblacionAreaDensEPEQ!B8+TipoSueloEPE!$D$18)</f>
        <v>19336.643670886071</v>
      </c>
      <c r="I8" s="31">
        <f>C8/ TipoSueloEPE!$D$5</f>
        <v>3.0901313108188986</v>
      </c>
      <c r="J8" s="31">
        <f t="shared" si="3"/>
        <v>367.72148757522774</v>
      </c>
      <c r="K8" s="31">
        <f t="shared" ref="K8:K23" si="4">F8/H8</f>
        <v>0.34876786865313153</v>
      </c>
      <c r="L8" s="23">
        <f>E8*TipoSueloEPE!$D$6/10000</f>
        <v>80.186999999999998</v>
      </c>
      <c r="M8" s="31">
        <f>C8*AguaPotSanBas!$D$12/86400</f>
        <v>97.549537037037041</v>
      </c>
      <c r="N8" s="31">
        <f>E8*AguaPotSanBas!$D$12/86400</f>
        <v>86.621759259259264</v>
      </c>
      <c r="O8" s="31">
        <f>F8*AguaPotSanBas!$D$12/86400</f>
        <v>10.927777777777777</v>
      </c>
      <c r="P8" s="31">
        <f>M8*AguaPotSanBas!$D$13</f>
        <v>82.917106481481483</v>
      </c>
      <c r="Q8" s="31">
        <f>N8*AguaPotSanBas!$D$13</f>
        <v>73.628495370370374</v>
      </c>
      <c r="R8" s="31">
        <f>O8*AguaPotSanBas!$D$13</f>
        <v>9.2886111111111109</v>
      </c>
    </row>
    <row r="9" spans="1:18" x14ac:dyDescent="0.45">
      <c r="A9" s="1" t="s">
        <v>6</v>
      </c>
      <c r="B9" s="1">
        <v>1993</v>
      </c>
      <c r="C9" s="1">
        <v>69695</v>
      </c>
      <c r="D9" s="22">
        <f>IF((PoblacionSISBEN!$C$9*PoblacionAreaDensEPEQ!B9+PoblacionSISBEN!$C$10)&gt;1,1,PoblacionSISBEN!$C$9*PoblacionAreaDensEPEQ!B9+PoblacionSISBEN!$C$10)</f>
        <v>0.85989895711743269</v>
      </c>
      <c r="E9" s="23">
        <f t="shared" si="2"/>
        <v>59931</v>
      </c>
      <c r="F9" s="23">
        <f t="shared" si="0"/>
        <v>9764</v>
      </c>
      <c r="G9" s="31">
        <f>TipoSueloEPE!$D$5-PoblacionAreaDensEPEQ!H9</f>
        <v>348.89278481013389</v>
      </c>
      <c r="H9" s="31">
        <f>IF(TipoSueloEPE!$D$17*PoblacionAreaDensEPEQ!B9+TipoSueloEPE!$D$18&gt;TipoSueloEPE!$D$5,TipoSueloEPE!$D$5-1,TipoSueloEPE!$D$17*PoblacionAreaDensEPEQ!B9+TipoSueloEPE!$D$18)</f>
        <v>19133.127215189867</v>
      </c>
      <c r="I9" s="31">
        <f>C9/ TipoSueloEPE!$D$5</f>
        <v>3.5774011113837272</v>
      </c>
      <c r="J9" s="31">
        <f t="shared" si="3"/>
        <v>171.77483344235455</v>
      </c>
      <c r="K9" s="31">
        <f t="shared" si="4"/>
        <v>0.5103190863774909</v>
      </c>
      <c r="L9" s="23">
        <f>E9*TipoSueloEPE!$D$6/10000</f>
        <v>89.896500000000003</v>
      </c>
      <c r="M9" s="31">
        <f>C9*AguaPotSanBas!$D$12/86400</f>
        <v>112.93171296296296</v>
      </c>
      <c r="N9" s="31">
        <f>E9*AguaPotSanBas!$D$12/86400</f>
        <v>97.110416666666666</v>
      </c>
      <c r="O9" s="31">
        <f>F9*AguaPotSanBas!$D$12/86400</f>
        <v>15.821296296296296</v>
      </c>
      <c r="P9" s="31">
        <f>M9*AguaPotSanBas!$D$13</f>
        <v>95.991956018518522</v>
      </c>
      <c r="Q9" s="31">
        <f>N9*AguaPotSanBas!$D$13</f>
        <v>82.543854166666662</v>
      </c>
      <c r="R9" s="31">
        <f>O9*AguaPotSanBas!$D$13</f>
        <v>13.448101851851851</v>
      </c>
    </row>
    <row r="10" spans="1:18" x14ac:dyDescent="0.45">
      <c r="A10" s="1" t="s">
        <v>6</v>
      </c>
      <c r="B10" s="1">
        <v>1995</v>
      </c>
      <c r="C10" s="1">
        <v>78923</v>
      </c>
      <c r="D10" s="22">
        <f>IF((PoblacionSISBEN!$C$9*PoblacionAreaDensEPEQ!B10+PoblacionSISBEN!$C$10)&gt;1,1,PoblacionSISBEN!$C$9*PoblacionAreaDensEPEQ!B10+PoblacionSISBEN!$C$10)</f>
        <v>0.85287991670376595</v>
      </c>
      <c r="E10" s="23">
        <f t="shared" si="2"/>
        <v>67312</v>
      </c>
      <c r="F10" s="23">
        <f t="shared" si="0"/>
        <v>11611</v>
      </c>
      <c r="G10" s="31">
        <f>TipoSueloEPE!$D$5-PoblacionAreaDensEPEQ!H10</f>
        <v>399.7718987341832</v>
      </c>
      <c r="H10" s="31">
        <f>IF(TipoSueloEPE!$D$17*PoblacionAreaDensEPEQ!B10+TipoSueloEPE!$D$18&gt;TipoSueloEPE!$D$5,TipoSueloEPE!$D$5-1,TipoSueloEPE!$D$17*PoblacionAreaDensEPEQ!B10+TipoSueloEPE!$D$18)</f>
        <v>19082.248101265817</v>
      </c>
      <c r="I10" s="31">
        <f>C10/ TipoSueloEPE!$D$5</f>
        <v>4.051068626353941</v>
      </c>
      <c r="J10" s="31">
        <f t="shared" si="3"/>
        <v>168.37601695650241</v>
      </c>
      <c r="K10" s="31">
        <f t="shared" si="4"/>
        <v>0.60847128380171234</v>
      </c>
      <c r="L10" s="23">
        <f>E10*TipoSueloEPE!$D$6/10000</f>
        <v>100.968</v>
      </c>
      <c r="M10" s="31">
        <f>C10*AguaPotSanBas!$D$12/86400</f>
        <v>127.88449074074074</v>
      </c>
      <c r="N10" s="31">
        <f>E10*AguaPotSanBas!$D$12/86400</f>
        <v>109.07037037037037</v>
      </c>
      <c r="O10" s="31">
        <f>F10*AguaPotSanBas!$D$12/86400</f>
        <v>18.814120370370372</v>
      </c>
      <c r="P10" s="31">
        <f>M10*AguaPotSanBas!$D$13</f>
        <v>108.70181712962963</v>
      </c>
      <c r="Q10" s="31">
        <f>N10*AguaPotSanBas!$D$13</f>
        <v>92.709814814814806</v>
      </c>
      <c r="R10" s="31">
        <f>O10*AguaPotSanBas!$D$13</f>
        <v>15.992002314814815</v>
      </c>
    </row>
    <row r="11" spans="1:18" x14ac:dyDescent="0.45">
      <c r="A11" s="1" t="s">
        <v>6</v>
      </c>
      <c r="B11" s="1">
        <v>2005</v>
      </c>
      <c r="C11" s="1">
        <v>100038</v>
      </c>
      <c r="D11" s="22">
        <f>IF((PoblacionSISBEN!$C$9*PoblacionAreaDensEPEQ!B11+PoblacionSISBEN!$C$10)&gt;1,1,PoblacionSISBEN!$C$9*PoblacionAreaDensEPEQ!B11+PoblacionSISBEN!$C$10)</f>
        <v>0.81778471463543223</v>
      </c>
      <c r="E11" s="23">
        <f t="shared" si="2"/>
        <v>81810</v>
      </c>
      <c r="F11" s="23">
        <f t="shared" si="0"/>
        <v>18228</v>
      </c>
      <c r="G11" s="31">
        <f>TipoSueloEPE!$D$5-PoblacionAreaDensEPEQ!H11</f>
        <v>654.16746835443701</v>
      </c>
      <c r="H11" s="31">
        <f>IF(TipoSueloEPE!$D$17*PoblacionAreaDensEPEQ!B11+TipoSueloEPE!$D$18&gt;TipoSueloEPE!$D$5,TipoSueloEPE!$D$5-1,TipoSueloEPE!$D$17*PoblacionAreaDensEPEQ!B11+TipoSueloEPE!$D$18)</f>
        <v>18827.852531645563</v>
      </c>
      <c r="I11" s="31">
        <f>C11/ TipoSueloEPE!$D$5</f>
        <v>5.134888476656938</v>
      </c>
      <c r="J11" s="31">
        <f t="shared" si="3"/>
        <v>125.05971934953239</v>
      </c>
      <c r="K11" s="31">
        <f t="shared" si="4"/>
        <v>0.96814015137215781</v>
      </c>
      <c r="L11" s="23">
        <f>E11*TipoSueloEPE!$D$6/10000</f>
        <v>122.715</v>
      </c>
      <c r="M11" s="31">
        <f>C11*AguaPotSanBas!$D$12/86400</f>
        <v>162.0986111111111</v>
      </c>
      <c r="N11" s="31">
        <f>E11*AguaPotSanBas!$D$12/86400</f>
        <v>132.5625</v>
      </c>
      <c r="O11" s="31">
        <f>F11*AguaPotSanBas!$D$12/86400</f>
        <v>29.536111111111111</v>
      </c>
      <c r="P11" s="31">
        <f>M11*AguaPotSanBas!$D$13</f>
        <v>137.78381944444442</v>
      </c>
      <c r="Q11" s="31">
        <f>N11*AguaPotSanBas!$D$13</f>
        <v>112.67812499999999</v>
      </c>
      <c r="R11" s="31">
        <f>O11*AguaPotSanBas!$D$13</f>
        <v>25.105694444444445</v>
      </c>
    </row>
    <row r="12" spans="1:18" x14ac:dyDescent="0.45">
      <c r="A12" s="1" t="s">
        <v>6</v>
      </c>
      <c r="B12" s="1">
        <v>2018</v>
      </c>
      <c r="C12" s="1">
        <v>128968</v>
      </c>
      <c r="D12" s="22">
        <f>IF((PoblacionSISBEN!$C$9*PoblacionAreaDensEPEQ!B12+PoblacionSISBEN!$C$10)&gt;1,1,PoblacionSISBEN!$C$9*PoblacionAreaDensEPEQ!B12+PoblacionSISBEN!$C$10)</f>
        <v>0.7721609519465984</v>
      </c>
      <c r="E12" s="23">
        <f t="shared" si="2"/>
        <v>99584</v>
      </c>
      <c r="F12" s="23">
        <f t="shared" si="0"/>
        <v>29384</v>
      </c>
      <c r="G12" s="31">
        <f>TipoSueloEPE!$D$5-PoblacionAreaDensEPEQ!H12</f>
        <v>984.88170886076477</v>
      </c>
      <c r="H12" s="31">
        <f>IF(TipoSueloEPE!$D$17*PoblacionAreaDensEPEQ!B12+TipoSueloEPE!$D$18&gt;TipoSueloEPE!$D$5,TipoSueloEPE!$D$5-1,TipoSueloEPE!$D$17*PoblacionAreaDensEPEQ!B12+TipoSueloEPE!$D$18)</f>
        <v>18497.138291139236</v>
      </c>
      <c r="I12" s="31">
        <f>C12/ TipoSueloEPE!$D$5</f>
        <v>6.6198474285520703</v>
      </c>
      <c r="J12" s="31">
        <f t="shared" si="3"/>
        <v>101.11265048793635</v>
      </c>
      <c r="K12" s="31">
        <f t="shared" si="4"/>
        <v>1.5885700554055946</v>
      </c>
      <c r="L12" s="23">
        <f>E12*TipoSueloEPE!$D$6/10000</f>
        <v>149.376</v>
      </c>
      <c r="M12" s="31">
        <f>C12*AguaPotSanBas!$D$12/86400</f>
        <v>208.97592592592594</v>
      </c>
      <c r="N12" s="31">
        <f>E12*AguaPotSanBas!$D$12/86400</f>
        <v>161.36296296296297</v>
      </c>
      <c r="O12" s="31">
        <f>F12*AguaPotSanBas!$D$12/86400</f>
        <v>47.61296296296296</v>
      </c>
      <c r="P12" s="31">
        <f>M12*AguaPotSanBas!$D$13</f>
        <v>177.62953703703704</v>
      </c>
      <c r="Q12" s="31">
        <f>N12*AguaPotSanBas!$D$13</f>
        <v>137.15851851851852</v>
      </c>
      <c r="R12" s="31">
        <f>O12*AguaPotSanBas!$D$13</f>
        <v>40.471018518518513</v>
      </c>
    </row>
    <row r="13" spans="1:18" x14ac:dyDescent="0.45">
      <c r="A13" s="1" t="s">
        <v>7</v>
      </c>
      <c r="B13" s="1">
        <v>2019</v>
      </c>
      <c r="C13" s="1">
        <v>127918</v>
      </c>
      <c r="D13" s="22">
        <f>IF((PoblacionSISBEN!$C$9*PoblacionAreaDensEPEQ!B13+PoblacionSISBEN!$C$10)&gt;1,1,PoblacionSISBEN!$C$9*PoblacionAreaDensEPEQ!B13+PoblacionSISBEN!$C$10)</f>
        <v>0.76865143173976502</v>
      </c>
      <c r="E13" s="23">
        <f t="shared" si="2"/>
        <v>98324</v>
      </c>
      <c r="F13" s="23">
        <f t="shared" si="0"/>
        <v>29594</v>
      </c>
      <c r="G13" s="31">
        <f>TipoSueloEPE!$D$5-PoblacionAreaDensEPEQ!H13</f>
        <v>1010.3212658227894</v>
      </c>
      <c r="H13" s="31">
        <f>IF(TipoSueloEPE!$D$17*PoblacionAreaDensEPEQ!B13+TipoSueloEPE!$D$18&gt;TipoSueloEPE!$D$5,TipoSueloEPE!$D$5-1,TipoSueloEPE!$D$17*PoblacionAreaDensEPEQ!B13+TipoSueloEPE!$D$18)</f>
        <v>18471.698734177211</v>
      </c>
      <c r="I13" s="31">
        <f>C13/ TipoSueloEPE!$D$5</f>
        <v>6.5659515799696333</v>
      </c>
      <c r="J13" s="31">
        <f t="shared" si="3"/>
        <v>97.319539166511078</v>
      </c>
      <c r="K13" s="31">
        <f t="shared" si="4"/>
        <v>1.6021266059977355</v>
      </c>
      <c r="L13" s="23">
        <f>E13*TipoSueloEPE!$D$6/10000</f>
        <v>147.48599999999999</v>
      </c>
      <c r="M13" s="31">
        <f>C13*AguaPotSanBas!$D$12/86400</f>
        <v>207.27453703703705</v>
      </c>
      <c r="N13" s="31">
        <f>E13*AguaPotSanBas!$D$12/86400</f>
        <v>159.32129629629631</v>
      </c>
      <c r="O13" s="31">
        <f>F13*AguaPotSanBas!$D$12/86400</f>
        <v>47.953240740740739</v>
      </c>
      <c r="P13" s="31">
        <f>M13*AguaPotSanBas!$D$13</f>
        <v>176.1833564814815</v>
      </c>
      <c r="Q13" s="31">
        <f>N13*AguaPotSanBas!$D$13</f>
        <v>135.42310185185187</v>
      </c>
      <c r="R13" s="31">
        <f>O13*AguaPotSanBas!$D$13</f>
        <v>40.760254629629628</v>
      </c>
    </row>
    <row r="14" spans="1:18" x14ac:dyDescent="0.45">
      <c r="A14" s="1" t="s">
        <v>7</v>
      </c>
      <c r="B14" s="1">
        <v>2024</v>
      </c>
      <c r="C14" s="1">
        <v>140346</v>
      </c>
      <c r="D14" s="22">
        <f>IF((PoblacionSISBEN!$C$9*PoblacionAreaDensEPEQ!B14+PoblacionSISBEN!$C$10)&gt;1,1,PoblacionSISBEN!$C$9*PoblacionAreaDensEPEQ!B14+PoblacionSISBEN!$C$10)</f>
        <v>0.75110383070559905</v>
      </c>
      <c r="E14" s="23">
        <f t="shared" si="2"/>
        <v>105414</v>
      </c>
      <c r="F14" s="23">
        <f t="shared" si="0"/>
        <v>34932</v>
      </c>
      <c r="G14" s="31">
        <f>TipoSueloEPE!$D$5-PoblacionAreaDensEPEQ!H14</f>
        <v>1137.5190506329127</v>
      </c>
      <c r="H14" s="31">
        <f>IF(TipoSueloEPE!$D$17*PoblacionAreaDensEPEQ!B14+TipoSueloEPE!$D$18&gt;TipoSueloEPE!$D$5,TipoSueloEPE!$D$5-1,TipoSueloEPE!$D$17*PoblacionAreaDensEPEQ!B14+TipoSueloEPE!$D$18)</f>
        <v>18344.500949367088</v>
      </c>
      <c r="I14" s="31">
        <f>C14/ TipoSueloEPE!$D$5</f>
        <v>7.2038731096672723</v>
      </c>
      <c r="J14" s="31">
        <f t="shared" si="3"/>
        <v>92.670096330560725</v>
      </c>
      <c r="K14" s="31">
        <f t="shared" si="4"/>
        <v>1.9042218753410789</v>
      </c>
      <c r="L14" s="23">
        <f>E14*TipoSueloEPE!$D$6/10000</f>
        <v>158.12100000000001</v>
      </c>
      <c r="M14" s="31">
        <f>C14*AguaPotSanBas!$D$12/86400</f>
        <v>227.41249999999999</v>
      </c>
      <c r="N14" s="31">
        <f>E14*AguaPotSanBas!$D$12/86400</f>
        <v>170.80972222222223</v>
      </c>
      <c r="O14" s="31">
        <f>F14*AguaPotSanBas!$D$12/86400</f>
        <v>56.602777777777774</v>
      </c>
      <c r="P14" s="31">
        <f>M14*AguaPotSanBas!$D$13</f>
        <v>193.300625</v>
      </c>
      <c r="Q14" s="31">
        <f>N14*AguaPotSanBas!$D$13</f>
        <v>145.18826388888888</v>
      </c>
      <c r="R14" s="31">
        <f>O14*AguaPotSanBas!$D$13</f>
        <v>48.112361111111106</v>
      </c>
    </row>
    <row r="15" spans="1:18" x14ac:dyDescent="0.45">
      <c r="A15" s="1" t="s">
        <v>7</v>
      </c>
      <c r="B15" s="1">
        <v>2029</v>
      </c>
      <c r="C15" s="1">
        <v>153383</v>
      </c>
      <c r="D15" s="22">
        <f>IF((PoblacionSISBEN!$C$9*PoblacionAreaDensEPEQ!B15+PoblacionSISBEN!$C$10)&gt;1,1,PoblacionSISBEN!$C$9*PoblacionAreaDensEPEQ!B15+PoblacionSISBEN!$C$10)</f>
        <v>0.73355622967143219</v>
      </c>
      <c r="E15" s="23">
        <f t="shared" si="2"/>
        <v>112515</v>
      </c>
      <c r="F15" s="23">
        <f t="shared" si="0"/>
        <v>40868</v>
      </c>
      <c r="G15" s="31">
        <f>TipoSueloEPE!$D$5-PoblacionAreaDensEPEQ!H15</f>
        <v>1264.7168354430432</v>
      </c>
      <c r="H15" s="31">
        <f>IF(TipoSueloEPE!$D$17*PoblacionAreaDensEPEQ!B15+TipoSueloEPE!$D$18&gt;TipoSueloEPE!$D$5,TipoSueloEPE!$D$5-1,TipoSueloEPE!$D$17*PoblacionAreaDensEPEQ!B15+TipoSueloEPE!$D$18)</f>
        <v>18217.303164556957</v>
      </c>
      <c r="I15" s="31">
        <f>C15/ TipoSueloEPE!$D$5</f>
        <v>7.8730542315427252</v>
      </c>
      <c r="J15" s="31">
        <f t="shared" si="3"/>
        <v>88.96457835210586</v>
      </c>
      <c r="K15" s="31">
        <f t="shared" si="4"/>
        <v>2.243361689204995</v>
      </c>
      <c r="L15" s="23">
        <f>E15*TipoSueloEPE!$D$6/10000</f>
        <v>168.77250000000001</v>
      </c>
      <c r="M15" s="31">
        <f>C15*AguaPotSanBas!$D$12/86400</f>
        <v>248.53726851851852</v>
      </c>
      <c r="N15" s="31">
        <f>E15*AguaPotSanBas!$D$12/86400</f>
        <v>182.31597222222223</v>
      </c>
      <c r="O15" s="31">
        <f>F15*AguaPotSanBas!$D$12/86400</f>
        <v>66.221296296296302</v>
      </c>
      <c r="P15" s="31">
        <f>M15*AguaPotSanBas!$D$13</f>
        <v>211.25667824074074</v>
      </c>
      <c r="Q15" s="31">
        <f>N15*AguaPotSanBas!$D$13</f>
        <v>154.96857638888889</v>
      </c>
      <c r="R15" s="31">
        <f>O15*AguaPotSanBas!$D$13</f>
        <v>56.288101851851856</v>
      </c>
    </row>
    <row r="16" spans="1:18" x14ac:dyDescent="0.45">
      <c r="A16" s="1" t="s">
        <v>7</v>
      </c>
      <c r="B16" s="1">
        <v>2034</v>
      </c>
      <c r="C16" s="1">
        <v>167026</v>
      </c>
      <c r="D16" s="22">
        <f>IF((PoblacionSISBEN!$C$9*PoblacionAreaDensEPEQ!B16+PoblacionSISBEN!$C$10)&gt;1,1,PoblacionSISBEN!$C$9*PoblacionAreaDensEPEQ!B16+PoblacionSISBEN!$C$10)</f>
        <v>0.71600862863726533</v>
      </c>
      <c r="E16" s="23">
        <f t="shared" si="2"/>
        <v>119592</v>
      </c>
      <c r="F16" s="23">
        <f t="shared" si="0"/>
        <v>47434</v>
      </c>
      <c r="G16" s="31">
        <f>TipoSueloEPE!$D$5-PoblacionAreaDensEPEQ!H16</f>
        <v>1391.9146202531665</v>
      </c>
      <c r="H16" s="31">
        <f>IF(TipoSueloEPE!$D$17*PoblacionAreaDensEPEQ!B16+TipoSueloEPE!$D$18&gt;TipoSueloEPE!$D$5,TipoSueloEPE!$D$5-1,TipoSueloEPE!$D$17*PoblacionAreaDensEPEQ!B16+TipoSueloEPE!$D$18)</f>
        <v>18090.105379746834</v>
      </c>
      <c r="I16" s="31">
        <f>C16/ TipoSueloEPE!$D$5</f>
        <v>8.5733409574571837</v>
      </c>
      <c r="J16" s="31">
        <f t="shared" si="3"/>
        <v>85.919063037248776</v>
      </c>
      <c r="K16" s="31">
        <f t="shared" si="4"/>
        <v>2.6220963893944891</v>
      </c>
      <c r="L16" s="23">
        <f>E16*TipoSueloEPE!$D$6/10000</f>
        <v>179.38800000000001</v>
      </c>
      <c r="M16" s="31">
        <f>C16*AguaPotSanBas!$D$12/86400</f>
        <v>270.64398148148149</v>
      </c>
      <c r="N16" s="31">
        <f>E16*AguaPotSanBas!$D$12/86400</f>
        <v>193.78333333333333</v>
      </c>
      <c r="O16" s="31">
        <f>F16*AguaPotSanBas!$D$12/86400</f>
        <v>76.860648148148144</v>
      </c>
      <c r="P16" s="31">
        <f>M16*AguaPotSanBas!$D$13</f>
        <v>230.04738425925925</v>
      </c>
      <c r="Q16" s="31">
        <f>N16*AguaPotSanBas!$D$13</f>
        <v>164.71583333333334</v>
      </c>
      <c r="R16" s="31">
        <f>O16*AguaPotSanBas!$D$13</f>
        <v>65.331550925925924</v>
      </c>
    </row>
    <row r="17" spans="1:18" x14ac:dyDescent="0.45">
      <c r="A17" s="1" t="s">
        <v>7</v>
      </c>
      <c r="B17" s="1">
        <v>2039</v>
      </c>
      <c r="C17" s="1">
        <v>181278</v>
      </c>
      <c r="D17" s="22">
        <f>IF((PoblacionSISBEN!$C$9*PoblacionAreaDensEPEQ!B17+PoblacionSISBEN!$C$10)&gt;1,1,PoblacionSISBEN!$C$9*PoblacionAreaDensEPEQ!B17+PoblacionSISBEN!$C$10)</f>
        <v>0.69846102760309847</v>
      </c>
      <c r="E17" s="23">
        <f t="shared" si="2"/>
        <v>126616</v>
      </c>
      <c r="F17" s="23">
        <f t="shared" si="0"/>
        <v>54662</v>
      </c>
      <c r="G17" s="31">
        <f>TipoSueloEPE!$D$5-PoblacionAreaDensEPEQ!H17</f>
        <v>1519.1124050632898</v>
      </c>
      <c r="H17" s="31">
        <f>IF(TipoSueloEPE!$D$17*PoblacionAreaDensEPEQ!B17+TipoSueloEPE!$D$18&gt;TipoSueloEPE!$D$5,TipoSueloEPE!$D$5-1,TipoSueloEPE!$D$17*PoblacionAreaDensEPEQ!B17+TipoSueloEPE!$D$18)</f>
        <v>17962.907594936711</v>
      </c>
      <c r="I17" s="31">
        <f>C17/ TipoSueloEPE!$D$5</f>
        <v>9.3048872755494543</v>
      </c>
      <c r="J17" s="31">
        <f t="shared" si="3"/>
        <v>83.34867095942441</v>
      </c>
      <c r="K17" s="31">
        <f t="shared" si="4"/>
        <v>3.043048554979364</v>
      </c>
      <c r="L17" s="23">
        <f>E17*TipoSueloEPE!$D$6/10000</f>
        <v>189.92400000000001</v>
      </c>
      <c r="M17" s="31">
        <f>C17*AguaPotSanBas!$D$12/86400</f>
        <v>293.73750000000001</v>
      </c>
      <c r="N17" s="31">
        <f>E17*AguaPotSanBas!$D$12/86400</f>
        <v>205.1648148148148</v>
      </c>
      <c r="O17" s="31">
        <f>F17*AguaPotSanBas!$D$12/86400</f>
        <v>88.572685185185179</v>
      </c>
      <c r="P17" s="31">
        <f>M17*AguaPotSanBas!$D$13</f>
        <v>249.676875</v>
      </c>
      <c r="Q17" s="31">
        <f>N17*AguaPotSanBas!$D$13</f>
        <v>174.39009259259257</v>
      </c>
      <c r="R17" s="31">
        <f>O17*AguaPotSanBas!$D$13</f>
        <v>75.286782407407401</v>
      </c>
    </row>
    <row r="18" spans="1:18" x14ac:dyDescent="0.45">
      <c r="A18" s="1" t="s">
        <v>7</v>
      </c>
      <c r="B18" s="1">
        <v>2044</v>
      </c>
      <c r="C18" s="1">
        <v>196136</v>
      </c>
      <c r="D18" s="22">
        <f>IF((PoblacionSISBEN!$C$9*PoblacionAreaDensEPEQ!B18+PoblacionSISBEN!$C$10)&gt;1,1,PoblacionSISBEN!$C$9*PoblacionAreaDensEPEQ!B18+PoblacionSISBEN!$C$10)</f>
        <v>0.68091342656893161</v>
      </c>
      <c r="E18" s="23">
        <f t="shared" si="2"/>
        <v>133552</v>
      </c>
      <c r="F18" s="23">
        <f t="shared" si="0"/>
        <v>62584</v>
      </c>
      <c r="G18" s="31">
        <f>TipoSueloEPE!$D$5-PoblacionAreaDensEPEQ!H18</f>
        <v>1646.3101898734203</v>
      </c>
      <c r="H18" s="31">
        <f>IF(TipoSueloEPE!$D$17*PoblacionAreaDensEPEQ!B18+TipoSueloEPE!$D$18&gt;TipoSueloEPE!$D$5,TipoSueloEPE!$D$5-1,TipoSueloEPE!$D$17*PoblacionAreaDensEPEQ!B18+TipoSueloEPE!$D$18)</f>
        <v>17835.70981012658</v>
      </c>
      <c r="I18" s="31">
        <f>C18/ TipoSueloEPE!$D$5</f>
        <v>10.067539197680732</v>
      </c>
      <c r="J18" s="31">
        <f t="shared" si="3"/>
        <v>81.122015050072918</v>
      </c>
      <c r="K18" s="31">
        <f t="shared" si="4"/>
        <v>3.5089155781434997</v>
      </c>
      <c r="L18" s="23">
        <f>E18*TipoSueloEPE!$D$6/10000</f>
        <v>200.328</v>
      </c>
      <c r="M18" s="31">
        <f>C18*AguaPotSanBas!$D$12/86400</f>
        <v>317.81296296296296</v>
      </c>
      <c r="N18" s="31">
        <f>E18*AguaPotSanBas!$D$12/86400</f>
        <v>216.40370370370371</v>
      </c>
      <c r="O18" s="31">
        <f>F18*AguaPotSanBas!$D$12/86400</f>
        <v>101.40925925925926</v>
      </c>
      <c r="P18" s="31">
        <f>M18*AguaPotSanBas!$D$13</f>
        <v>270.14101851851848</v>
      </c>
      <c r="Q18" s="31">
        <f>N18*AguaPotSanBas!$D$13</f>
        <v>183.94314814814814</v>
      </c>
      <c r="R18" s="31">
        <f>O18*AguaPotSanBas!$D$13</f>
        <v>86.197870370370367</v>
      </c>
    </row>
    <row r="19" spans="1:18" x14ac:dyDescent="0.45">
      <c r="A19" s="1" t="s">
        <v>7</v>
      </c>
      <c r="B19" s="1">
        <v>2049</v>
      </c>
      <c r="C19" s="1">
        <v>211602</v>
      </c>
      <c r="D19" s="22">
        <f>IF((PoblacionSISBEN!$C$9*PoblacionAreaDensEPEQ!B19+PoblacionSISBEN!$C$10)&gt;1,1,PoblacionSISBEN!$C$9*PoblacionAreaDensEPEQ!B19+PoblacionSISBEN!$C$10)</f>
        <v>0.66336582553476475</v>
      </c>
      <c r="E19" s="23">
        <f t="shared" si="2"/>
        <v>140370</v>
      </c>
      <c r="F19" s="23">
        <f t="shared" si="0"/>
        <v>71232</v>
      </c>
      <c r="G19" s="31">
        <f>TipoSueloEPE!$D$5-PoblacionAreaDensEPEQ!H19</f>
        <v>1773.5079746835436</v>
      </c>
      <c r="H19" s="31">
        <f>IF(TipoSueloEPE!$D$17*PoblacionAreaDensEPEQ!B19+TipoSueloEPE!$D$18&gt;TipoSueloEPE!$D$5,TipoSueloEPE!$D$5-1,TipoSueloEPE!$D$17*PoblacionAreaDensEPEQ!B19+TipoSueloEPE!$D$18)</f>
        <v>17708.512025316457</v>
      </c>
      <c r="I19" s="31">
        <f>C19/ TipoSueloEPE!$D$5</f>
        <v>10.861399382610221</v>
      </c>
      <c r="J19" s="31">
        <f t="shared" si="3"/>
        <v>79.148220365373305</v>
      </c>
      <c r="K19" s="31">
        <f t="shared" si="4"/>
        <v>4.0224723510459404</v>
      </c>
      <c r="L19" s="23">
        <f>E19*TipoSueloEPE!$D$6/10000</f>
        <v>210.55500000000001</v>
      </c>
      <c r="M19" s="31">
        <f>C19*AguaPotSanBas!$D$12/86400</f>
        <v>342.87361111111113</v>
      </c>
      <c r="N19" s="31">
        <f>E19*AguaPotSanBas!$D$12/86400</f>
        <v>227.45138888888889</v>
      </c>
      <c r="O19" s="31">
        <f>F19*AguaPotSanBas!$D$12/86400</f>
        <v>115.42222222222222</v>
      </c>
      <c r="P19" s="31">
        <f>M19*AguaPotSanBas!$D$13</f>
        <v>291.44256944444447</v>
      </c>
      <c r="Q19" s="31">
        <f>N19*AguaPotSanBas!$D$13</f>
        <v>193.33368055555556</v>
      </c>
      <c r="R19" s="31">
        <f>O19*AguaPotSanBas!$D$13</f>
        <v>98.108888888888885</v>
      </c>
    </row>
    <row r="20" spans="1:18" x14ac:dyDescent="0.45">
      <c r="A20" s="1" t="s">
        <v>7</v>
      </c>
      <c r="B20" s="1">
        <v>2054</v>
      </c>
      <c r="C20" s="1">
        <v>227676</v>
      </c>
      <c r="D20" s="22">
        <f>IF((PoblacionSISBEN!$C$9*PoblacionAreaDensEPEQ!B20+PoblacionSISBEN!$C$10)&gt;1,1,PoblacionSISBEN!$C$9*PoblacionAreaDensEPEQ!B20+PoblacionSISBEN!$C$10)</f>
        <v>0.64581822450059789</v>
      </c>
      <c r="E20" s="23">
        <f t="shared" si="2"/>
        <v>147037</v>
      </c>
      <c r="F20" s="23">
        <f t="shared" si="0"/>
        <v>80639</v>
      </c>
      <c r="G20" s="31">
        <f>TipoSueloEPE!$D$5-PoblacionAreaDensEPEQ!H20</f>
        <v>1900.7057594936668</v>
      </c>
      <c r="H20" s="31">
        <f>IF(TipoSueloEPE!$D$17*PoblacionAreaDensEPEQ!B20+TipoSueloEPE!$D$18&gt;TipoSueloEPE!$D$5,TipoSueloEPE!$D$5-1,TipoSueloEPE!$D$17*PoblacionAreaDensEPEQ!B20+TipoSueloEPE!$D$18)</f>
        <v>17581.314240506334</v>
      </c>
      <c r="I20" s="31">
        <f>C20/ TipoSueloEPE!$D$5</f>
        <v>11.686467830337921</v>
      </c>
      <c r="J20" s="31">
        <f t="shared" si="3"/>
        <v>77.359159494086825</v>
      </c>
      <c r="K20" s="31">
        <f t="shared" si="4"/>
        <v>4.5866309478851361</v>
      </c>
      <c r="L20" s="23">
        <f>E20*TipoSueloEPE!$D$6/10000</f>
        <v>220.55549999999999</v>
      </c>
      <c r="M20" s="31">
        <f>C20*AguaPotSanBas!$D$12/86400</f>
        <v>368.91944444444442</v>
      </c>
      <c r="N20" s="31">
        <f>E20*AguaPotSanBas!$D$12/86400</f>
        <v>238.25439814814814</v>
      </c>
      <c r="O20" s="31">
        <f>F20*AguaPotSanBas!$D$12/86400</f>
        <v>130.66504629629631</v>
      </c>
      <c r="P20" s="31">
        <f>M20*AguaPotSanBas!$D$13</f>
        <v>313.58152777777775</v>
      </c>
      <c r="Q20" s="31">
        <f>N20*AguaPotSanBas!$D$13</f>
        <v>202.51623842592591</v>
      </c>
      <c r="R20" s="31">
        <f>O20*AguaPotSanBas!$D$13</f>
        <v>111.06528935185186</v>
      </c>
    </row>
    <row r="21" spans="1:18" x14ac:dyDescent="0.45">
      <c r="A21" s="1" t="s">
        <v>7</v>
      </c>
      <c r="B21" s="1">
        <v>2059</v>
      </c>
      <c r="C21" s="1">
        <v>244356</v>
      </c>
      <c r="D21" s="22">
        <f>IF((PoblacionSISBEN!$C$9*PoblacionAreaDensEPEQ!B21+PoblacionSISBEN!$C$10)&gt;1,1,PoblacionSISBEN!$C$9*PoblacionAreaDensEPEQ!B21+PoblacionSISBEN!$C$10)</f>
        <v>0.62827062346643103</v>
      </c>
      <c r="E21" s="23">
        <f t="shared" si="2"/>
        <v>153522</v>
      </c>
      <c r="F21" s="23">
        <f t="shared" si="0"/>
        <v>90834</v>
      </c>
      <c r="G21" s="31">
        <f>TipoSueloEPE!$D$5-PoblacionAreaDensEPEQ!H21</f>
        <v>2027.9035443037974</v>
      </c>
      <c r="H21" s="31">
        <f>IF(TipoSueloEPE!$D$17*PoblacionAreaDensEPEQ!B21+TipoSueloEPE!$D$18&gt;TipoSueloEPE!$D$5,TipoSueloEPE!$D$5-1,TipoSueloEPE!$D$17*PoblacionAreaDensEPEQ!B21+TipoSueloEPE!$D$18)</f>
        <v>17454.116455696203</v>
      </c>
      <c r="I21" s="31">
        <f>C21/ TipoSueloEPE!$D$5</f>
        <v>12.542641882104627</v>
      </c>
      <c r="J21" s="31">
        <f t="shared" si="3"/>
        <v>75.704784101408464</v>
      </c>
      <c r="K21" s="31">
        <f t="shared" si="4"/>
        <v>5.2041591581312074</v>
      </c>
      <c r="L21" s="23">
        <f>E21*TipoSueloEPE!$D$6/10000</f>
        <v>230.28299999999999</v>
      </c>
      <c r="M21" s="31">
        <f>C21*AguaPotSanBas!$D$12/86400</f>
        <v>395.94722222222219</v>
      </c>
      <c r="N21" s="31">
        <f>E21*AguaPotSanBas!$D$12/86400</f>
        <v>248.76249999999999</v>
      </c>
      <c r="O21" s="31">
        <f>F21*AguaPotSanBas!$D$12/86400</f>
        <v>147.18472222222223</v>
      </c>
      <c r="P21" s="31">
        <f>M21*AguaPotSanBas!$D$13</f>
        <v>336.55513888888885</v>
      </c>
      <c r="Q21" s="31">
        <f>N21*AguaPotSanBas!$D$13</f>
        <v>211.44812499999998</v>
      </c>
      <c r="R21" s="31">
        <f>O21*AguaPotSanBas!$D$13</f>
        <v>125.1070138888889</v>
      </c>
    </row>
    <row r="22" spans="1:18" x14ac:dyDescent="0.45">
      <c r="A22" s="1" t="s">
        <v>7</v>
      </c>
      <c r="B22" s="1">
        <v>2064</v>
      </c>
      <c r="C22" s="1">
        <v>261645</v>
      </c>
      <c r="D22" s="22">
        <f>IF((PoblacionSISBEN!$C$9*PoblacionAreaDensEPEQ!B22+PoblacionSISBEN!$C$10)&gt;1,1,PoblacionSISBEN!$C$9*PoblacionAreaDensEPEQ!B22+PoblacionSISBEN!$C$10)</f>
        <v>0.61072302243226417</v>
      </c>
      <c r="E22" s="23">
        <f t="shared" si="2"/>
        <v>159793</v>
      </c>
      <c r="F22" s="23">
        <f t="shared" si="0"/>
        <v>101852</v>
      </c>
      <c r="G22" s="31">
        <f>TipoSueloEPE!$D$5-PoblacionAreaDensEPEQ!H22</f>
        <v>2155.1013291139207</v>
      </c>
      <c r="H22" s="31">
        <f>IF(TipoSueloEPE!$D$17*PoblacionAreaDensEPEQ!B22+TipoSueloEPE!$D$18&gt;TipoSueloEPE!$D$5,TipoSueloEPE!$D$5-1,TipoSueloEPE!$D$17*PoblacionAreaDensEPEQ!B22+TipoSueloEPE!$D$18)</f>
        <v>17326.91867088608</v>
      </c>
      <c r="I22" s="31">
        <f>C22/ TipoSueloEPE!$D$5</f>
        <v>13.430075526049146</v>
      </c>
      <c r="J22" s="31">
        <f t="shared" si="3"/>
        <v>74.146397592218833</v>
      </c>
      <c r="K22" s="31">
        <f t="shared" si="4"/>
        <v>5.8782523271803067</v>
      </c>
      <c r="L22" s="23">
        <f>E22*TipoSueloEPE!$D$6/10000</f>
        <v>239.68950000000001</v>
      </c>
      <c r="M22" s="31">
        <f>C22*AguaPotSanBas!$D$12/86400</f>
        <v>423.96180555555554</v>
      </c>
      <c r="N22" s="31">
        <f>E22*AguaPotSanBas!$D$12/86400</f>
        <v>258.92384259259262</v>
      </c>
      <c r="O22" s="31">
        <f>F22*AguaPotSanBas!$D$12/86400</f>
        <v>165.03796296296295</v>
      </c>
      <c r="P22" s="31">
        <f>M22*AguaPotSanBas!$D$13</f>
        <v>360.36753472222222</v>
      </c>
      <c r="Q22" s="31">
        <f>N22*AguaPotSanBas!$D$13</f>
        <v>220.08526620370372</v>
      </c>
      <c r="R22" s="31">
        <f>O22*AguaPotSanBas!$D$13</f>
        <v>140.28226851851849</v>
      </c>
    </row>
    <row r="23" spans="1:18" x14ac:dyDescent="0.45">
      <c r="A23" s="1" t="s">
        <v>7</v>
      </c>
      <c r="B23" s="1">
        <v>2069</v>
      </c>
      <c r="C23" s="1">
        <v>279540</v>
      </c>
      <c r="D23" s="22">
        <f>IF((PoblacionSISBEN!$C$9*PoblacionAreaDensEPEQ!B23+PoblacionSISBEN!$C$10)&gt;1,1,PoblacionSISBEN!$C$9*PoblacionAreaDensEPEQ!B23+PoblacionSISBEN!$C$10)</f>
        <v>0.59317542139809731</v>
      </c>
      <c r="E23" s="23">
        <f t="shared" si="2"/>
        <v>165816</v>
      </c>
      <c r="F23" s="23">
        <f t="shared" si="0"/>
        <v>113724</v>
      </c>
      <c r="G23" s="31">
        <f>TipoSueloEPE!$D$5-PoblacionAreaDensEPEQ!H23</f>
        <v>2282.2991139240512</v>
      </c>
      <c r="H23" s="31">
        <f>IF(TipoSueloEPE!$D$17*PoblacionAreaDensEPEQ!B23+TipoSueloEPE!$D$18&gt;TipoSueloEPE!$D$5,TipoSueloEPE!$D$5-1,TipoSueloEPE!$D$17*PoblacionAreaDensEPEQ!B23+TipoSueloEPE!$D$18)</f>
        <v>17199.720886075949</v>
      </c>
      <c r="I23" s="31">
        <f>C23/ TipoSueloEPE!$D$5</f>
        <v>14.348614774032672</v>
      </c>
      <c r="J23" s="31">
        <f t="shared" si="3"/>
        <v>72.653053663463808</v>
      </c>
      <c r="K23" s="31">
        <f t="shared" si="4"/>
        <v>6.6119677611783443</v>
      </c>
      <c r="L23" s="23">
        <f>E23*TipoSueloEPE!$D$6/10000</f>
        <v>248.72399999999999</v>
      </c>
      <c r="M23" s="31">
        <f>C23*AguaPotSanBas!$D$12/86400</f>
        <v>452.95833333333331</v>
      </c>
      <c r="N23" s="31">
        <f>E23*AguaPotSanBas!$D$12/86400</f>
        <v>268.68333333333334</v>
      </c>
      <c r="O23" s="31">
        <f>F23*AguaPotSanBas!$D$12/86400</f>
        <v>184.27500000000001</v>
      </c>
      <c r="P23" s="31">
        <f>M23*AguaPotSanBas!$D$13</f>
        <v>385.01458333333329</v>
      </c>
      <c r="Q23" s="31">
        <f>N23*AguaPotSanBas!$D$13</f>
        <v>228.38083333333333</v>
      </c>
      <c r="R23" s="31">
        <f>O23*AguaPotSanBas!$D$13</f>
        <v>156.63374999999999</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E9948-5D44-49EC-8CDF-A7CEA59F4AEF}">
  <dimension ref="A1:H67"/>
  <sheetViews>
    <sheetView showGridLines="0" zoomScale="130" zoomScaleNormal="130" workbookViewId="0">
      <pane ySplit="1" topLeftCell="A48" activePane="bottomLeft" state="frozen"/>
      <selection pane="bottomLeft" sqref="A1:A67"/>
    </sheetView>
  </sheetViews>
  <sheetFormatPr defaultRowHeight="16.5" x14ac:dyDescent="0.45"/>
  <cols>
    <col min="1" max="1" width="12.73046875" style="1" customWidth="1"/>
    <col min="2" max="2" width="9.3984375" style="1" customWidth="1"/>
    <col min="3" max="3" width="11.59765625" style="1" customWidth="1"/>
    <col min="4" max="16384" width="9.06640625" style="1"/>
  </cols>
  <sheetData>
    <row r="1" spans="1:8" x14ac:dyDescent="0.45">
      <c r="A1" s="1" t="s">
        <v>0</v>
      </c>
      <c r="B1" s="1" t="s">
        <v>87</v>
      </c>
      <c r="C1" s="1" t="s">
        <v>1</v>
      </c>
      <c r="D1" s="1" t="s">
        <v>89</v>
      </c>
      <c r="E1" s="1" t="s">
        <v>112</v>
      </c>
      <c r="F1" s="1" t="s">
        <v>45</v>
      </c>
      <c r="G1" s="1" t="s">
        <v>114</v>
      </c>
      <c r="H1" s="1" t="s">
        <v>113</v>
      </c>
    </row>
    <row r="2" spans="1:8" x14ac:dyDescent="0.45">
      <c r="A2" s="1" t="s">
        <v>6</v>
      </c>
      <c r="B2" s="1" t="s">
        <v>88</v>
      </c>
      <c r="C2" s="1" t="s">
        <v>90</v>
      </c>
      <c r="D2" s="1">
        <v>7108</v>
      </c>
      <c r="E2" s="1">
        <v>0.36484923021329407</v>
      </c>
      <c r="G2" s="1">
        <v>11.517592592592592</v>
      </c>
      <c r="H2" s="1">
        <v>9.7899537037037039</v>
      </c>
    </row>
    <row r="3" spans="1:8" x14ac:dyDescent="0.45">
      <c r="A3" s="1" t="s">
        <v>6</v>
      </c>
      <c r="B3" s="1" t="s">
        <v>88</v>
      </c>
      <c r="C3" s="1" t="s">
        <v>91</v>
      </c>
      <c r="D3" s="1">
        <v>11480</v>
      </c>
      <c r="E3" s="1">
        <v>0.58926127783463933</v>
      </c>
      <c r="G3" s="1">
        <v>18.601851851851851</v>
      </c>
      <c r="H3" s="1">
        <v>15.811574074074073</v>
      </c>
    </row>
    <row r="4" spans="1:8" x14ac:dyDescent="0.45">
      <c r="A4" s="1" t="s">
        <v>6</v>
      </c>
      <c r="B4" s="1" t="s">
        <v>88</v>
      </c>
      <c r="C4" s="1" t="s">
        <v>92</v>
      </c>
      <c r="D4" s="1">
        <v>12273</v>
      </c>
      <c r="E4" s="1">
        <v>0.62996547585927942</v>
      </c>
      <c r="G4" s="1">
        <v>19.886805555555554</v>
      </c>
      <c r="H4" s="1">
        <v>16.90378472222222</v>
      </c>
    </row>
    <row r="5" spans="1:8" x14ac:dyDescent="0.45">
      <c r="A5" s="1" t="s">
        <v>6</v>
      </c>
      <c r="B5" s="1" t="s">
        <v>88</v>
      </c>
      <c r="C5" s="1" t="s">
        <v>93</v>
      </c>
      <c r="D5" s="1">
        <v>20628</v>
      </c>
      <c r="E5" s="1">
        <v>1.0588224424366672</v>
      </c>
      <c r="G5" s="1">
        <v>33.424999999999997</v>
      </c>
      <c r="H5" s="1">
        <v>28.411249999999995</v>
      </c>
    </row>
    <row r="6" spans="1:8" x14ac:dyDescent="0.45">
      <c r="A6" s="1" t="s">
        <v>6</v>
      </c>
      <c r="B6" s="1" t="s">
        <v>88</v>
      </c>
      <c r="C6" s="1" t="s">
        <v>94</v>
      </c>
      <c r="D6" s="1">
        <v>27775</v>
      </c>
      <c r="E6" s="1">
        <v>1.4256735184544518</v>
      </c>
      <c r="G6" s="1">
        <v>45.005787037037038</v>
      </c>
      <c r="H6" s="1">
        <v>38.254918981481481</v>
      </c>
    </row>
    <row r="7" spans="1:8" x14ac:dyDescent="0.45">
      <c r="A7" s="1" t="s">
        <v>6</v>
      </c>
      <c r="B7" s="1" t="s">
        <v>88</v>
      </c>
      <c r="C7" s="1" t="s">
        <v>95</v>
      </c>
      <c r="D7" s="1">
        <v>39836</v>
      </c>
      <c r="E7" s="1">
        <v>2.0447571658380395</v>
      </c>
      <c r="G7" s="1">
        <v>64.54907407407407</v>
      </c>
      <c r="H7" s="1">
        <v>54.866712962962957</v>
      </c>
    </row>
    <row r="8" spans="1:8" x14ac:dyDescent="0.45">
      <c r="A8" s="1" t="s">
        <v>6</v>
      </c>
      <c r="B8" s="1" t="s">
        <v>88</v>
      </c>
      <c r="C8" s="1" t="s">
        <v>96</v>
      </c>
      <c r="D8" s="1">
        <v>60202</v>
      </c>
      <c r="E8" s="1">
        <v>3.0901313108188986</v>
      </c>
      <c r="G8" s="1">
        <v>97.549537037037041</v>
      </c>
      <c r="H8" s="1">
        <v>82.917106481481483</v>
      </c>
    </row>
    <row r="9" spans="1:8" x14ac:dyDescent="0.45">
      <c r="A9" s="1" t="s">
        <v>6</v>
      </c>
      <c r="B9" s="1" t="s">
        <v>88</v>
      </c>
      <c r="C9" s="1" t="s">
        <v>97</v>
      </c>
      <c r="D9" s="1">
        <v>69695</v>
      </c>
      <c r="E9" s="1">
        <v>3.5774011113837272</v>
      </c>
      <c r="G9" s="1">
        <v>112.93171296296296</v>
      </c>
      <c r="H9" s="1">
        <v>95.991956018518522</v>
      </c>
    </row>
    <row r="10" spans="1:8" x14ac:dyDescent="0.45">
      <c r="A10" s="1" t="s">
        <v>6</v>
      </c>
      <c r="B10" s="1" t="s">
        <v>88</v>
      </c>
      <c r="C10" s="1" t="s">
        <v>98</v>
      </c>
      <c r="D10" s="1">
        <v>78923</v>
      </c>
      <c r="E10" s="1">
        <v>4.051068626353941</v>
      </c>
      <c r="G10" s="1">
        <v>127.88449074074074</v>
      </c>
      <c r="H10" s="1">
        <v>108.70181712962963</v>
      </c>
    </row>
    <row r="11" spans="1:8" x14ac:dyDescent="0.45">
      <c r="A11" s="1" t="s">
        <v>6</v>
      </c>
      <c r="B11" s="1" t="s">
        <v>88</v>
      </c>
      <c r="C11" s="1" t="s">
        <v>99</v>
      </c>
      <c r="D11" s="1">
        <v>100038</v>
      </c>
      <c r="E11" s="1">
        <v>5.134888476656938</v>
      </c>
      <c r="G11" s="1">
        <v>162.0986111111111</v>
      </c>
      <c r="H11" s="1">
        <v>137.78381944444442</v>
      </c>
    </row>
    <row r="12" spans="1:8" x14ac:dyDescent="0.45">
      <c r="A12" s="1" t="s">
        <v>6</v>
      </c>
      <c r="B12" s="1" t="s">
        <v>88</v>
      </c>
      <c r="C12" s="1" t="s">
        <v>100</v>
      </c>
      <c r="D12" s="1">
        <v>128968</v>
      </c>
      <c r="E12" s="1">
        <v>6.6198474285520703</v>
      </c>
      <c r="G12" s="1">
        <v>208.97592592592594</v>
      </c>
      <c r="H12" s="1">
        <v>177.62953703703704</v>
      </c>
    </row>
    <row r="13" spans="1:8" x14ac:dyDescent="0.45">
      <c r="A13" s="1" t="s">
        <v>7</v>
      </c>
      <c r="B13" s="1" t="s">
        <v>88</v>
      </c>
      <c r="C13" s="1" t="s">
        <v>101</v>
      </c>
      <c r="D13" s="1">
        <v>127918</v>
      </c>
      <c r="E13" s="1">
        <v>6.5659515799696333</v>
      </c>
      <c r="G13" s="1">
        <v>207.27453703703705</v>
      </c>
      <c r="H13" s="1">
        <v>176.1833564814815</v>
      </c>
    </row>
    <row r="14" spans="1:8" x14ac:dyDescent="0.45">
      <c r="A14" s="1" t="s">
        <v>7</v>
      </c>
      <c r="B14" s="1" t="s">
        <v>88</v>
      </c>
      <c r="C14" s="1" t="s">
        <v>102</v>
      </c>
      <c r="D14" s="1">
        <v>140346</v>
      </c>
      <c r="E14" s="1">
        <v>7.2038731096672723</v>
      </c>
      <c r="G14" s="1">
        <v>227.41249999999999</v>
      </c>
      <c r="H14" s="1">
        <v>193.300625</v>
      </c>
    </row>
    <row r="15" spans="1:8" x14ac:dyDescent="0.45">
      <c r="A15" s="1" t="s">
        <v>7</v>
      </c>
      <c r="B15" s="1" t="s">
        <v>88</v>
      </c>
      <c r="C15" s="1" t="s">
        <v>103</v>
      </c>
      <c r="D15" s="1">
        <v>153383</v>
      </c>
      <c r="E15" s="1">
        <v>7.8730542315427252</v>
      </c>
      <c r="G15" s="1">
        <v>248.53726851851852</v>
      </c>
      <c r="H15" s="1">
        <v>211.25667824074074</v>
      </c>
    </row>
    <row r="16" spans="1:8" x14ac:dyDescent="0.45">
      <c r="A16" s="1" t="s">
        <v>7</v>
      </c>
      <c r="B16" s="1" t="s">
        <v>88</v>
      </c>
      <c r="C16" s="1" t="s">
        <v>104</v>
      </c>
      <c r="D16" s="1">
        <v>167026</v>
      </c>
      <c r="E16" s="1">
        <v>8.5733409574571837</v>
      </c>
      <c r="G16" s="1">
        <v>270.64398148148149</v>
      </c>
      <c r="H16" s="1">
        <v>230.04738425925925</v>
      </c>
    </row>
    <row r="17" spans="1:8" x14ac:dyDescent="0.45">
      <c r="A17" s="1" t="s">
        <v>7</v>
      </c>
      <c r="B17" s="1" t="s">
        <v>88</v>
      </c>
      <c r="C17" s="1" t="s">
        <v>105</v>
      </c>
      <c r="D17" s="1">
        <v>181278</v>
      </c>
      <c r="E17" s="1">
        <v>9.3048872755494543</v>
      </c>
      <c r="G17" s="1">
        <v>293.73750000000001</v>
      </c>
      <c r="H17" s="1">
        <v>249.676875</v>
      </c>
    </row>
    <row r="18" spans="1:8" x14ac:dyDescent="0.45">
      <c r="A18" s="1" t="s">
        <v>7</v>
      </c>
      <c r="B18" s="1" t="s">
        <v>88</v>
      </c>
      <c r="C18" s="1" t="s">
        <v>106</v>
      </c>
      <c r="D18" s="1">
        <v>196136</v>
      </c>
      <c r="E18" s="1">
        <v>10.067539197680732</v>
      </c>
      <c r="G18" s="1">
        <v>317.81296296296296</v>
      </c>
      <c r="H18" s="1">
        <v>270.14101851851848</v>
      </c>
    </row>
    <row r="19" spans="1:8" x14ac:dyDescent="0.45">
      <c r="A19" s="1" t="s">
        <v>7</v>
      </c>
      <c r="B19" s="1" t="s">
        <v>88</v>
      </c>
      <c r="C19" s="1" t="s">
        <v>107</v>
      </c>
      <c r="D19" s="1">
        <v>211602</v>
      </c>
      <c r="E19" s="1">
        <v>10.861399382610221</v>
      </c>
      <c r="G19" s="1">
        <v>342.87361111111113</v>
      </c>
      <c r="H19" s="1">
        <v>291.44256944444447</v>
      </c>
    </row>
    <row r="20" spans="1:8" x14ac:dyDescent="0.45">
      <c r="A20" s="1" t="s">
        <v>7</v>
      </c>
      <c r="B20" s="1" t="s">
        <v>88</v>
      </c>
      <c r="C20" s="1" t="s">
        <v>108</v>
      </c>
      <c r="D20" s="1">
        <v>227676</v>
      </c>
      <c r="E20" s="1">
        <v>11.686467830337921</v>
      </c>
      <c r="G20" s="1">
        <v>368.91944444444442</v>
      </c>
      <c r="H20" s="1">
        <v>313.58152777777775</v>
      </c>
    </row>
    <row r="21" spans="1:8" x14ac:dyDescent="0.45">
      <c r="A21" s="1" t="s">
        <v>7</v>
      </c>
      <c r="B21" s="1" t="s">
        <v>88</v>
      </c>
      <c r="C21" s="1" t="s">
        <v>109</v>
      </c>
      <c r="D21" s="1">
        <v>244356</v>
      </c>
      <c r="E21" s="1">
        <v>12.542641882104627</v>
      </c>
      <c r="G21" s="1">
        <v>395.94722222222219</v>
      </c>
      <c r="H21" s="1">
        <v>336.55513888888885</v>
      </c>
    </row>
    <row r="22" spans="1:8" x14ac:dyDescent="0.45">
      <c r="A22" s="1" t="s">
        <v>7</v>
      </c>
      <c r="B22" s="1" t="s">
        <v>88</v>
      </c>
      <c r="C22" s="1" t="s">
        <v>110</v>
      </c>
      <c r="D22" s="1">
        <v>261645</v>
      </c>
      <c r="E22" s="1">
        <v>13.430075526049146</v>
      </c>
      <c r="G22" s="1">
        <v>423.96180555555554</v>
      </c>
      <c r="H22" s="1">
        <v>360.36753472222222</v>
      </c>
    </row>
    <row r="23" spans="1:8" x14ac:dyDescent="0.45">
      <c r="A23" s="1" t="s">
        <v>7</v>
      </c>
      <c r="B23" s="1" t="s">
        <v>88</v>
      </c>
      <c r="C23" s="1" t="s">
        <v>111</v>
      </c>
      <c r="D23" s="1">
        <v>279540</v>
      </c>
      <c r="E23" s="1">
        <v>14.348614774032672</v>
      </c>
      <c r="G23" s="1">
        <v>452.95833333333331</v>
      </c>
      <c r="H23" s="1">
        <v>385.01458333333329</v>
      </c>
    </row>
    <row r="24" spans="1:8" x14ac:dyDescent="0.45">
      <c r="A24" s="1" t="s">
        <v>6</v>
      </c>
      <c r="B24" s="1" t="s">
        <v>16</v>
      </c>
      <c r="C24" s="1" t="s">
        <v>90</v>
      </c>
      <c r="D24" s="1">
        <v>7108</v>
      </c>
      <c r="E24" s="1">
        <v>367.72064906401482</v>
      </c>
      <c r="F24" s="1">
        <v>10.662000000000001</v>
      </c>
      <c r="G24" s="1">
        <v>11.517592592592592</v>
      </c>
      <c r="H24" s="1">
        <v>9.7899537037037039</v>
      </c>
    </row>
    <row r="25" spans="1:8" x14ac:dyDescent="0.45">
      <c r="A25" s="1" t="s">
        <v>6</v>
      </c>
      <c r="B25" s="1" t="s">
        <v>16</v>
      </c>
      <c r="C25" s="1" t="s">
        <v>91</v>
      </c>
      <c r="D25" s="1">
        <v>11480</v>
      </c>
      <c r="E25" s="1">
        <v>367.72064906401482</v>
      </c>
      <c r="F25" s="1">
        <v>17.22</v>
      </c>
      <c r="G25" s="1">
        <v>18.601851851851851</v>
      </c>
      <c r="H25" s="1">
        <v>15.811574074074073</v>
      </c>
    </row>
    <row r="26" spans="1:8" x14ac:dyDescent="0.45">
      <c r="A26" s="1" t="s">
        <v>6</v>
      </c>
      <c r="B26" s="1" t="s">
        <v>16</v>
      </c>
      <c r="C26" s="1" t="s">
        <v>92</v>
      </c>
      <c r="D26" s="1">
        <v>12273</v>
      </c>
      <c r="E26" s="1">
        <v>367.72064906401482</v>
      </c>
      <c r="F26" s="1">
        <v>18.409500000000001</v>
      </c>
      <c r="G26" s="1">
        <v>19.886805555555554</v>
      </c>
      <c r="H26" s="1">
        <v>16.90378472222222</v>
      </c>
    </row>
    <row r="27" spans="1:8" x14ac:dyDescent="0.45">
      <c r="A27" s="1" t="s">
        <v>6</v>
      </c>
      <c r="B27" s="1" t="s">
        <v>16</v>
      </c>
      <c r="C27" s="1" t="s">
        <v>93</v>
      </c>
      <c r="D27" s="1">
        <v>20628</v>
      </c>
      <c r="E27" s="1">
        <v>367.72064906401482</v>
      </c>
      <c r="F27" s="1">
        <v>30.942</v>
      </c>
      <c r="G27" s="1">
        <v>33.424999999999997</v>
      </c>
      <c r="H27" s="1">
        <v>28.411249999999995</v>
      </c>
    </row>
    <row r="28" spans="1:8" x14ac:dyDescent="0.45">
      <c r="A28" s="1" t="s">
        <v>6</v>
      </c>
      <c r="B28" s="1" t="s">
        <v>16</v>
      </c>
      <c r="C28" s="1" t="s">
        <v>94</v>
      </c>
      <c r="D28" s="23">
        <v>26711</v>
      </c>
      <c r="E28" s="1">
        <v>367.72064906401482</v>
      </c>
      <c r="F28" s="1">
        <v>40.065786483803663</v>
      </c>
      <c r="G28" s="1">
        <v>43.281712962962963</v>
      </c>
      <c r="H28" s="1">
        <v>36.789456018518521</v>
      </c>
    </row>
    <row r="29" spans="1:8" x14ac:dyDescent="0.45">
      <c r="A29" s="1" t="s">
        <v>6</v>
      </c>
      <c r="B29" s="1" t="s">
        <v>16</v>
      </c>
      <c r="C29" s="1" t="s">
        <v>95</v>
      </c>
      <c r="D29" s="23">
        <v>37051</v>
      </c>
      <c r="E29" s="1">
        <v>367.72064906401482</v>
      </c>
      <c r="F29" s="1">
        <v>55.576559692377444</v>
      </c>
      <c r="G29" s="1">
        <v>60.03634259259259</v>
      </c>
      <c r="H29" s="1">
        <v>51.030891203703703</v>
      </c>
    </row>
    <row r="30" spans="1:8" x14ac:dyDescent="0.45">
      <c r="A30" s="1" t="s">
        <v>6</v>
      </c>
      <c r="B30" s="1" t="s">
        <v>16</v>
      </c>
      <c r="C30" s="1" t="s">
        <v>96</v>
      </c>
      <c r="D30" s="23">
        <v>53458</v>
      </c>
      <c r="E30" s="1">
        <v>367.72064906401482</v>
      </c>
      <c r="F30" s="1">
        <v>80.186817150476926</v>
      </c>
      <c r="G30" s="1">
        <v>86.621759259259264</v>
      </c>
      <c r="H30" s="1">
        <v>73.628495370370374</v>
      </c>
    </row>
    <row r="31" spans="1:8" x14ac:dyDescent="0.45">
      <c r="A31" s="1" t="s">
        <v>6</v>
      </c>
      <c r="B31" s="1" t="s">
        <v>16</v>
      </c>
      <c r="C31" s="1" t="s">
        <v>97</v>
      </c>
      <c r="D31" s="23">
        <v>59931</v>
      </c>
      <c r="E31" s="1">
        <v>171.77385267199924</v>
      </c>
      <c r="F31" s="1">
        <v>89.895986724449202</v>
      </c>
      <c r="G31" s="1">
        <v>97.110416666666666</v>
      </c>
      <c r="H31" s="1">
        <v>82.543854166666662</v>
      </c>
    </row>
    <row r="32" spans="1:8" x14ac:dyDescent="0.45">
      <c r="A32" s="1" t="s">
        <v>6</v>
      </c>
      <c r="B32" s="1" t="s">
        <v>16</v>
      </c>
      <c r="C32" s="1" t="s">
        <v>98</v>
      </c>
      <c r="D32" s="23">
        <v>67312</v>
      </c>
      <c r="E32" s="1">
        <v>168.37562089567578</v>
      </c>
      <c r="F32" s="1">
        <v>100.96776249901697</v>
      </c>
      <c r="G32" s="1">
        <v>109.07037037037037</v>
      </c>
      <c r="H32" s="1">
        <v>92.709814814814806</v>
      </c>
    </row>
    <row r="33" spans="1:8" x14ac:dyDescent="0.45">
      <c r="A33" s="1" t="s">
        <v>6</v>
      </c>
      <c r="B33" s="1" t="s">
        <v>16</v>
      </c>
      <c r="C33" s="1" t="s">
        <v>99</v>
      </c>
      <c r="D33" s="23">
        <v>81810</v>
      </c>
      <c r="E33" s="1">
        <v>125.05902729845596</v>
      </c>
      <c r="F33" s="1">
        <v>122.71432092404906</v>
      </c>
      <c r="G33" s="1">
        <v>132.5625</v>
      </c>
      <c r="H33" s="1">
        <v>112.67812499999999</v>
      </c>
    </row>
    <row r="34" spans="1:8" x14ac:dyDescent="0.45">
      <c r="A34" s="1" t="s">
        <v>6</v>
      </c>
      <c r="B34" s="1" t="s">
        <v>16</v>
      </c>
      <c r="C34" s="1" t="s">
        <v>100</v>
      </c>
      <c r="D34" s="23">
        <v>99584</v>
      </c>
      <c r="E34" s="1">
        <v>101.11270496214216</v>
      </c>
      <c r="F34" s="1">
        <v>149.37608047597337</v>
      </c>
      <c r="G34" s="1">
        <v>161.36296296296297</v>
      </c>
      <c r="H34" s="1">
        <v>137.15851851851852</v>
      </c>
    </row>
    <row r="35" spans="1:8" x14ac:dyDescent="0.45">
      <c r="A35" s="1" t="s">
        <v>7</v>
      </c>
      <c r="B35" s="1" t="s">
        <v>16</v>
      </c>
      <c r="C35" s="1" t="s">
        <v>101</v>
      </c>
      <c r="D35" s="23">
        <v>98324</v>
      </c>
      <c r="E35" s="1">
        <v>97.319889396976592</v>
      </c>
      <c r="F35" s="1">
        <v>147.48653076793087</v>
      </c>
      <c r="G35" s="1">
        <v>159.32129629629631</v>
      </c>
      <c r="H35" s="1">
        <v>135.42310185185187</v>
      </c>
    </row>
    <row r="36" spans="1:8" x14ac:dyDescent="0.45">
      <c r="A36" s="1" t="s">
        <v>7</v>
      </c>
      <c r="B36" s="1" t="s">
        <v>16</v>
      </c>
      <c r="C36" s="1" t="s">
        <v>102</v>
      </c>
      <c r="D36" s="23">
        <v>105414</v>
      </c>
      <c r="E36" s="1">
        <v>92.670463994036567</v>
      </c>
      <c r="F36" s="1">
        <v>158.121627336312</v>
      </c>
      <c r="G36" s="1">
        <v>170.80972222222223</v>
      </c>
      <c r="H36" s="1">
        <v>145.18826388888888</v>
      </c>
    </row>
    <row r="37" spans="1:8" x14ac:dyDescent="0.45">
      <c r="A37" s="1" t="s">
        <v>7</v>
      </c>
      <c r="B37" s="1" t="s">
        <v>16</v>
      </c>
      <c r="C37" s="1" t="s">
        <v>103</v>
      </c>
      <c r="D37" s="23">
        <v>112515</v>
      </c>
      <c r="E37" s="1">
        <v>88.964621979020393</v>
      </c>
      <c r="F37" s="1">
        <v>168.77258276353993</v>
      </c>
      <c r="G37" s="1">
        <v>182.31597222222223</v>
      </c>
      <c r="H37" s="1">
        <v>154.96857638888889</v>
      </c>
    </row>
    <row r="38" spans="1:8" x14ac:dyDescent="0.45">
      <c r="A38" s="1" t="s">
        <v>7</v>
      </c>
      <c r="B38" s="1" t="s">
        <v>16</v>
      </c>
      <c r="C38" s="1" t="s">
        <v>104</v>
      </c>
      <c r="D38" s="23">
        <v>119592</v>
      </c>
      <c r="E38" s="1">
        <v>85.919104136585645</v>
      </c>
      <c r="F38" s="1">
        <v>179.38808581015181</v>
      </c>
      <c r="G38" s="1">
        <v>193.78333333333333</v>
      </c>
      <c r="H38" s="1">
        <v>164.71583333333334</v>
      </c>
    </row>
    <row r="39" spans="1:8" x14ac:dyDescent="0.45">
      <c r="A39" s="1" t="s">
        <v>7</v>
      </c>
      <c r="B39" s="1" t="s">
        <v>16</v>
      </c>
      <c r="C39" s="1" t="s">
        <v>105</v>
      </c>
      <c r="D39" s="23">
        <v>126616</v>
      </c>
      <c r="E39" s="1">
        <v>83.348419603327102</v>
      </c>
      <c r="F39" s="1">
        <v>189.92342724275173</v>
      </c>
      <c r="G39" s="1">
        <v>205.1648148148148</v>
      </c>
      <c r="H39" s="1">
        <v>174.39009259259257</v>
      </c>
    </row>
    <row r="40" spans="1:8" x14ac:dyDescent="0.45">
      <c r="A40" s="1" t="s">
        <v>7</v>
      </c>
      <c r="B40" s="1" t="s">
        <v>16</v>
      </c>
      <c r="C40" s="1" t="s">
        <v>106</v>
      </c>
      <c r="D40" s="23">
        <v>133552</v>
      </c>
      <c r="E40" s="1">
        <v>81.121793848455937</v>
      </c>
      <c r="F40" s="1">
        <v>200.32745375028594</v>
      </c>
      <c r="G40" s="1">
        <v>216.40370370370371</v>
      </c>
      <c r="H40" s="1">
        <v>183.94314814814814</v>
      </c>
    </row>
    <row r="41" spans="1:8" x14ac:dyDescent="0.45">
      <c r="A41" s="1" t="s">
        <v>7</v>
      </c>
      <c r="B41" s="1" t="s">
        <v>16</v>
      </c>
      <c r="C41" s="1" t="s">
        <v>107</v>
      </c>
      <c r="D41" s="23">
        <v>140370</v>
      </c>
      <c r="E41" s="1">
        <v>79.14795840704025</v>
      </c>
      <c r="F41" s="1">
        <v>210.55430312221091</v>
      </c>
      <c r="G41" s="1">
        <v>227.45138888888889</v>
      </c>
      <c r="H41" s="1">
        <v>193.33368055555556</v>
      </c>
    </row>
    <row r="42" spans="1:8" x14ac:dyDescent="0.45">
      <c r="A42" s="1" t="s">
        <v>7</v>
      </c>
      <c r="B42" s="1" t="s">
        <v>16</v>
      </c>
      <c r="C42" s="1" t="s">
        <v>108</v>
      </c>
      <c r="D42" s="23">
        <v>147037</v>
      </c>
      <c r="E42" s="1">
        <v>77.359322634223886</v>
      </c>
      <c r="F42" s="1">
        <v>220.55596512209718</v>
      </c>
      <c r="G42" s="1">
        <v>238.25439814814814</v>
      </c>
      <c r="H42" s="1">
        <v>202.51623842592591</v>
      </c>
    </row>
    <row r="43" spans="1:8" x14ac:dyDescent="0.45">
      <c r="A43" s="1" t="s">
        <v>7</v>
      </c>
      <c r="B43" s="1" t="s">
        <v>16</v>
      </c>
      <c r="C43" s="1" t="s">
        <v>109</v>
      </c>
      <c r="D43" s="23">
        <v>153522</v>
      </c>
      <c r="E43" s="1">
        <v>75.704634423561302</v>
      </c>
      <c r="F43" s="1">
        <v>230.28254470164484</v>
      </c>
      <c r="G43" s="1">
        <v>248.76249999999999</v>
      </c>
      <c r="H43" s="1">
        <v>211.44812499999998</v>
      </c>
    </row>
    <row r="44" spans="1:8" x14ac:dyDescent="0.45">
      <c r="A44" s="1" t="s">
        <v>7</v>
      </c>
      <c r="B44" s="1" t="s">
        <v>16</v>
      </c>
      <c r="C44" s="1" t="s">
        <v>110</v>
      </c>
      <c r="D44" s="23">
        <v>159793</v>
      </c>
      <c r="E44" s="1">
        <v>74.146223681273128</v>
      </c>
      <c r="F44" s="1">
        <v>239.68893780643464</v>
      </c>
      <c r="G44" s="1">
        <v>258.92384259259262</v>
      </c>
      <c r="H44" s="1">
        <v>220.08526620370372</v>
      </c>
    </row>
    <row r="45" spans="1:8" x14ac:dyDescent="0.45">
      <c r="A45" s="1" t="s">
        <v>7</v>
      </c>
      <c r="B45" s="1" t="s">
        <v>16</v>
      </c>
      <c r="C45" s="1" t="s">
        <v>111</v>
      </c>
      <c r="D45" s="23">
        <v>165816</v>
      </c>
      <c r="E45" s="1">
        <v>72.653166399617703</v>
      </c>
      <c r="F45" s="1">
        <v>248.72438594643623</v>
      </c>
      <c r="G45" s="1">
        <v>268.68333333333334</v>
      </c>
      <c r="H45" s="1">
        <v>228.38083333333333</v>
      </c>
    </row>
    <row r="46" spans="1:8" x14ac:dyDescent="0.45">
      <c r="A46" s="1" t="s">
        <v>6</v>
      </c>
      <c r="B46" s="1" t="s">
        <v>17</v>
      </c>
      <c r="C46" s="1" t="s">
        <v>90</v>
      </c>
      <c r="D46" s="1">
        <v>0</v>
      </c>
      <c r="E46" s="1">
        <v>0</v>
      </c>
      <c r="G46" s="1">
        <v>0</v>
      </c>
      <c r="H46" s="1">
        <v>0</v>
      </c>
    </row>
    <row r="47" spans="1:8" x14ac:dyDescent="0.45">
      <c r="A47" s="1" t="s">
        <v>6</v>
      </c>
      <c r="B47" s="1" t="s">
        <v>17</v>
      </c>
      <c r="C47" s="1" t="s">
        <v>91</v>
      </c>
      <c r="D47" s="1">
        <v>0</v>
      </c>
      <c r="E47" s="1">
        <v>0</v>
      </c>
      <c r="G47" s="1">
        <v>0</v>
      </c>
      <c r="H47" s="1">
        <v>0</v>
      </c>
    </row>
    <row r="48" spans="1:8" x14ac:dyDescent="0.45">
      <c r="A48" s="1" t="s">
        <v>6</v>
      </c>
      <c r="B48" s="1" t="s">
        <v>17</v>
      </c>
      <c r="C48" s="1" t="s">
        <v>92</v>
      </c>
      <c r="D48" s="1">
        <v>0</v>
      </c>
      <c r="E48" s="1">
        <v>0</v>
      </c>
      <c r="G48" s="1">
        <v>0</v>
      </c>
      <c r="H48" s="1">
        <v>0</v>
      </c>
    </row>
    <row r="49" spans="1:8" x14ac:dyDescent="0.45">
      <c r="A49" s="1" t="s">
        <v>6</v>
      </c>
      <c r="B49" s="1" t="s">
        <v>17</v>
      </c>
      <c r="C49" s="1" t="s">
        <v>93</v>
      </c>
      <c r="D49" s="1">
        <v>0</v>
      </c>
      <c r="E49" s="1">
        <v>0</v>
      </c>
      <c r="G49" s="1">
        <v>0</v>
      </c>
      <c r="H49" s="1">
        <v>0</v>
      </c>
    </row>
    <row r="50" spans="1:8" x14ac:dyDescent="0.45">
      <c r="A50" s="1" t="s">
        <v>6</v>
      </c>
      <c r="B50" s="1" t="s">
        <v>17</v>
      </c>
      <c r="C50" s="1" t="s">
        <v>94</v>
      </c>
      <c r="D50" s="1">
        <v>1064.4756774642228</v>
      </c>
      <c r="E50" s="1">
        <v>5.464168084957681E-2</v>
      </c>
      <c r="G50" s="1">
        <v>1.7240740740740741</v>
      </c>
      <c r="H50" s="1">
        <v>1.465462962962963</v>
      </c>
    </row>
    <row r="51" spans="1:8" x14ac:dyDescent="0.45">
      <c r="A51" s="1" t="s">
        <v>6</v>
      </c>
      <c r="B51" s="1" t="s">
        <v>17</v>
      </c>
      <c r="C51" s="1" t="s">
        <v>95</v>
      </c>
      <c r="D51" s="1">
        <v>2784.9602050817048</v>
      </c>
      <c r="E51" s="1">
        <v>0.14295761746980931</v>
      </c>
      <c r="G51" s="1">
        <v>4.5127314814814818</v>
      </c>
      <c r="H51" s="1">
        <v>3.8358217592592596</v>
      </c>
    </row>
    <row r="52" spans="1:8" x14ac:dyDescent="0.45">
      <c r="A52" s="1" t="s">
        <v>6</v>
      </c>
      <c r="B52" s="1" t="s">
        <v>17</v>
      </c>
      <c r="C52" s="1" t="s">
        <v>96</v>
      </c>
      <c r="D52" s="1">
        <v>6744.1218996820535</v>
      </c>
      <c r="E52" s="1">
        <v>0.34877417272968836</v>
      </c>
      <c r="G52" s="1">
        <v>10.927777777777777</v>
      </c>
      <c r="H52" s="1">
        <v>9.2886111111111109</v>
      </c>
    </row>
    <row r="53" spans="1:8" x14ac:dyDescent="0.45">
      <c r="A53" s="1" t="s">
        <v>6</v>
      </c>
      <c r="B53" s="1" t="s">
        <v>17</v>
      </c>
      <c r="C53" s="1" t="s">
        <v>97</v>
      </c>
      <c r="D53" s="1">
        <v>9764.3421837005299</v>
      </c>
      <c r="E53" s="1">
        <v>0.51033697073568718</v>
      </c>
      <c r="G53" s="1">
        <v>15.821296296296296</v>
      </c>
      <c r="H53" s="1">
        <v>13.448101851851851</v>
      </c>
    </row>
    <row r="54" spans="1:8" x14ac:dyDescent="0.45">
      <c r="A54" s="1" t="s">
        <v>6</v>
      </c>
      <c r="B54" s="1" t="s">
        <v>17</v>
      </c>
      <c r="C54" s="1" t="s">
        <v>98</v>
      </c>
      <c r="D54" s="1">
        <v>11611.158333988686</v>
      </c>
      <c r="E54" s="1">
        <v>0.60847958125114521</v>
      </c>
      <c r="G54" s="1">
        <v>18.814120370370372</v>
      </c>
      <c r="H54" s="1">
        <v>15.992002314814815</v>
      </c>
    </row>
    <row r="55" spans="1:8" x14ac:dyDescent="0.45">
      <c r="A55" s="1" t="s">
        <v>6</v>
      </c>
      <c r="B55" s="1" t="s">
        <v>17</v>
      </c>
      <c r="C55" s="1" t="s">
        <v>99</v>
      </c>
      <c r="D55" s="1">
        <v>18228.452717300635</v>
      </c>
      <c r="E55" s="1">
        <v>0.96816419645642193</v>
      </c>
      <c r="G55" s="1">
        <v>29.536111111111111</v>
      </c>
      <c r="H55" s="1">
        <v>25.105694444444445</v>
      </c>
    </row>
    <row r="56" spans="1:8" x14ac:dyDescent="0.45">
      <c r="A56" s="1" t="s">
        <v>6</v>
      </c>
      <c r="B56" s="1" t="s">
        <v>17</v>
      </c>
      <c r="C56" s="1" t="s">
        <v>100</v>
      </c>
      <c r="D56" s="1">
        <v>29383.946349351099</v>
      </c>
      <c r="E56" s="1">
        <v>1.5885671549218519</v>
      </c>
      <c r="G56" s="1">
        <v>47.61296296296296</v>
      </c>
      <c r="H56" s="1">
        <v>40.471018518518513</v>
      </c>
    </row>
    <row r="57" spans="1:8" x14ac:dyDescent="0.45">
      <c r="A57" s="1" t="s">
        <v>7</v>
      </c>
      <c r="B57" s="1" t="s">
        <v>17</v>
      </c>
      <c r="C57" s="1" t="s">
        <v>101</v>
      </c>
      <c r="D57" s="1">
        <v>29593.64615471274</v>
      </c>
      <c r="E57" s="1">
        <v>1.6021074499205195</v>
      </c>
      <c r="G57" s="1">
        <v>47.953240740740739</v>
      </c>
      <c r="H57" s="1">
        <v>40.760254629629628</v>
      </c>
    </row>
    <row r="58" spans="1:8" x14ac:dyDescent="0.45">
      <c r="A58" s="1" t="s">
        <v>7</v>
      </c>
      <c r="B58" s="1" t="s">
        <v>17</v>
      </c>
      <c r="C58" s="1" t="s">
        <v>102</v>
      </c>
      <c r="D58" s="1">
        <v>34931.581775792001</v>
      </c>
      <c r="E58" s="1">
        <v>1.9041990769989954</v>
      </c>
      <c r="G58" s="1">
        <v>56.602777777777774</v>
      </c>
      <c r="H58" s="1">
        <v>48.112361111111106</v>
      </c>
    </row>
    <row r="59" spans="1:8" x14ac:dyDescent="0.45">
      <c r="A59" s="1" t="s">
        <v>7</v>
      </c>
      <c r="B59" s="1" t="s">
        <v>17</v>
      </c>
      <c r="C59" s="1" t="s">
        <v>103</v>
      </c>
      <c r="D59" s="1">
        <v>40867.944824306716</v>
      </c>
      <c r="E59" s="1">
        <v>2.2433586604530014</v>
      </c>
      <c r="G59" s="1">
        <v>66.221296296296302</v>
      </c>
      <c r="H59" s="1">
        <v>56.288101851851856</v>
      </c>
    </row>
    <row r="60" spans="1:8" x14ac:dyDescent="0.45">
      <c r="A60" s="1" t="s">
        <v>7</v>
      </c>
      <c r="B60" s="1" t="s">
        <v>17</v>
      </c>
      <c r="C60" s="1" t="s">
        <v>104</v>
      </c>
      <c r="D60" s="1">
        <v>47433.942793232127</v>
      </c>
      <c r="E60" s="1">
        <v>2.6220932270708506</v>
      </c>
      <c r="G60" s="1">
        <v>76.860648148148144</v>
      </c>
      <c r="H60" s="1">
        <v>65.331550925925924</v>
      </c>
    </row>
    <row r="61" spans="1:8" x14ac:dyDescent="0.45">
      <c r="A61" s="1" t="s">
        <v>7</v>
      </c>
      <c r="B61" s="1" t="s">
        <v>17</v>
      </c>
      <c r="C61" s="1" t="s">
        <v>105</v>
      </c>
      <c r="D61" s="1">
        <v>54662.381838165515</v>
      </c>
      <c r="E61" s="1">
        <v>3.0430698120149247</v>
      </c>
      <c r="G61" s="1">
        <v>88.572685185185179</v>
      </c>
      <c r="H61" s="1">
        <v>75.286782407407401</v>
      </c>
    </row>
    <row r="62" spans="1:8" x14ac:dyDescent="0.45">
      <c r="A62" s="1" t="s">
        <v>7</v>
      </c>
      <c r="B62" s="1" t="s">
        <v>17</v>
      </c>
      <c r="C62" s="1" t="s">
        <v>106</v>
      </c>
      <c r="D62" s="1">
        <v>62584.364166476036</v>
      </c>
      <c r="E62" s="1">
        <v>3.5089359959726703</v>
      </c>
      <c r="G62" s="1">
        <v>101.40925925925926</v>
      </c>
      <c r="H62" s="1">
        <v>86.197870370370367</v>
      </c>
    </row>
    <row r="63" spans="1:8" x14ac:dyDescent="0.45">
      <c r="A63" s="1" t="s">
        <v>7</v>
      </c>
      <c r="B63" s="1" t="s">
        <v>17</v>
      </c>
      <c r="C63" s="1" t="s">
        <v>107</v>
      </c>
      <c r="D63" s="1">
        <v>71232.464585192705</v>
      </c>
      <c r="E63" s="1">
        <v>4.0224985861803235</v>
      </c>
      <c r="G63" s="1">
        <v>115.42222222222222</v>
      </c>
      <c r="H63" s="1">
        <v>98.108888888888885</v>
      </c>
    </row>
    <row r="64" spans="1:8" x14ac:dyDescent="0.45">
      <c r="A64" s="1" t="s">
        <v>7</v>
      </c>
      <c r="B64" s="1" t="s">
        <v>17</v>
      </c>
      <c r="C64" s="1" t="s">
        <v>108</v>
      </c>
      <c r="D64" s="1">
        <v>80638.689918601885</v>
      </c>
      <c r="E64" s="1">
        <v>4.5866133108988514</v>
      </c>
      <c r="G64" s="1">
        <v>130.66504629629631</v>
      </c>
      <c r="H64" s="1">
        <v>111.06528935185186</v>
      </c>
    </row>
    <row r="65" spans="1:8" x14ac:dyDescent="0.45">
      <c r="A65" s="1" t="s">
        <v>7</v>
      </c>
      <c r="B65" s="1" t="s">
        <v>17</v>
      </c>
      <c r="C65" s="1" t="s">
        <v>109</v>
      </c>
      <c r="D65" s="1">
        <v>90834.30353223678</v>
      </c>
      <c r="E65" s="1">
        <v>5.2041765484263589</v>
      </c>
      <c r="G65" s="1">
        <v>147.18472222222223</v>
      </c>
      <c r="H65" s="1">
        <v>125.1070138888889</v>
      </c>
    </row>
    <row r="66" spans="1:8" x14ac:dyDescent="0.45">
      <c r="A66" s="1" t="s">
        <v>7</v>
      </c>
      <c r="B66" s="1" t="s">
        <v>17</v>
      </c>
      <c r="C66" s="1" t="s">
        <v>110</v>
      </c>
      <c r="D66" s="1">
        <v>101852.37479571023</v>
      </c>
      <c r="E66" s="1">
        <v>5.8782739580148107</v>
      </c>
      <c r="G66" s="1">
        <v>165.03796296296295</v>
      </c>
      <c r="H66" s="1">
        <v>140.28226851851849</v>
      </c>
    </row>
    <row r="67" spans="1:8" x14ac:dyDescent="0.45">
      <c r="A67" s="1" t="s">
        <v>7</v>
      </c>
      <c r="B67" s="1" t="s">
        <v>17</v>
      </c>
      <c r="C67" s="1" t="s">
        <v>111</v>
      </c>
      <c r="D67" s="1">
        <v>113723.74270237586</v>
      </c>
      <c r="E67" s="1">
        <v>6.6119528017713955</v>
      </c>
      <c r="G67" s="1">
        <v>184.27500000000001</v>
      </c>
      <c r="H67" s="1">
        <v>156.63374999999999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Charts</vt:lpstr>
      </vt:variant>
      <vt:variant>
        <vt:i4>5</vt:i4>
      </vt:variant>
    </vt:vector>
  </HeadingPairs>
  <TitlesOfParts>
    <vt:vector size="10" baseType="lpstr">
      <vt:lpstr>PoblacionSISBEN</vt:lpstr>
      <vt:lpstr>TipoSueloEPE</vt:lpstr>
      <vt:lpstr>AguaPotSanBas</vt:lpstr>
      <vt:lpstr>PoblacionAreaDensEPEQ</vt:lpstr>
      <vt:lpstr>PoblacionGIS</vt:lpstr>
      <vt:lpstr>QAcueductoChart</vt:lpstr>
      <vt:lpstr>QAlcantarilladoChart</vt:lpstr>
      <vt:lpstr>PoblacionGISChart</vt:lpstr>
      <vt:lpstr>DensidadGISChart</vt:lpstr>
      <vt:lpstr>EPE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WILLIAM RICARDO AGUILAR PIÑA</cp:lastModifiedBy>
  <dcterms:created xsi:type="dcterms:W3CDTF">2015-06-05T18:17:20Z</dcterms:created>
  <dcterms:modified xsi:type="dcterms:W3CDTF">2026-04-03T17:43:55Z</dcterms:modified>
</cp:coreProperties>
</file>