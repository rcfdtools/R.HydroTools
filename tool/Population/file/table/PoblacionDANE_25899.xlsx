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D:\R.HydroTools\tool\Population\table\"/>
    </mc:Choice>
  </mc:AlternateContent>
  <xr:revisionPtr revIDLastSave="0" documentId="13_ncr:1_{6689FF69-3BCF-4047-80FB-A6155B9E2666}" xr6:coauthVersionLast="47" xr6:coauthVersionMax="47" xr10:uidLastSave="{00000000-0000-0000-0000-000000000000}"/>
  <bookViews>
    <workbookView xWindow="-28898" yWindow="6368" windowWidth="28996" windowHeight="15675" tabRatio="769" activeTab="1" xr2:uid="{00000000-000D-0000-FFFF-FFFF00000000}"/>
  </bookViews>
  <sheets>
    <sheet name="Censal" sheetId="2" r:id="rId1"/>
    <sheet name="ProyectadaTotal" sheetId="4" r:id="rId2"/>
    <sheet name="ProyectadaTotalChart" sheetId="8" r:id="rId3"/>
    <sheet name="CensalChart" sheetId="7" r:id="rId4"/>
    <sheet name="DinamicaDemografica" sheetId="5" r:id="rId5"/>
    <sheet name="PoblacionGIS" sheetId="6" r:id="rId6"/>
    <sheet name="PoblacionGISChar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B12" i="2"/>
  <c r="A12" i="2"/>
  <c r="M18" i="4"/>
  <c r="L18" i="4"/>
  <c r="K18" i="4"/>
  <c r="J18" i="4"/>
  <c r="I18" i="4"/>
  <c r="H18" i="4"/>
  <c r="G18" i="4"/>
  <c r="F18" i="4"/>
  <c r="E18" i="4"/>
  <c r="B34" i="4"/>
  <c r="B21" i="4"/>
  <c r="B22" i="4"/>
  <c r="A16" i="6" s="1"/>
  <c r="B23" i="4"/>
  <c r="A17" i="6" s="1"/>
  <c r="B20" i="4"/>
  <c r="A14" i="6" s="1"/>
  <c r="A15" i="6"/>
  <c r="A13" i="6"/>
  <c r="A2" i="6"/>
  <c r="B2" i="6"/>
  <c r="C2" i="6"/>
  <c r="D2" i="6"/>
  <c r="C3" i="6"/>
  <c r="D3" i="6"/>
  <c r="C4" i="6"/>
  <c r="D4" i="6"/>
  <c r="C5" i="6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D1" i="6"/>
  <c r="B1" i="6"/>
  <c r="C1" i="6"/>
  <c r="A1" i="6"/>
  <c r="F9" i="5"/>
  <c r="C9" i="5"/>
  <c r="M11" i="4" a="1"/>
  <c r="M11" i="4" s="1"/>
  <c r="M5" i="4" a="1"/>
  <c r="M5" i="4" s="1"/>
  <c r="M4" i="4" a="1"/>
  <c r="M4" i="4" s="1"/>
  <c r="L11" i="4" a="1"/>
  <c r="L11" i="4" s="1"/>
  <c r="L5" i="4" a="1"/>
  <c r="L5" i="4" s="1"/>
  <c r="L4" i="4" a="1"/>
  <c r="L4" i="4" s="1"/>
  <c r="K11" i="4" a="1"/>
  <c r="K11" i="4" s="1"/>
  <c r="K5" i="4" a="1"/>
  <c r="K5" i="4" s="1"/>
  <c r="K4" i="4" a="1"/>
  <c r="K4" i="4" s="1"/>
  <c r="J11" i="4" a="1"/>
  <c r="J11" i="4" s="1"/>
  <c r="J10" i="4" a="1"/>
  <c r="J10" i="4" s="1"/>
  <c r="J9" i="4" a="1"/>
  <c r="J9" i="4" s="1"/>
  <c r="J8" i="4" a="1"/>
  <c r="J8" i="4" s="1"/>
  <c r="J7" i="4" a="1"/>
  <c r="J7" i="4" s="1"/>
  <c r="J6" i="4" a="1"/>
  <c r="J6" i="4" s="1"/>
  <c r="J5" i="4" a="1"/>
  <c r="J5" i="4" s="1"/>
  <c r="J4" i="4" a="1"/>
  <c r="J4" i="4" s="1"/>
  <c r="I11" i="4" a="1"/>
  <c r="I11" i="4" s="1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H11" i="4" a="1"/>
  <c r="H11" i="4" s="1"/>
  <c r="H8" i="4" a="1"/>
  <c r="H8" i="4" s="1"/>
  <c r="H7" i="4" a="1"/>
  <c r="H7" i="4" s="1"/>
  <c r="H6" i="4" a="1"/>
  <c r="H6" i="4" s="1"/>
  <c r="H5" i="4" a="1"/>
  <c r="H5" i="4" s="1"/>
  <c r="H4" i="4" a="1"/>
  <c r="H4" i="4" s="1"/>
  <c r="G11" i="4" a="1"/>
  <c r="G11" i="4" s="1"/>
  <c r="G7" i="4" a="1"/>
  <c r="G7" i="4" s="1"/>
  <c r="G6" i="4" a="1"/>
  <c r="G6" i="4" s="1"/>
  <c r="G5" i="4" a="1"/>
  <c r="G5" i="4" s="1"/>
  <c r="G4" i="4" a="1"/>
  <c r="G4" i="4" s="1"/>
  <c r="F6" i="4" a="1"/>
  <c r="F6" i="4" s="1"/>
  <c r="F5" i="4" a="1"/>
  <c r="F5" i="4" s="1"/>
  <c r="F11" i="4" a="1"/>
  <c r="F11" i="4" s="1"/>
  <c r="F4" i="4" a="1"/>
  <c r="F4" i="4" s="1"/>
  <c r="E11" i="4" a="1"/>
  <c r="E11" i="4" s="1"/>
  <c r="E5" i="4" a="1"/>
  <c r="E5" i="4" s="1"/>
  <c r="E4" i="4" a="1"/>
  <c r="E4" i="4" s="1"/>
  <c r="B24" i="4" l="1"/>
  <c r="C12" i="5"/>
  <c r="H12" i="4"/>
  <c r="J12" i="4"/>
  <c r="G12" i="4"/>
  <c r="I12" i="4"/>
  <c r="K12" i="4"/>
  <c r="L12" i="4"/>
  <c r="F12" i="4"/>
  <c r="M12" i="4"/>
  <c r="E12" i="4"/>
  <c r="C20" i="4"/>
  <c r="B14" i="6" s="1"/>
  <c r="C21" i="4"/>
  <c r="B15" i="6" s="1"/>
  <c r="C22" i="4"/>
  <c r="B16" i="6" s="1"/>
  <c r="C23" i="4"/>
  <c r="B17" i="6" s="1"/>
  <c r="C24" i="4"/>
  <c r="B18" i="6" s="1"/>
  <c r="C25" i="4"/>
  <c r="B19" i="6" s="1"/>
  <c r="C26" i="4"/>
  <c r="B20" i="6" s="1"/>
  <c r="C27" i="4"/>
  <c r="B21" i="6" s="1"/>
  <c r="C28" i="4"/>
  <c r="B22" i="6" s="1"/>
  <c r="C29" i="4"/>
  <c r="B23" i="6" s="1"/>
  <c r="C19" i="4"/>
  <c r="B13" i="6" s="1"/>
  <c r="A4" i="2"/>
  <c r="A4" i="6" s="1"/>
  <c r="B4" i="2"/>
  <c r="B4" i="6" s="1"/>
  <c r="A5" i="2"/>
  <c r="A5" i="6" s="1"/>
  <c r="B5" i="2"/>
  <c r="B5" i="6" s="1"/>
  <c r="A6" i="2"/>
  <c r="A6" i="6" s="1"/>
  <c r="B6" i="2"/>
  <c r="B6" i="6" s="1"/>
  <c r="A7" i="2"/>
  <c r="A7" i="6" s="1"/>
  <c r="B7" i="2"/>
  <c r="B7" i="6" s="1"/>
  <c r="A8" i="2"/>
  <c r="A8" i="6" s="1"/>
  <c r="B8" i="2"/>
  <c r="B8" i="6" s="1"/>
  <c r="A9" i="2"/>
  <c r="A9" i="6" s="1"/>
  <c r="B9" i="2"/>
  <c r="B9" i="6" s="1"/>
  <c r="A10" i="2"/>
  <c r="A10" i="6" s="1"/>
  <c r="B10" i="2"/>
  <c r="B10" i="6" s="1"/>
  <c r="A11" i="2"/>
  <c r="A11" i="6" s="1"/>
  <c r="B11" i="2"/>
  <c r="B11" i="6" s="1"/>
  <c r="A13" i="2"/>
  <c r="A12" i="6" s="1"/>
  <c r="B13" i="2"/>
  <c r="B12" i="6" s="1"/>
  <c r="B3" i="2"/>
  <c r="B3" i="6" s="1"/>
  <c r="A3" i="2"/>
  <c r="A3" i="6" s="1"/>
  <c r="D19" i="4"/>
  <c r="B25" i="4" l="1"/>
  <c r="A18" i="6"/>
  <c r="F19" i="4"/>
  <c r="D13" i="6" s="1"/>
  <c r="C13" i="6"/>
  <c r="C14" i="5"/>
  <c r="F14" i="5" s="1"/>
  <c r="G19" i="4"/>
  <c r="L19" i="4"/>
  <c r="D20" i="4"/>
  <c r="C14" i="6" s="1"/>
  <c r="M19" i="4"/>
  <c r="K19" i="4"/>
  <c r="H19" i="4"/>
  <c r="J19" i="4"/>
  <c r="I19" i="4"/>
  <c r="E19" i="4"/>
  <c r="B26" i="4" l="1"/>
  <c r="A19" i="6"/>
  <c r="G18" i="5"/>
  <c r="G21" i="5"/>
  <c r="G22" i="5"/>
  <c r="G19" i="5"/>
  <c r="G17" i="5"/>
  <c r="D21" i="4"/>
  <c r="C15" i="6" s="1"/>
  <c r="G20" i="4"/>
  <c r="F20" i="4"/>
  <c r="D14" i="6" s="1"/>
  <c r="K20" i="4"/>
  <c r="M20" i="4"/>
  <c r="L20" i="4"/>
  <c r="J20" i="4"/>
  <c r="H20" i="4"/>
  <c r="I20" i="4"/>
  <c r="E20" i="4"/>
  <c r="B27" i="4" l="1"/>
  <c r="A20" i="6"/>
  <c r="G23" i="5"/>
  <c r="G20" i="5"/>
  <c r="D22" i="4"/>
  <c r="C16" i="6" s="1"/>
  <c r="G21" i="4"/>
  <c r="M21" i="4"/>
  <c r="K21" i="4"/>
  <c r="L21" i="4"/>
  <c r="J21" i="4"/>
  <c r="H21" i="4"/>
  <c r="I21" i="4"/>
  <c r="F21" i="4"/>
  <c r="D15" i="6" s="1"/>
  <c r="E21" i="4"/>
  <c r="B28" i="4" l="1"/>
  <c r="A21" i="6"/>
  <c r="D23" i="4"/>
  <c r="C17" i="6" s="1"/>
  <c r="G22" i="4"/>
  <c r="F22" i="4"/>
  <c r="D16" i="6" s="1"/>
  <c r="M22" i="4"/>
  <c r="L22" i="4"/>
  <c r="K22" i="4"/>
  <c r="J22" i="4"/>
  <c r="H22" i="4"/>
  <c r="I22" i="4"/>
  <c r="E22" i="4"/>
  <c r="A22" i="6" l="1"/>
  <c r="B29" i="4"/>
  <c r="A23" i="6" s="1"/>
  <c r="D24" i="4"/>
  <c r="F23" i="4"/>
  <c r="D17" i="6" s="1"/>
  <c r="L23" i="4"/>
  <c r="K23" i="4"/>
  <c r="M23" i="4"/>
  <c r="J23" i="4"/>
  <c r="H23" i="4"/>
  <c r="I23" i="4"/>
  <c r="E23" i="4"/>
  <c r="G23" i="4"/>
  <c r="D25" i="4" l="1"/>
  <c r="C18" i="6"/>
  <c r="L24" i="4"/>
  <c r="K24" i="4"/>
  <c r="M24" i="4"/>
  <c r="J24" i="4"/>
  <c r="E24" i="4"/>
  <c r="I24" i="4"/>
  <c r="H24" i="4"/>
  <c r="G24" i="4"/>
  <c r="F24" i="4"/>
  <c r="D18" i="6" s="1"/>
  <c r="D26" i="4" l="1"/>
  <c r="C19" i="6"/>
  <c r="K25" i="4"/>
  <c r="M25" i="4"/>
  <c r="L25" i="4"/>
  <c r="J25" i="4"/>
  <c r="H25" i="4"/>
  <c r="I25" i="4"/>
  <c r="F25" i="4"/>
  <c r="D19" i="6" s="1"/>
  <c r="E25" i="4"/>
  <c r="G25" i="4"/>
  <c r="D27" i="4" l="1"/>
  <c r="C20" i="6"/>
  <c r="M26" i="4"/>
  <c r="L26" i="4"/>
  <c r="K26" i="4"/>
  <c r="J26" i="4"/>
  <c r="I26" i="4"/>
  <c r="H26" i="4"/>
  <c r="F26" i="4"/>
  <c r="D20" i="6" s="1"/>
  <c r="E26" i="4"/>
  <c r="G26" i="4"/>
  <c r="D28" i="4" l="1"/>
  <c r="C21" i="6"/>
  <c r="L27" i="4"/>
  <c r="K27" i="4"/>
  <c r="M27" i="4"/>
  <c r="J27" i="4"/>
  <c r="H27" i="4"/>
  <c r="I27" i="4"/>
  <c r="F27" i="4"/>
  <c r="D21" i="6" s="1"/>
  <c r="G27" i="4"/>
  <c r="E27" i="4"/>
  <c r="D29" i="4" l="1"/>
  <c r="B33" i="4" s="1"/>
  <c r="C22" i="6"/>
  <c r="L28" i="4"/>
  <c r="K28" i="4"/>
  <c r="M28" i="4"/>
  <c r="J28" i="4"/>
  <c r="H28" i="4"/>
  <c r="I28" i="4"/>
  <c r="E28" i="4"/>
  <c r="G28" i="4"/>
  <c r="F28" i="4"/>
  <c r="D22" i="6" s="1"/>
  <c r="B32" i="4" l="1"/>
  <c r="C23" i="6"/>
  <c r="K29" i="4"/>
  <c r="M29" i="4"/>
  <c r="L29" i="4"/>
  <c r="J29" i="4"/>
  <c r="G29" i="4"/>
  <c r="I29" i="4"/>
  <c r="H29" i="4"/>
  <c r="F29" i="4"/>
  <c r="D23" i="6" s="1"/>
  <c r="E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323C2D75-8491-492C-9966-43D774D03B54}">
      <text>
        <r>
          <rPr>
            <sz val="9"/>
            <color indexed="81"/>
            <rFont val="Tahoma"/>
            <family val="2"/>
          </rPr>
          <t>Población total masculina</t>
        </r>
      </text>
    </comment>
    <comment ref="F1" authorId="0" shapeId="0" xr:uid="{EA2C1CF8-A69E-41B3-95DB-50DB9F498FCC}">
      <text>
        <r>
          <rPr>
            <sz val="9"/>
            <color indexed="81"/>
            <rFont val="Tahoma"/>
            <family val="2"/>
          </rPr>
          <t>Población total femenina</t>
        </r>
      </text>
    </comment>
    <comment ref="I1" authorId="0" shapeId="0" xr:uid="{935C66C2-81E0-4DB9-8E0B-2D7A387DCED1}">
      <text>
        <r>
          <rPr>
            <sz val="9"/>
            <color indexed="81"/>
            <rFont val="Tahoma"/>
            <family val="2"/>
          </rPr>
          <t>Centro poblado rural</t>
        </r>
      </text>
    </comment>
    <comment ref="J1" authorId="0" shapeId="0" xr:uid="{C09DD0EA-2206-4E80-BCCC-481FA6990921}">
      <text>
        <r>
          <rPr>
            <sz val="9"/>
            <color indexed="81"/>
            <rFont val="Tahoma"/>
            <family val="2"/>
          </rPr>
          <t>Población total
Primera infancia</t>
        </r>
      </text>
    </comment>
    <comment ref="K1" authorId="0" shapeId="0" xr:uid="{B8C6ACE9-11E8-41D1-9AFF-DCBBA373D243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L1" authorId="0" shapeId="0" xr:uid="{385D4135-7E6A-418F-BB2C-8554D457FD4A}">
      <text>
        <r>
          <rPr>
            <sz val="9"/>
            <color indexed="81"/>
            <rFont val="Tahoma"/>
            <family val="2"/>
          </rPr>
          <t>Adolescentes</t>
        </r>
      </text>
    </comment>
    <comment ref="M1" authorId="0" shapeId="0" xr:uid="{E489F123-F672-45A4-97B8-65857A70BD8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N1" authorId="0" shapeId="0" xr:uid="{9C168BAB-44BF-4D01-8EC4-DA5EB8B1E401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O1" authorId="0" shapeId="0" xr:uid="{6C299207-0C59-4623-8D71-9B95D63DF50D}">
      <text>
        <r>
          <rPr>
            <sz val="9"/>
            <color indexed="81"/>
            <rFont val="Tahoma"/>
            <family val="2"/>
          </rPr>
          <t>Población masculina
Primera infancia</t>
        </r>
      </text>
    </comment>
    <comment ref="P1" authorId="0" shapeId="0" xr:uid="{7E57B871-BD51-4741-821A-03E462064AAA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Q1" authorId="0" shapeId="0" xr:uid="{92DDDF46-9236-4018-AC5D-C767F998B05A}">
      <text>
        <r>
          <rPr>
            <sz val="9"/>
            <color indexed="81"/>
            <rFont val="Tahoma"/>
            <family val="2"/>
          </rPr>
          <t>Adolescentes</t>
        </r>
      </text>
    </comment>
    <comment ref="R1" authorId="0" shapeId="0" xr:uid="{604F7087-7036-42D2-A12D-F68EDC762DD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S1" authorId="0" shapeId="0" xr:uid="{9B4EE02D-F398-4379-A565-C00641D00496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T1" authorId="0" shapeId="0" xr:uid="{82F96169-F4BE-41EC-9EF1-8379D58B5897}">
      <text>
        <r>
          <rPr>
            <sz val="9"/>
            <color indexed="81"/>
            <rFont val="Tahoma"/>
            <family val="2"/>
          </rPr>
          <t>Población femenina
Primera infancia</t>
        </r>
      </text>
    </comment>
    <comment ref="U1" authorId="0" shapeId="0" xr:uid="{4095456E-C544-4CA7-89AB-BEFBCE1DE774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V1" authorId="0" shapeId="0" xr:uid="{F3D65FB5-AAB4-4461-99FE-06DDB42FB808}">
      <text>
        <r>
          <rPr>
            <sz val="9"/>
            <color indexed="81"/>
            <rFont val="Tahoma"/>
            <family val="2"/>
          </rPr>
          <t>Adolescentes</t>
        </r>
      </text>
    </comment>
    <comment ref="W1" authorId="0" shapeId="0" xr:uid="{FB51171E-13AE-47FF-ACCE-552402D41BCC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X1" authorId="0" shapeId="0" xr:uid="{A2D1F3EF-270A-4CD8-9DA7-43AA51D46C45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<sst xmlns="http://schemas.openxmlformats.org/spreadsheetml/2006/main" count="86" uniqueCount="76">
  <si>
    <t>Logarítmica</t>
  </si>
  <si>
    <t>Potencial</t>
  </si>
  <si>
    <t>Fuente</t>
  </si>
  <si>
    <t>Fecha</t>
  </si>
  <si>
    <t>PTotal</t>
  </si>
  <si>
    <t>Lineal</t>
  </si>
  <si>
    <t>Polinomio grado 2</t>
  </si>
  <si>
    <t>R²</t>
  </si>
  <si>
    <t>Tendencias</t>
  </si>
  <si>
    <t>Polinomio grado 3</t>
  </si>
  <si>
    <t>Polinomio grado 4</t>
  </si>
  <si>
    <t>Polinomio grado 5</t>
  </si>
  <si>
    <t>Polinomio grado 6</t>
  </si>
  <si>
    <t>Zona</t>
  </si>
  <si>
    <t>Municipio</t>
  </si>
  <si>
    <t>Exponencial</t>
  </si>
  <si>
    <t>c1</t>
  </si>
  <si>
    <t>c2</t>
  </si>
  <si>
    <t>c3</t>
  </si>
  <si>
    <t>c4</t>
  </si>
  <si>
    <t>c5</t>
  </si>
  <si>
    <t>c6</t>
  </si>
  <si>
    <t>c7</t>
  </si>
  <si>
    <t>Mejor ajuste numérico</t>
  </si>
  <si>
    <t>Mejor ajuste visual</t>
  </si>
  <si>
    <t>✓</t>
  </si>
  <si>
    <t>Proyecciones cada</t>
  </si>
  <si>
    <t>Tendencias y constantes</t>
  </si>
  <si>
    <t>PT0_6</t>
  </si>
  <si>
    <t>PT7_12</t>
  </si>
  <si>
    <t>PT13_18</t>
  </si>
  <si>
    <t>PM7_12</t>
  </si>
  <si>
    <t>PM13_18</t>
  </si>
  <si>
    <t>PM0_6</t>
  </si>
  <si>
    <t>PF0_6</t>
  </si>
  <si>
    <t>v7_12</t>
  </si>
  <si>
    <t>PF13_18</t>
  </si>
  <si>
    <t>PTMasc</t>
  </si>
  <si>
    <t>PTFem</t>
  </si>
  <si>
    <t>↓</t>
  </si>
  <si>
    <r>
      <t>Nacen (N)</t>
    </r>
    <r>
      <rPr>
        <sz val="16"/>
        <color theme="1"/>
        <rFont val="Segoe UI Light"/>
        <family val="2"/>
      </rPr>
      <t xml:space="preserve"> →</t>
    </r>
  </si>
  <si>
    <r>
      <t>Mueren (D)</t>
    </r>
    <r>
      <rPr>
        <sz val="14"/>
        <color theme="1"/>
        <rFont val="Segoe UI Light"/>
        <family val="2"/>
      </rPr>
      <t xml:space="preserve"> →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</si>
  <si>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Inmigran (I)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</si>
  <si>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Emigran (E)</t>
    </r>
  </si>
  <si>
    <t>Saldo o crecimiento total (CT = CV + MN)</t>
  </si>
  <si>
    <t>Población inicial (Po)</t>
  </si>
  <si>
    <t>Tasa de crecimiento total por cada 1000 habitantes,  TCT = (CT / PM) * 1000</t>
  </si>
  <si>
    <t>Tasas</t>
  </si>
  <si>
    <t>Tasa de crecimiento vegetativo por cada 1000 habitantes, TCV = TBN - TBM</t>
  </si>
  <si>
    <t>Tasa bruta de natalidad por cada 1000 habitantes, TBN = (N / PM) * 1000</t>
  </si>
  <si>
    <t>Tasa bruta de mortalidad por cada 1000 habitantes, TBM = (D / PM) * 1000</t>
  </si>
  <si>
    <t>Tasa de inmigración por cada 1000 habitantes, TI = (I / PM) * 1000</t>
  </si>
  <si>
    <t>Tasa de emigración por cada 1000 habitantes, TE = (E / PM) * 1000</t>
  </si>
  <si>
    <t>Tasa de migración neta por cada 1000 habitantes, TMN = TI - TE</t>
  </si>
  <si>
    <t>Ejemplo de dinámica demográfica municipal</t>
  </si>
  <si>
    <t>Población final
(Pr = Po + CT)</t>
  </si>
  <si>
    <t>Población promedio
(PM = (Po + Pr) / 2)</t>
  </si>
  <si>
    <t>Saldo migratorio
(MN = I - E)</t>
  </si>
  <si>
    <t>Saldo vegetativo
(CV = N - D)</t>
  </si>
  <si>
    <t>Observación</t>
  </si>
  <si>
    <t>Sobre ajuste</t>
  </si>
  <si>
    <t>PT15_64</t>
  </si>
  <si>
    <t>PM15_64</t>
  </si>
  <si>
    <t>PF15_64</t>
  </si>
  <si>
    <t>Etiquetas en gráfica</t>
  </si>
  <si>
    <t>DANE</t>
  </si>
  <si>
    <t>Proyectada</t>
  </si>
  <si>
    <t>PT60Max</t>
  </si>
  <si>
    <t>PM60Max</t>
  </si>
  <si>
    <t>PF60Max</t>
  </si>
  <si>
    <t>Análisis de tendencias</t>
  </si>
  <si>
    <t>Proyección de población</t>
  </si>
  <si>
    <t>años desde el siguiente año censal del registro histórico</t>
  </si>
  <si>
    <t>PTUrbano</t>
  </si>
  <si>
    <t>PTRural</t>
  </si>
  <si>
    <t>PTCPR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</si>
</sst>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  <font>
      <sz val="8"/>
      <name val="Calibri"/>
      <family val="2"/>
      <scheme val="minor"/>
    </font>
    <font>
      <b/>
      <sz val="11"/>
      <color rgb="FF0070C0"/>
      <name val="Segoe UI Light"/>
      <family val="2"/>
    </font>
    <font>
      <sz val="24"/>
      <name val="Segoe UI Light"/>
      <family val="2"/>
    </font>
    <font>
      <sz val="9"/>
      <color indexed="81"/>
      <name val="Tahoma"/>
      <family val="2"/>
    </font>
    <font>
      <sz val="12"/>
      <color theme="1"/>
      <name val="Segoe UI Light"/>
      <family val="2"/>
    </font>
    <font>
      <sz val="14"/>
      <color theme="1"/>
      <name val="Segoe UI Light"/>
      <family val="2"/>
    </font>
    <font>
      <b/>
      <sz val="16"/>
      <color theme="1"/>
      <name val="Segoe UI Light"/>
      <family val="2"/>
    </font>
    <font>
      <sz val="16"/>
      <color theme="1"/>
      <name val="Segoe UI Light"/>
      <family val="2"/>
    </font>
    <font>
      <b/>
      <sz val="12"/>
      <color theme="1"/>
      <name val="Segoe UI Light"/>
      <family val="2"/>
    </font>
    <font>
      <sz val="10"/>
      <name val="Segoe UI Light"/>
      <family val="2"/>
    </font>
    <font>
      <sz val="10"/>
      <color theme="1"/>
      <name val="Segoe UI Light"/>
      <family val="2"/>
    </font>
    <font>
      <sz val="10"/>
      <color rgb="FFC00000"/>
      <name val="Segoe UI Light"/>
      <family val="2"/>
    </font>
    <font>
      <b/>
      <sz val="18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2" borderId="23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11" fillId="3" borderId="17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1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eetMetadata" Target="metadata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ProyectadaTotal!$B$32</c:f>
          <c:strCache>
            <c:ptCount val="1"/>
            <c:pt idx="0">
              <c:v>DANE - Población censal Municipio y población proyectada a 80 años con diferentes tendencias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094480305121253E-2"/>
          <c:y val="6.9351170704609222E-2"/>
          <c:w val="0.88538511457614932"/>
          <c:h val="0.855744931438239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ProyectadaTotal!$E$18</c:f>
              <c:strCache>
                <c:ptCount val="1"/>
                <c:pt idx="0">
                  <c:v>Lineal</c:v>
                </c:pt>
              </c:strCache>
            </c:strRef>
          </c:tx>
          <c:spPr>
            <a:ln w="158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ProyectadaTotal!$E$19:$E$29</c:f>
              <c:numCache>
                <c:formatCode>General</c:formatCode>
                <c:ptCount val="11"/>
                <c:pt idx="0">
                  <c:v>108497</c:v>
                </c:pt>
                <c:pt idx="1">
                  <c:v>117483</c:v>
                </c:pt>
                <c:pt idx="2">
                  <c:v>126470</c:v>
                </c:pt>
                <c:pt idx="3">
                  <c:v>135457</c:v>
                </c:pt>
                <c:pt idx="4">
                  <c:v>144443</c:v>
                </c:pt>
                <c:pt idx="5">
                  <c:v>153430</c:v>
                </c:pt>
                <c:pt idx="6">
                  <c:v>162417</c:v>
                </c:pt>
                <c:pt idx="7">
                  <c:v>171403</c:v>
                </c:pt>
                <c:pt idx="8">
                  <c:v>180390</c:v>
                </c:pt>
                <c:pt idx="9">
                  <c:v>189376</c:v>
                </c:pt>
                <c:pt idx="10">
                  <c:v>198363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71-4B8C-B6A9-4BA10104E465}"/>
            </c:ext>
          </c:extLst>
        </c:ser>
        <c:ser>
          <c:idx val="1"/>
          <c:order val="1"/>
          <c:tx>
            <c:strRef>
              <c:f>ProyectadaTotal!$F$18</c:f>
              <c:strCache>
                <c:ptCount val="1"/>
                <c:pt idx="0">
                  <c:v>Polinomio grado 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ProyectadaTotal!$F$19:$F$29</c:f>
              <c:numCache>
                <c:formatCode>General</c:formatCode>
                <c:ptCount val="11"/>
                <c:pt idx="0">
                  <c:v>128518</c:v>
                </c:pt>
                <c:pt idx="1">
                  <c:v>148831</c:v>
                </c:pt>
                <c:pt idx="2">
                  <c:v>170711</c:v>
                </c:pt>
                <c:pt idx="3">
                  <c:v>194160</c:v>
                </c:pt>
                <c:pt idx="4">
                  <c:v>219175</c:v>
                </c:pt>
                <c:pt idx="5">
                  <c:v>245759</c:v>
                </c:pt>
                <c:pt idx="6">
                  <c:v>273910</c:v>
                </c:pt>
                <c:pt idx="7">
                  <c:v>303628</c:v>
                </c:pt>
                <c:pt idx="8">
                  <c:v>334914</c:v>
                </c:pt>
                <c:pt idx="9">
                  <c:v>367768</c:v>
                </c:pt>
                <c:pt idx="10">
                  <c:v>402189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1-4B8C-B6A9-4BA10104E465}"/>
            </c:ext>
          </c:extLst>
        </c:ser>
        <c:ser>
          <c:idx val="2"/>
          <c:order val="2"/>
          <c:tx>
            <c:strRef>
              <c:f>ProyectadaTotal!$G$18</c:f>
              <c:strCache>
                <c:ptCount val="1"/>
                <c:pt idx="0">
                  <c:v>Polinomio grado 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ProyectadaTotal!$G$19:$G$29</c:f>
              <c:numCache>
                <c:formatCode>General</c:formatCode>
                <c:ptCount val="11"/>
                <c:pt idx="0">
                  <c:v>129495</c:v>
                </c:pt>
                <c:pt idx="1">
                  <c:v>151184</c:v>
                </c:pt>
                <c:pt idx="2">
                  <c:v>174944</c:v>
                </c:pt>
                <c:pt idx="3">
                  <c:v>200837</c:v>
                </c:pt>
                <c:pt idx="4">
                  <c:v>228926</c:v>
                </c:pt>
                <c:pt idx="5">
                  <c:v>259274</c:v>
                </c:pt>
                <c:pt idx="6">
                  <c:v>291944</c:v>
                </c:pt>
                <c:pt idx="7">
                  <c:v>327000</c:v>
                </c:pt>
                <c:pt idx="8">
                  <c:v>364504</c:v>
                </c:pt>
                <c:pt idx="9">
                  <c:v>404519</c:v>
                </c:pt>
                <c:pt idx="10">
                  <c:v>447109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71-4B8C-B6A9-4BA10104E465}"/>
            </c:ext>
          </c:extLst>
        </c:ser>
        <c:ser>
          <c:idx val="3"/>
          <c:order val="3"/>
          <c:tx>
            <c:strRef>
              <c:f>ProyectadaTotal!$H$18</c:f>
              <c:strCache>
                <c:ptCount val="1"/>
                <c:pt idx="0">
                  <c:v>Polinomio grado 4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ProyectadaTotal!$H$19:$H$29</c:f>
              <c:numCache>
                <c:formatCode>General</c:formatCode>
                <c:ptCount val="11"/>
                <c:pt idx="0">
                  <c:v>127564</c:v>
                </c:pt>
                <c:pt idx="1">
                  <c:v>142253</c:v>
                </c:pt>
                <c:pt idx="2">
                  <c:v>153992</c:v>
                </c:pt>
                <c:pt idx="3">
                  <c:v>161310</c:v>
                </c:pt>
                <c:pt idx="4">
                  <c:v>162555</c:v>
                </c:pt>
                <c:pt idx="5">
                  <c:v>155896</c:v>
                </c:pt>
                <c:pt idx="6">
                  <c:v>139322</c:v>
                </c:pt>
                <c:pt idx="7">
                  <c:v>110642</c:v>
                </c:pt>
                <c:pt idx="8">
                  <c:v>67485</c:v>
                </c:pt>
                <c:pt idx="9">
                  <c:v>7299</c:v>
                </c:pt>
                <c:pt idx="10">
                  <c:v>-72646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71-4B8C-B6A9-4BA10104E465}"/>
            </c:ext>
          </c:extLst>
        </c:ser>
        <c:ser>
          <c:idx val="4"/>
          <c:order val="4"/>
          <c:tx>
            <c:strRef>
              <c:f>ProyectadaTotal!$I$18</c:f>
              <c:strCache>
                <c:ptCount val="1"/>
                <c:pt idx="0">
                  <c:v>Polinomio grado 5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ProyectadaTotal!$I$19:$I$29</c:f>
              <c:numCache>
                <c:formatCode>General</c:formatCode>
                <c:ptCount val="11"/>
                <c:pt idx="0">
                  <c:v>127539</c:v>
                </c:pt>
                <c:pt idx="1">
                  <c:v>142060</c:v>
                </c:pt>
                <c:pt idx="2">
                  <c:v>153442</c:v>
                </c:pt>
                <c:pt idx="3">
                  <c:v>160113</c:v>
                </c:pt>
                <c:pt idx="4">
                  <c:v>160293</c:v>
                </c:pt>
                <c:pt idx="5">
                  <c:v>151996</c:v>
                </c:pt>
                <c:pt idx="6">
                  <c:v>133020</c:v>
                </c:pt>
                <c:pt idx="7">
                  <c:v>100947</c:v>
                </c:pt>
                <c:pt idx="8">
                  <c:v>53144</c:v>
                </c:pt>
                <c:pt idx="9">
                  <c:v>-13247</c:v>
                </c:pt>
                <c:pt idx="10">
                  <c:v>-101307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71-4B8C-B6A9-4BA10104E465}"/>
            </c:ext>
          </c:extLst>
        </c:ser>
        <c:ser>
          <c:idx val="5"/>
          <c:order val="5"/>
          <c:tx>
            <c:strRef>
              <c:f>ProyectadaTotal!$J$18</c:f>
              <c:strCache>
                <c:ptCount val="1"/>
                <c:pt idx="0">
                  <c:v>Polinomio grado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ProyectadaTotal!$J$19:$J$29</c:f>
              <c:numCache>
                <c:formatCode>General</c:formatCode>
                <c:ptCount val="11"/>
                <c:pt idx="0">
                  <c:v>127515</c:v>
                </c:pt>
                <c:pt idx="1">
                  <c:v>141865</c:v>
                </c:pt>
                <c:pt idx="2">
                  <c:v>152879</c:v>
                </c:pt>
                <c:pt idx="3">
                  <c:v>158880</c:v>
                </c:pt>
                <c:pt idx="4">
                  <c:v>157955</c:v>
                </c:pt>
                <c:pt idx="5">
                  <c:v>147947</c:v>
                </c:pt>
                <c:pt idx="6">
                  <c:v>126451</c:v>
                </c:pt>
                <c:pt idx="7">
                  <c:v>90805</c:v>
                </c:pt>
                <c:pt idx="8">
                  <c:v>38087</c:v>
                </c:pt>
                <c:pt idx="9">
                  <c:v>-34896</c:v>
                </c:pt>
                <c:pt idx="10">
                  <c:v>-131614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71-4B8C-B6A9-4BA10104E465}"/>
            </c:ext>
          </c:extLst>
        </c:ser>
        <c:ser>
          <c:idx val="6"/>
          <c:order val="6"/>
          <c:tx>
            <c:strRef>
              <c:f>ProyectadaTotal!$K$18</c:f>
              <c:strCache>
                <c:ptCount val="1"/>
                <c:pt idx="0">
                  <c:v>Logarítmica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ProyectadaTotal!$K$19:$K$29</c:f>
              <c:numCache>
                <c:formatCode>General</c:formatCode>
                <c:ptCount val="11"/>
                <c:pt idx="0">
                  <c:v>107875</c:v>
                </c:pt>
                <c:pt idx="1">
                  <c:v>116576</c:v>
                </c:pt>
                <c:pt idx="2">
                  <c:v>125243</c:v>
                </c:pt>
                <c:pt idx="3">
                  <c:v>133876</c:v>
                </c:pt>
                <c:pt idx="4">
                  <c:v>142475</c:v>
                </c:pt>
                <c:pt idx="5">
                  <c:v>151041</c:v>
                </c:pt>
                <c:pt idx="6">
                  <c:v>159574</c:v>
                </c:pt>
                <c:pt idx="7">
                  <c:v>168073</c:v>
                </c:pt>
                <c:pt idx="8">
                  <c:v>176540</c:v>
                </c:pt>
                <c:pt idx="9">
                  <c:v>184975</c:v>
                </c:pt>
                <c:pt idx="10">
                  <c:v>193377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71-4B8C-B6A9-4BA10104E465}"/>
            </c:ext>
          </c:extLst>
        </c:ser>
        <c:ser>
          <c:idx val="7"/>
          <c:order val="7"/>
          <c:tx>
            <c:strRef>
              <c:f>ProyectadaTotal!$L$18</c:f>
              <c:strCache>
                <c:ptCount val="1"/>
                <c:pt idx="0">
                  <c:v>Potencial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ProyectadaTotal!$L$19:$L$29</c:f>
              <c:numCache>
                <c:formatCode>General</c:formatCode>
                <c:ptCount val="11"/>
                <c:pt idx="0">
                  <c:v>135851</c:v>
                </c:pt>
                <c:pt idx="1">
                  <c:v>167909</c:v>
                </c:pt>
                <c:pt idx="2">
                  <c:v>207357</c:v>
                </c:pt>
                <c:pt idx="3">
                  <c:v>255863</c:v>
                </c:pt>
                <c:pt idx="4">
                  <c:v>315455</c:v>
                </c:pt>
                <c:pt idx="5">
                  <c:v>388610</c:v>
                </c:pt>
                <c:pt idx="6">
                  <c:v>478342</c:v>
                </c:pt>
                <c:pt idx="7">
                  <c:v>588322</c:v>
                </c:pt>
                <c:pt idx="8">
                  <c:v>723013</c:v>
                </c:pt>
                <c:pt idx="9">
                  <c:v>887838</c:v>
                </c:pt>
                <c:pt idx="10">
                  <c:v>1089383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71-4B8C-B6A9-4BA10104E465}"/>
            </c:ext>
          </c:extLst>
        </c:ser>
        <c:ser>
          <c:idx val="8"/>
          <c:order val="8"/>
          <c:tx>
            <c:strRef>
              <c:f>ProyectadaTotal!$M$18</c:f>
              <c:strCache>
                <c:ptCount val="1"/>
                <c:pt idx="0">
                  <c:v>Exponencial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2019</c:v>
                </c:pt>
                <c:pt idx="1">
                  <c:v>2027</c:v>
                </c:pt>
                <c:pt idx="2">
                  <c:v>2035</c:v>
                </c:pt>
                <c:pt idx="3">
                  <c:v>2043</c:v>
                </c:pt>
                <c:pt idx="4">
                  <c:v>2051</c:v>
                </c:pt>
                <c:pt idx="5">
                  <c:v>2059</c:v>
                </c:pt>
                <c:pt idx="6">
                  <c:v>2067</c:v>
                </c:pt>
                <c:pt idx="7">
                  <c:v>2075</c:v>
                </c:pt>
                <c:pt idx="8">
                  <c:v>2083</c:v>
                </c:pt>
                <c:pt idx="9">
                  <c:v>2091</c:v>
                </c:pt>
                <c:pt idx="10">
                  <c:v>2099</c:v>
                </c:pt>
              </c:numCache>
            </c:numRef>
          </c:xVal>
          <c:yVal>
            <c:numRef>
              <c:f>ProyectadaTotal!$M$19:$M$29</c:f>
              <c:numCache>
                <c:formatCode>General</c:formatCode>
                <c:ptCount val="11"/>
                <c:pt idx="0">
                  <c:v>137437</c:v>
                </c:pt>
                <c:pt idx="1">
                  <c:v>170948</c:v>
                </c:pt>
                <c:pt idx="2">
                  <c:v>212630</c:v>
                </c:pt>
                <c:pt idx="3">
                  <c:v>264476</c:v>
                </c:pt>
                <c:pt idx="4">
                  <c:v>328963</c:v>
                </c:pt>
                <c:pt idx="5">
                  <c:v>409173</c:v>
                </c:pt>
                <c:pt idx="6">
                  <c:v>508942</c:v>
                </c:pt>
                <c:pt idx="7">
                  <c:v>633036</c:v>
                </c:pt>
                <c:pt idx="8">
                  <c:v>787389</c:v>
                </c:pt>
                <c:pt idx="9">
                  <c:v>979378</c:v>
                </c:pt>
                <c:pt idx="10">
                  <c:v>1218179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71-4B8C-B6A9-4BA10104E465}"/>
            </c:ext>
          </c:extLst>
        </c:ser>
        <c:ser>
          <c:idx val="9"/>
          <c:order val="9"/>
          <c:tx>
            <c:v>Censal</c:v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1.2257135476540377E-2"/>
                  <c:y val="-5.22919280555968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Censal!$C$2:$C$13</c:f>
              <c:numCache>
                <c:formatCode>0</c:formatCode>
                <c:ptCount val="12"/>
                <c:pt idx="0">
                  <c:v>1905</c:v>
                </c:pt>
                <c:pt idx="1">
                  <c:v>1928</c:v>
                </c:pt>
                <c:pt idx="2">
                  <c:v>1938</c:v>
                </c:pt>
                <c:pt idx="3">
                  <c:v>1951</c:v>
                </c:pt>
                <c:pt idx="4">
                  <c:v>1964</c:v>
                </c:pt>
                <c:pt idx="5">
                  <c:v>1973</c:v>
                </c:pt>
                <c:pt idx="6">
                  <c:v>1985</c:v>
                </c:pt>
                <c:pt idx="7">
                  <c:v>1993</c:v>
                </c:pt>
                <c:pt idx="8">
                  <c:v>1995</c:v>
                </c:pt>
                <c:pt idx="9">
                  <c:v>2005</c:v>
                </c:pt>
                <c:pt idx="10">
                  <c:v>2017</c:v>
                </c:pt>
                <c:pt idx="11">
                  <c:v>2018</c:v>
                </c:pt>
              </c:numCache>
            </c:numRef>
          </c:xVal>
          <c:yVal>
            <c:numRef>
              <c:f>Censal!$D$2:$D$13</c:f>
              <c:numCache>
                <c:formatCode>0</c:formatCode>
                <c:ptCount val="12"/>
                <c:pt idx="0">
                  <c:v>7108</c:v>
                </c:pt>
                <c:pt idx="1">
                  <c:v>11480</c:v>
                </c:pt>
                <c:pt idx="2">
                  <c:v>12273</c:v>
                </c:pt>
                <c:pt idx="3">
                  <c:v>20628</c:v>
                </c:pt>
                <c:pt idx="4">
                  <c:v>27775</c:v>
                </c:pt>
                <c:pt idx="5">
                  <c:v>39836</c:v>
                </c:pt>
                <c:pt idx="6">
                  <c:v>60202</c:v>
                </c:pt>
                <c:pt idx="7">
                  <c:v>69695</c:v>
                </c:pt>
                <c:pt idx="8">
                  <c:v>78923</c:v>
                </c:pt>
                <c:pt idx="9">
                  <c:v>101551</c:v>
                </c:pt>
                <c:pt idx="10">
                  <c:v>118267</c:v>
                </c:pt>
                <c:pt idx="11">
                  <c:v>129652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71-4B8C-B6A9-4BA10104E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4228120485663263E-2"/>
          <c:y val="8.8334680797241008E-2"/>
          <c:w val="0.14878534743287594"/>
          <c:h val="0.2861204543749992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ProyectadaTotal!$B$34</c:f>
          <c:strCache>
            <c:ptCount val="1"/>
            <c:pt idx="0">
              <c:v>DANE - Población censal municipal</c:v>
            </c:pt>
          </c:strCache>
        </c:strRef>
      </c:tx>
      <c:layout>
        <c:manualLayout>
          <c:xMode val="edge"/>
          <c:yMode val="edge"/>
          <c:x val="0.36959934650012266"/>
          <c:y val="1.00928022459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1984232959176118E-2"/>
          <c:y val="9.5570570105434932E-2"/>
          <c:w val="0.88019508632967225"/>
          <c:h val="0.791183270336721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Censal!$D$1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7"/>
              <c:layout>
                <c:manualLayout>
                  <c:x val="-2.2630897494462319E-2"/>
                  <c:y val="-5.2506496252531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B2B-8A5E-0AF6ECC0F940}"/>
                </c:ext>
              </c:extLst>
            </c:dLbl>
            <c:dLbl>
              <c:idx val="10"/>
              <c:layout>
                <c:manualLayout>
                  <c:x val="-2.1593258911497517E-2"/>
                  <c:y val="-5.5073860369769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B2B-8A5E-0AF6ECC0F940}"/>
                </c:ext>
              </c:extLst>
            </c:dLbl>
            <c:dLbl>
              <c:idx val="11"/>
              <c:layout>
                <c:manualLayout>
                  <c:x val="-6.0286801670256483E-3"/>
                  <c:y val="-5.7540347300296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B2B-8A5E-0AF6ECC0F9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Censal!$C$2:$C$13</c:f>
              <c:numCache>
                <c:formatCode>0</c:formatCode>
                <c:ptCount val="12"/>
                <c:pt idx="0">
                  <c:v>1905</c:v>
                </c:pt>
                <c:pt idx="1">
                  <c:v>1928</c:v>
                </c:pt>
                <c:pt idx="2">
                  <c:v>1938</c:v>
                </c:pt>
                <c:pt idx="3">
                  <c:v>1951</c:v>
                </c:pt>
                <c:pt idx="4">
                  <c:v>1964</c:v>
                </c:pt>
                <c:pt idx="5">
                  <c:v>1973</c:v>
                </c:pt>
                <c:pt idx="6">
                  <c:v>1985</c:v>
                </c:pt>
                <c:pt idx="7">
                  <c:v>1993</c:v>
                </c:pt>
                <c:pt idx="8">
                  <c:v>1995</c:v>
                </c:pt>
                <c:pt idx="9">
                  <c:v>2005</c:v>
                </c:pt>
                <c:pt idx="10">
                  <c:v>2017</c:v>
                </c:pt>
                <c:pt idx="11">
                  <c:v>2018</c:v>
                </c:pt>
              </c:numCache>
            </c:numRef>
          </c:xVal>
          <c:yVal>
            <c:numRef>
              <c:f>Censal!$D$2:$D$13</c:f>
              <c:numCache>
                <c:formatCode>0</c:formatCode>
                <c:ptCount val="12"/>
                <c:pt idx="0">
                  <c:v>7108</c:v>
                </c:pt>
                <c:pt idx="1">
                  <c:v>11480</c:v>
                </c:pt>
                <c:pt idx="2">
                  <c:v>12273</c:v>
                </c:pt>
                <c:pt idx="3">
                  <c:v>20628</c:v>
                </c:pt>
                <c:pt idx="4">
                  <c:v>27775</c:v>
                </c:pt>
                <c:pt idx="5">
                  <c:v>39836</c:v>
                </c:pt>
                <c:pt idx="6">
                  <c:v>60202</c:v>
                </c:pt>
                <c:pt idx="7">
                  <c:v>69695</c:v>
                </c:pt>
                <c:pt idx="8">
                  <c:v>78923</c:v>
                </c:pt>
                <c:pt idx="9">
                  <c:v>101551</c:v>
                </c:pt>
                <c:pt idx="10">
                  <c:v>118267</c:v>
                </c:pt>
                <c:pt idx="11">
                  <c:v>129652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0-49B4-880C-F3892B737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68609847811096E-2"/>
          <c:y val="0.12060892329409924"/>
          <c:w val="7.5419902512629575E-2"/>
          <c:h val="4.929621878943245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ProyectadaTotal!$B$33</c:f>
          <c:strCache>
            <c:ptCount val="1"/>
            <c:pt idx="0">
              <c:v>DANE - Población censal Municipio y población proyectada a 80 años para el ajuste seleccionado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094480305121253E-2"/>
          <c:y val="8.7516772934320683E-2"/>
          <c:w val="0.88538511457614932"/>
          <c:h val="0.83757935109742632"/>
        </c:manualLayout>
      </c:layout>
      <c:scatterChart>
        <c:scatterStyle val="smoothMarker"/>
        <c:varyColors val="0"/>
        <c:ser>
          <c:idx val="9"/>
          <c:order val="0"/>
          <c:tx>
            <c:strRef>
              <c:f>PoblacionGIS!$D$1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8"/>
              <c:layout>
                <c:manualLayout>
                  <c:x val="-1.3294996228152521E-2"/>
                  <c:y val="-5.6327963816780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56-43A4-86B4-4B0E8EF8794C}"/>
                </c:ext>
              </c:extLst>
            </c:dLbl>
            <c:dLbl>
              <c:idx val="10"/>
              <c:layout>
                <c:manualLayout>
                  <c:x val="-1.9522160737825908E-2"/>
                  <c:y val="-5.7553869954478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56-43A4-86B4-4B0E8EF8794C}"/>
                </c:ext>
              </c:extLst>
            </c:dLbl>
            <c:dLbl>
              <c:idx val="11"/>
              <c:layout>
                <c:manualLayout>
                  <c:x val="-1.1219274724928159E-2"/>
                  <c:y val="-6.5398874740517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56-43A4-86B4-4B0E8EF879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PoblacionGIS!$C$2:$C$23</c:f>
              <c:numCache>
                <c:formatCode>General</c:formatCode>
                <c:ptCount val="22"/>
                <c:pt idx="0">
                  <c:v>1905</c:v>
                </c:pt>
                <c:pt idx="1">
                  <c:v>1928</c:v>
                </c:pt>
                <c:pt idx="2">
                  <c:v>1938</c:v>
                </c:pt>
                <c:pt idx="3">
                  <c:v>1951</c:v>
                </c:pt>
                <c:pt idx="4">
                  <c:v>1964</c:v>
                </c:pt>
                <c:pt idx="5">
                  <c:v>1973</c:v>
                </c:pt>
                <c:pt idx="6">
                  <c:v>1985</c:v>
                </c:pt>
                <c:pt idx="7">
                  <c:v>1993</c:v>
                </c:pt>
                <c:pt idx="8">
                  <c:v>1995</c:v>
                </c:pt>
                <c:pt idx="9">
                  <c:v>2005</c:v>
                </c:pt>
                <c:pt idx="10">
                  <c:v>2018</c:v>
                </c:pt>
                <c:pt idx="11">
                  <c:v>2019</c:v>
                </c:pt>
                <c:pt idx="12">
                  <c:v>2027</c:v>
                </c:pt>
                <c:pt idx="13">
                  <c:v>2035</c:v>
                </c:pt>
                <c:pt idx="14">
                  <c:v>2043</c:v>
                </c:pt>
                <c:pt idx="15">
                  <c:v>2051</c:v>
                </c:pt>
                <c:pt idx="16">
                  <c:v>2059</c:v>
                </c:pt>
                <c:pt idx="17">
                  <c:v>2067</c:v>
                </c:pt>
                <c:pt idx="18">
                  <c:v>2075</c:v>
                </c:pt>
                <c:pt idx="19">
                  <c:v>2083</c:v>
                </c:pt>
                <c:pt idx="20">
                  <c:v>2091</c:v>
                </c:pt>
                <c:pt idx="21">
                  <c:v>2099</c:v>
                </c:pt>
              </c:numCache>
            </c:numRef>
          </c:xVal>
          <c:yVal>
            <c:numRef>
              <c:f>PoblacionGIS!$D$2:$D$23</c:f>
              <c:numCache>
                <c:formatCode>General</c:formatCode>
                <c:ptCount val="22"/>
                <c:pt idx="0">
                  <c:v>7108</c:v>
                </c:pt>
                <c:pt idx="1">
                  <c:v>11480</c:v>
                </c:pt>
                <c:pt idx="2">
                  <c:v>12273</c:v>
                </c:pt>
                <c:pt idx="3">
                  <c:v>20628</c:v>
                </c:pt>
                <c:pt idx="4">
                  <c:v>27775</c:v>
                </c:pt>
                <c:pt idx="5">
                  <c:v>39836</c:v>
                </c:pt>
                <c:pt idx="6">
                  <c:v>60202</c:v>
                </c:pt>
                <c:pt idx="7">
                  <c:v>69695</c:v>
                </c:pt>
                <c:pt idx="8">
                  <c:v>78923</c:v>
                </c:pt>
                <c:pt idx="9">
                  <c:v>101551</c:v>
                </c:pt>
                <c:pt idx="10">
                  <c:v>129652</c:v>
                </c:pt>
                <c:pt idx="11">
                  <c:v>128518</c:v>
                </c:pt>
                <c:pt idx="12">
                  <c:v>148831</c:v>
                </c:pt>
                <c:pt idx="13">
                  <c:v>170711</c:v>
                </c:pt>
                <c:pt idx="14">
                  <c:v>194160</c:v>
                </c:pt>
                <c:pt idx="15">
                  <c:v>219175</c:v>
                </c:pt>
                <c:pt idx="16">
                  <c:v>245759</c:v>
                </c:pt>
                <c:pt idx="17">
                  <c:v>273910</c:v>
                </c:pt>
                <c:pt idx="18">
                  <c:v>303628</c:v>
                </c:pt>
                <c:pt idx="19">
                  <c:v>334914</c:v>
                </c:pt>
                <c:pt idx="20">
                  <c:v>367768</c:v>
                </c:pt>
                <c:pt idx="21">
                  <c:v>402189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856-43A4-86B4-4B0E8EF8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37951387606352E-2"/>
          <c:y val="9.84273849352469E-2"/>
          <c:w val="7.3021512565183994E-2"/>
          <c:h val="4.799434446516485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4D3F2C-D5F1-41AE-ACE4-DFC0B9A95345}">
  <sheetPr/>
  <sheetViews>
    <sheetView zoomScale="129" workbookViewId="0" zoomToFit="1"/>
  </sheetViews>
  <pageMargins left="0.25" right="0.25" top="0.75" bottom="0.75" header="0.3" footer="0.3"/>
  <pageSetup paperSize="5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19926C-FDFD-4B6F-9591-D15E2C7B4756}">
  <sheetPr/>
  <sheetViews>
    <sheetView zoomScale="130" workbookViewId="0"/>
  </sheetViews>
  <pageMargins left="0.25" right="0.25" top="0.75" bottom="0.75" header="0.3" footer="0.3"/>
  <pageSetup paperSize="5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C66609-86C6-4B72-9620-31705379CED0}">
  <sheetPr/>
  <sheetViews>
    <sheetView zoomScale="114" workbookViewId="0" zoomToFit="1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223750" cy="62789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042FF-A425-4B26-20E6-D41A21F207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228635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B9D6-C519-36EA-863F-98A18A8884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223750" cy="62789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4F964-2B94-23E4-A3A2-70F68F0212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3F7D-8A04-4EDE-8789-543ED0F016DA}">
  <dimension ref="A1:X26"/>
  <sheetViews>
    <sheetView showGridLines="0" zoomScale="160" zoomScaleNormal="160" workbookViewId="0">
      <pane ySplit="1" topLeftCell="A2" activePane="bottomLeft" state="frozen"/>
      <selection pane="bottomLeft" activeCell="A2" sqref="A2"/>
    </sheetView>
  </sheetViews>
  <sheetFormatPr defaultColWidth="9.1328125" defaultRowHeight="16.5" x14ac:dyDescent="0.45"/>
  <cols>
    <col min="1" max="1" width="9.53125" style="12" customWidth="1"/>
    <col min="2" max="2" width="9.9296875" style="12" customWidth="1"/>
    <col min="3" max="3" width="8.59765625" style="2" customWidth="1"/>
    <col min="4" max="4" width="10.46484375" style="2" customWidth="1"/>
    <col min="5" max="5" width="11.59765625" style="2" customWidth="1"/>
    <col min="6" max="9" width="10.9296875" style="2" customWidth="1"/>
    <col min="10" max="12" width="10.46484375" style="2" customWidth="1"/>
    <col min="13" max="14" width="9.1328125" style="2"/>
    <col min="15" max="17" width="10.46484375" style="2" customWidth="1"/>
    <col min="18" max="19" width="9.1328125" style="2"/>
    <col min="20" max="22" width="10.46484375" style="2" customWidth="1"/>
    <col min="23" max="16384" width="9.1328125" style="2"/>
  </cols>
  <sheetData>
    <row r="1" spans="1:24" x14ac:dyDescent="0.45">
      <c r="A1" s="10" t="s">
        <v>2</v>
      </c>
      <c r="B1" s="10" t="s">
        <v>13</v>
      </c>
      <c r="C1" s="10" t="s">
        <v>3</v>
      </c>
      <c r="D1" s="10" t="s">
        <v>4</v>
      </c>
      <c r="E1" s="10" t="s">
        <v>37</v>
      </c>
      <c r="F1" s="10" t="s">
        <v>38</v>
      </c>
      <c r="G1" s="10" t="s">
        <v>73</v>
      </c>
      <c r="H1" s="10" t="s">
        <v>74</v>
      </c>
      <c r="I1" s="10" t="s">
        <v>75</v>
      </c>
      <c r="J1" s="10" t="s">
        <v>28</v>
      </c>
      <c r="K1" s="10" t="s">
        <v>29</v>
      </c>
      <c r="L1" s="10" t="s">
        <v>30</v>
      </c>
      <c r="M1" s="10" t="s">
        <v>61</v>
      </c>
      <c r="N1" s="10" t="s">
        <v>67</v>
      </c>
      <c r="O1" s="10" t="s">
        <v>33</v>
      </c>
      <c r="P1" s="10" t="s">
        <v>31</v>
      </c>
      <c r="Q1" s="10" t="s">
        <v>32</v>
      </c>
      <c r="R1" s="10" t="s">
        <v>62</v>
      </c>
      <c r="S1" s="10" t="s">
        <v>68</v>
      </c>
      <c r="T1" s="10" t="s">
        <v>34</v>
      </c>
      <c r="U1" s="10" t="s">
        <v>35</v>
      </c>
      <c r="V1" s="10" t="s">
        <v>36</v>
      </c>
      <c r="W1" s="10" t="s">
        <v>63</v>
      </c>
      <c r="X1" s="10" t="s">
        <v>69</v>
      </c>
    </row>
    <row r="2" spans="1:24" x14ac:dyDescent="0.45">
      <c r="A2" s="9" t="s">
        <v>65</v>
      </c>
      <c r="B2" s="9" t="s">
        <v>14</v>
      </c>
      <c r="C2" s="9">
        <v>1905</v>
      </c>
      <c r="D2" s="9">
        <v>7108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45">
      <c r="A3" s="11" t="str">
        <f>$A$2</f>
        <v>DANE</v>
      </c>
      <c r="B3" s="11" t="str">
        <f>$B$2</f>
        <v>Municipio</v>
      </c>
      <c r="C3" s="9">
        <v>1928</v>
      </c>
      <c r="D3" s="9">
        <v>11480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45">
      <c r="A4" s="11" t="str">
        <f t="shared" ref="A4:A13" si="0">$A$2</f>
        <v>DANE</v>
      </c>
      <c r="B4" s="11" t="str">
        <f t="shared" ref="B4:B13" si="1">$B$2</f>
        <v>Municipio</v>
      </c>
      <c r="C4" s="9">
        <v>1938</v>
      </c>
      <c r="D4" s="9">
        <v>12273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45">
      <c r="A5" s="11" t="str">
        <f t="shared" si="0"/>
        <v>DANE</v>
      </c>
      <c r="B5" s="11" t="str">
        <f t="shared" si="1"/>
        <v>Municipio</v>
      </c>
      <c r="C5" s="9">
        <v>1951</v>
      </c>
      <c r="D5" s="9">
        <v>20628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45">
      <c r="A6" s="11" t="str">
        <f t="shared" si="0"/>
        <v>DANE</v>
      </c>
      <c r="B6" s="11" t="str">
        <f t="shared" si="1"/>
        <v>Municipio</v>
      </c>
      <c r="C6" s="9">
        <v>1964</v>
      </c>
      <c r="D6" s="9">
        <v>27775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x14ac:dyDescent="0.45">
      <c r="A7" s="11" t="str">
        <f t="shared" si="0"/>
        <v>DANE</v>
      </c>
      <c r="B7" s="11" t="str">
        <f t="shared" si="1"/>
        <v>Municipio</v>
      </c>
      <c r="C7" s="9">
        <v>1973</v>
      </c>
      <c r="D7" s="9">
        <v>39836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x14ac:dyDescent="0.45">
      <c r="A8" s="11" t="str">
        <f t="shared" si="0"/>
        <v>DANE</v>
      </c>
      <c r="B8" s="11" t="str">
        <f t="shared" si="1"/>
        <v>Municipio</v>
      </c>
      <c r="C8" s="9">
        <v>1985</v>
      </c>
      <c r="D8" s="9">
        <v>60202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45">
      <c r="A9" s="11" t="str">
        <f t="shared" si="0"/>
        <v>DANE</v>
      </c>
      <c r="B9" s="11" t="str">
        <f t="shared" si="1"/>
        <v>Municipio</v>
      </c>
      <c r="C9" s="9">
        <v>1993</v>
      </c>
      <c r="D9" s="9">
        <v>69695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45">
      <c r="A10" s="11" t="str">
        <f t="shared" si="0"/>
        <v>DANE</v>
      </c>
      <c r="B10" s="11" t="str">
        <f t="shared" si="1"/>
        <v>Municipio</v>
      </c>
      <c r="C10" s="9">
        <v>1995</v>
      </c>
      <c r="D10" s="9">
        <v>78923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x14ac:dyDescent="0.45">
      <c r="A11" s="11" t="str">
        <f t="shared" si="0"/>
        <v>DANE</v>
      </c>
      <c r="B11" s="11" t="str">
        <f t="shared" si="1"/>
        <v>Municipio</v>
      </c>
      <c r="C11" s="9">
        <v>2005</v>
      </c>
      <c r="D11" s="9">
        <v>101551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45">
      <c r="A12" s="11" t="str">
        <f t="shared" si="0"/>
        <v>DANE</v>
      </c>
      <c r="B12" s="11" t="str">
        <f t="shared" si="1"/>
        <v>Municipio</v>
      </c>
      <c r="C12" s="9">
        <v>2017</v>
      </c>
      <c r="D12" s="9">
        <v>118267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45">
      <c r="A13" s="11" t="str">
        <f t="shared" si="0"/>
        <v>DANE</v>
      </c>
      <c r="B13" s="11" t="str">
        <f t="shared" si="1"/>
        <v>Municipio</v>
      </c>
      <c r="C13" s="9">
        <v>2018</v>
      </c>
      <c r="D13" s="9">
        <v>129652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45">
      <c r="A14" s="11"/>
      <c r="B14" s="11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45">
      <c r="A15" s="11"/>
      <c r="B15" s="1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4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3:24" x14ac:dyDescent="0.45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3:24" x14ac:dyDescent="0.4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3:24" x14ac:dyDescent="0.45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3:24" x14ac:dyDescent="0.4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3:24" x14ac:dyDescent="0.4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3:24" x14ac:dyDescent="0.4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3:24" x14ac:dyDescent="0.45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3:24" x14ac:dyDescent="0.45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3:24" x14ac:dyDescent="0.45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3:24" x14ac:dyDescent="0.45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97D0-7CF3-40B1-9A24-C33BBE54D035}">
  <dimension ref="B2:M38"/>
  <sheetViews>
    <sheetView showGridLines="0" tabSelected="1" zoomScale="115" zoomScaleNormal="115" workbookViewId="0">
      <selection activeCell="M29" sqref="M29"/>
    </sheetView>
  </sheetViews>
  <sheetFormatPr defaultColWidth="9.19921875" defaultRowHeight="16.5" x14ac:dyDescent="0.45"/>
  <cols>
    <col min="1" max="1" width="2.6640625" style="2" customWidth="1"/>
    <col min="2" max="2" width="17.53125" style="2" customWidth="1"/>
    <col min="3" max="3" width="12.9296875" style="2" customWidth="1"/>
    <col min="4" max="4" width="11.73046875" style="2" customWidth="1"/>
    <col min="5" max="13" width="11.59765625" style="2" customWidth="1"/>
    <col min="14" max="18" width="9.19921875" style="2" customWidth="1"/>
    <col min="19" max="19" width="13.6640625" style="2" customWidth="1"/>
    <col min="20" max="24" width="9.19921875" style="2" customWidth="1"/>
    <col min="25" max="25" width="13.6640625" style="2" customWidth="1"/>
    <col min="26" max="33" width="9.19921875" style="2" customWidth="1"/>
    <col min="34" max="34" width="12.9296875" style="2" bestFit="1" customWidth="1"/>
    <col min="35" max="35" width="9.19921875" style="2" customWidth="1"/>
    <col min="36" max="16384" width="9.19921875" style="2"/>
  </cols>
  <sheetData>
    <row r="2" spans="2:13" x14ac:dyDescent="0.45">
      <c r="B2" s="2" t="s">
        <v>70</v>
      </c>
    </row>
    <row r="3" spans="2:13" s="1" customFormat="1" ht="33" x14ac:dyDescent="0.45">
      <c r="B3" s="72" t="s">
        <v>27</v>
      </c>
      <c r="C3" s="73"/>
      <c r="D3" s="16" t="s">
        <v>8</v>
      </c>
      <c r="E3" s="14" t="s">
        <v>5</v>
      </c>
      <c r="F3" s="14" t="s">
        <v>6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0</v>
      </c>
      <c r="L3" s="14" t="s">
        <v>1</v>
      </c>
      <c r="M3" s="15" t="s">
        <v>15</v>
      </c>
    </row>
    <row r="4" spans="2:13" x14ac:dyDescent="0.45">
      <c r="B4" s="74"/>
      <c r="C4" s="75"/>
      <c r="D4" s="25" t="s">
        <v>16</v>
      </c>
      <c r="E4" s="23" cm="1">
        <f t="array" ref="E4">INDEX(LINEST(Censal!D2:D13,Censal!C2:C13^{1},TRUE,TRUE),1,1)</f>
        <v>1123.3292581657133</v>
      </c>
      <c r="F4" s="23" cm="1">
        <f t="array" ref="F4">INDEX(LINEST(Censal!D2:D13,Censal!C2:C13^{1,2},TRUE,TRUE),1,1)</f>
        <v>12.246643865295418</v>
      </c>
      <c r="G4" s="23" cm="1">
        <f t="array" ref="G4">INDEX(LINEST(Censal!D2:D13,Censal!C2:C13^{1,2,3},TRUE,TRUE),1,1)</f>
        <v>2.0517950912798261E-2</v>
      </c>
      <c r="H4" s="23" cm="1">
        <f t="array" ref="H4">INDEX(LINEST(Censal!D2:D13,Censal!C2:C13^{1,2,3,4},TRUE,TRUE),1,1)</f>
        <v>-1.8304025943245465E-3</v>
      </c>
      <c r="I4" s="23" cm="1">
        <f t="array" ref="I4">INDEX(LINEST(Censal!D2:D13,Censal!C2:C13^{1,2,3,4,5},TRUE,TRUE),1,1)</f>
        <v>-7.4976367579879278E-7</v>
      </c>
      <c r="J4" s="23" cm="1">
        <f t="array" ref="J4">INDEX(LINEST(Censal!D2:D13,Censal!C2:C13^{1,2,3,4,5,6},TRUE,TRUE),1,1)</f>
        <v>-3.1960904915312613E-10</v>
      </c>
      <c r="K4" s="23" cm="1">
        <f t="array" ref="K4">INDEX(LINEST(Censal!D2:D13,LN(Censal!C2:C13)^{1},TRUE,TRUE),1,1)</f>
        <v>2200336.3585383683</v>
      </c>
      <c r="L4" s="23" cm="1">
        <f t="array" ref="L4">INDEX(LINEST(LOG(Censal!D2:D13),LOG(Censal!C2:C13)^{1},TRUE,TRUE),1,1)</f>
        <v>53.573753318080612</v>
      </c>
      <c r="M4" s="24" cm="1">
        <f t="array" ref="M4">INDEX(LINEST(LN(Censal!D2:D13),Censal!C2:C13^{1},TRUE,TRUE),1,1)</f>
        <v>2.7274335152567355E-2</v>
      </c>
    </row>
    <row r="5" spans="2:13" x14ac:dyDescent="0.45">
      <c r="B5" s="74"/>
      <c r="C5" s="75"/>
      <c r="D5" s="25" t="s">
        <v>17</v>
      </c>
      <c r="E5" s="23" cm="1">
        <f t="array" ref="E5">INDEX(LINEST(Censal!D2:D13,Censal!C2:C13^{1},TRUE,TRUE),1,2)</f>
        <v>-2159505.0166082308</v>
      </c>
      <c r="F5" s="23" cm="1">
        <f t="array" ref="F5">INDEX(LINEST(Censal!D2:D13,Censal!C2:C13^{1,2},TRUE,TRUE),1,2)</f>
        <v>-47010.788036210062</v>
      </c>
      <c r="G5" s="23" cm="1">
        <f t="array" ref="G5">INDEX(LINEST(Censal!D2:D13,Censal!C2:C13^{1,2,3},TRUE,TRUE),1,2)</f>
        <v>-108.59695125957832</v>
      </c>
      <c r="H5" s="23" cm="1">
        <f t="array" ref="H5">INDEX(LINEST(Censal!D2:D13,Censal!C2:C13^{1,2,3,4},TRUE,TRUE),1,2)</f>
        <v>14.391221229439378</v>
      </c>
      <c r="I5" s="23" cm="1">
        <f t="array" ref="I5">INDEX(LINEST(Censal!D2:D13,Censal!C2:C13^{1,2,3,4,5},TRUE,TRUE),1,2)</f>
        <v>5.5252118433462422E-3</v>
      </c>
      <c r="J5" s="23" cm="1">
        <f t="array" ref="J5">INDEX(LINEST(Censal!D2:D13,Censal!C2:C13^{1,2,3,4,5,6},TRUE,TRUE),1,2)</f>
        <v>2.2605879297818713E-6</v>
      </c>
      <c r="K5" s="23" cm="1">
        <f t="array" ref="K5">INDEX(LINEST(Censal!D2:D13,LN(Censal!C2:C13)^{1},TRUE,TRUE),1,2)</f>
        <v>-16637471.946384562</v>
      </c>
      <c r="L5" s="23" cm="1">
        <f t="array" ref="L5">INDEX(LINEST(LOG(Censal!D2:D13),LOG(Censal!C2:C13)^{1},TRUE,TRUE),1,2)</f>
        <v>-171.93549419987102</v>
      </c>
      <c r="M5" s="24" cm="1">
        <f t="array" ref="M5">EXP(INDEX(LINEST(LN(Censal!D2:D13),Censal!C2:C13^{1},TRUE,TRUE),1,2))</f>
        <v>1.6705528293420752E-19</v>
      </c>
    </row>
    <row r="6" spans="2:13" x14ac:dyDescent="0.45">
      <c r="B6" s="74"/>
      <c r="C6" s="75"/>
      <c r="D6" s="25" t="s">
        <v>18</v>
      </c>
      <c r="E6" s="23"/>
      <c r="F6" s="23" cm="1">
        <f t="array" ref="F6">INDEX(LINEST(Censal!D2:D13,Censal!C2:C13^{1,2},TRUE,TRUE),1,3)</f>
        <v>45121557.34979187</v>
      </c>
      <c r="G6" s="23" cm="1">
        <f t="array" ref="G6">INDEX(LINEST(Censal!D2:D13,Censal!C2:C13^{1,2,3},TRUE,TRUE),1,3)</f>
        <v>190183.20219123777</v>
      </c>
      <c r="H6" s="23" cm="1">
        <f t="array" ref="H6">INDEX(LINEST(Censal!D2:D13,Censal!C2:C13^{1,2,3,4},TRUE,TRUE),1,3)</f>
        <v>-42412.176124777237</v>
      </c>
      <c r="I6" s="23" cm="1">
        <f t="array" ref="I6">INDEX(LINEST(Censal!D2:D13,Censal!C2:C13^{1,2,3,4,5},TRUE,TRUE),1,3)</f>
        <v>-14.470889823423073</v>
      </c>
      <c r="J6" s="23" cm="1">
        <f t="array" ref="J6">INDEX(LINEST(Censal!D2:D13,Censal!C2:C13^{1,2,3,4,5,6},TRUE,TRUE),1,3)</f>
        <v>-5.5494379292219476E-3</v>
      </c>
      <c r="K6" s="23"/>
      <c r="L6" s="23"/>
      <c r="M6" s="24"/>
    </row>
    <row r="7" spans="2:13" x14ac:dyDescent="0.45">
      <c r="B7" s="74"/>
      <c r="C7" s="75"/>
      <c r="D7" s="25" t="s">
        <v>19</v>
      </c>
      <c r="E7" s="23"/>
      <c r="F7" s="23"/>
      <c r="G7" s="23" cm="1">
        <f t="array" ref="G7">INDEX(LINEST(Censal!D2:D13,Censal!C2:C13^{1,2,3},TRUE,TRUE),1,4)</f>
        <v>-110036296.48156452</v>
      </c>
      <c r="H7" s="23" cm="1">
        <f t="array" ref="H7">INDEX(LINEST(Censal!D2:D13,Censal!C2:C13^{1,2,3,4},TRUE,TRUE),1,4)</f>
        <v>55529012.137339793</v>
      </c>
      <c r="I7" s="23" cm="1">
        <f t="array" ref="I7">INDEX(LINEST(Censal!D2:D13,Censal!C2:C13^{1,2,3,4,5},TRUE,TRUE),1,4)</f>
        <v>14206.768789627264</v>
      </c>
      <c r="J7" s="23" cm="1">
        <f t="array" ref="J7">INDEX(LINEST(Censal!D2:D13,Censal!C2:C13^{1,2,3,4,5,6},TRUE,TRUE),1,4)</f>
        <v>4.8418334891275769</v>
      </c>
      <c r="K7" s="23"/>
      <c r="L7" s="23"/>
      <c r="M7" s="24"/>
    </row>
    <row r="8" spans="2:13" x14ac:dyDescent="0.45">
      <c r="B8" s="74"/>
      <c r="C8" s="75"/>
      <c r="D8" s="25" t="s">
        <v>20</v>
      </c>
      <c r="E8" s="23"/>
      <c r="F8" s="23"/>
      <c r="G8" s="23"/>
      <c r="H8" s="23" cm="1">
        <f t="array" ref="H8">INDEX(LINEST(Censal!D2:D13,Censal!C2:C13^{1,2,3,4},TRUE,TRUE),1,5)</f>
        <v>-27252560060.838428</v>
      </c>
      <c r="I8" s="23" cm="1">
        <f t="array" ref="I8">INDEX(LINEST(Censal!D2:D13,Censal!C2:C13^{1,2,3,4,5},TRUE,TRUE),1,5)</f>
        <v>0</v>
      </c>
      <c r="J8" s="23" cm="1">
        <f t="array" ref="J8">INDEX(LINEST(Censal!D2:D13,Censal!C2:C13^{1,2,3,4,5,6},TRUE,TRUE),1,5)</f>
        <v>0</v>
      </c>
      <c r="K8" s="23"/>
      <c r="L8" s="23"/>
      <c r="M8" s="24"/>
    </row>
    <row r="9" spans="2:13" x14ac:dyDescent="0.45">
      <c r="B9" s="74"/>
      <c r="C9" s="75"/>
      <c r="D9" s="25" t="s">
        <v>21</v>
      </c>
      <c r="E9" s="23"/>
      <c r="F9" s="23"/>
      <c r="G9" s="23"/>
      <c r="H9" s="23"/>
      <c r="I9" s="23" cm="1">
        <f t="array" ref="I9">INDEX(LINEST(Censal!D2:D13,Censal!C2:C13^{1,2,3,4,5},TRUE,TRUE),1,6)</f>
        <v>-5470820377.7318306</v>
      </c>
      <c r="J9" s="23" cm="1">
        <f t="array" ref="J9">INDEX(LINEST(Censal!D2:D13,Censal!C2:C13^{1,2,3,4,5,6},TRUE,TRUE),1,6)</f>
        <v>0</v>
      </c>
      <c r="K9" s="23"/>
      <c r="L9" s="23"/>
      <c r="M9" s="24"/>
    </row>
    <row r="10" spans="2:13" x14ac:dyDescent="0.45">
      <c r="B10" s="74"/>
      <c r="C10" s="75"/>
      <c r="D10" s="25" t="s">
        <v>22</v>
      </c>
      <c r="E10" s="23"/>
      <c r="F10" s="23"/>
      <c r="G10" s="23"/>
      <c r="H10" s="23"/>
      <c r="I10" s="23"/>
      <c r="J10" s="23" cm="1">
        <f t="array" ref="J10">INDEX(LINEST(Censal!D2:D13,Censal!C2:C13^{1,2,3,4,5,6},TRUE,TRUE),1,7)</f>
        <v>-1827407571.1585236</v>
      </c>
      <c r="K10" s="23"/>
      <c r="L10" s="23"/>
      <c r="M10" s="24"/>
    </row>
    <row r="11" spans="2:13" x14ac:dyDescent="0.45">
      <c r="B11" s="74"/>
      <c r="C11" s="75"/>
      <c r="D11" s="26" t="s">
        <v>7</v>
      </c>
      <c r="E11" s="27" cm="1">
        <f t="array" ref="E11">INDEX(LINEST(Censal!D2:D13,Censal!C2:C13^{1},TRUE,TRUE),3,1)</f>
        <v>0.88097176949673595</v>
      </c>
      <c r="F11" s="27" cm="1">
        <f t="array" ref="F11">INDEX(LINEST(Censal!D2:D13,Censal!C2:C13^{1,2},TRUE,TRUE),3,1)</f>
        <v>0.99408518629232989</v>
      </c>
      <c r="G11" s="27" cm="1">
        <f t="array" ref="G11">INDEX(LINEST(Censal!D2:D13,Censal!C2:C13^{1,2,3},TRUE,TRUE),3,1)</f>
        <v>0.994412330013142</v>
      </c>
      <c r="H11" s="27" cm="1">
        <f t="array" ref="H11">INDEX(LINEST(Censal!D2:D13,Censal!C2:C13^{1,2,3,4},TRUE,TRUE),3,1)</f>
        <v>0.99606923015658622</v>
      </c>
      <c r="I11" s="27" cm="1">
        <f t="array" ref="I11">INDEX(LINEST(Censal!D2:D13,Censal!C2:C13^{1,2,3,4,5},TRUE,TRUE),3,1)</f>
        <v>0.99607679227498447</v>
      </c>
      <c r="J11" s="27" cm="1">
        <f t="array" ref="J11">INDEX(LINEST(Censal!D2:D13,Censal!C2:C13^{1,2,3,4,5,6},TRUE,TRUE),3,1)</f>
        <v>0.99608416929088217</v>
      </c>
      <c r="K11" s="27" cm="1">
        <f t="array" ref="K11">INDEX(LINEST(Censal!D2:D13,LN(Censal!C2:C13)^{1},TRUE,TRUE),3,1)</f>
        <v>0.87562989342198072</v>
      </c>
      <c r="L11" s="27" cm="1">
        <f t="array" ref="L11">INDEX(LINEST(LOG(Censal!D2:D13),LOG(Censal!C2:C13)^{1},TRUE,TRUE),3,1)</f>
        <v>0.98904460200984334</v>
      </c>
      <c r="M11" s="28" cm="1">
        <f t="array" ref="M11">INDEX(LINEST(LN(Censal!D2:D13),Censal!C2:C13^{1},TRUE,TRUE),3,1)</f>
        <v>0.98952209647556455</v>
      </c>
    </row>
    <row r="12" spans="2:13" ht="33" x14ac:dyDescent="0.45">
      <c r="B12" s="74"/>
      <c r="C12" s="75"/>
      <c r="D12" s="29" t="s">
        <v>23</v>
      </c>
      <c r="E12" s="30" t="str">
        <f>IF(E11=MAX($E$11:$M$11),"✓","")</f>
        <v/>
      </c>
      <c r="F12" s="30" t="str">
        <f t="shared" ref="F12:M12" si="0">IF(F11=MAX($E$11:$M$11),"✓","")</f>
        <v/>
      </c>
      <c r="G12" s="30" t="str">
        <f t="shared" si="0"/>
        <v/>
      </c>
      <c r="H12" s="30" t="str">
        <f t="shared" si="0"/>
        <v/>
      </c>
      <c r="I12" s="30" t="str">
        <f t="shared" si="0"/>
        <v/>
      </c>
      <c r="J12" s="30" t="str">
        <f t="shared" si="0"/>
        <v>✓</v>
      </c>
      <c r="K12" s="30" t="str">
        <f t="shared" si="0"/>
        <v/>
      </c>
      <c r="L12" s="30" t="str">
        <f t="shared" si="0"/>
        <v/>
      </c>
      <c r="M12" s="31" t="str">
        <f t="shared" si="0"/>
        <v/>
      </c>
    </row>
    <row r="13" spans="2:13" x14ac:dyDescent="0.45">
      <c r="B13" s="74"/>
      <c r="C13" s="75"/>
      <c r="D13" s="55" t="s">
        <v>59</v>
      </c>
      <c r="E13" s="57"/>
      <c r="F13" s="57"/>
      <c r="G13" s="57"/>
      <c r="H13" s="57" t="s">
        <v>60</v>
      </c>
      <c r="I13" s="57" t="s">
        <v>60</v>
      </c>
      <c r="J13" s="57" t="s">
        <v>60</v>
      </c>
      <c r="K13" s="57"/>
      <c r="L13" s="57"/>
      <c r="M13" s="58"/>
    </row>
    <row r="14" spans="2:13" ht="33" x14ac:dyDescent="0.45">
      <c r="B14" s="76"/>
      <c r="C14" s="77"/>
      <c r="D14" s="19" t="s">
        <v>24</v>
      </c>
      <c r="E14" s="21"/>
      <c r="F14" s="21" t="s">
        <v>25</v>
      </c>
      <c r="G14" s="21"/>
      <c r="H14" s="21"/>
      <c r="I14" s="21"/>
      <c r="J14" s="21"/>
      <c r="K14" s="21"/>
      <c r="L14" s="21"/>
      <c r="M14" s="22"/>
    </row>
    <row r="16" spans="2:13" x14ac:dyDescent="0.45">
      <c r="B16" s="2" t="s">
        <v>71</v>
      </c>
    </row>
    <row r="17" spans="2:13" x14ac:dyDescent="0.45">
      <c r="B17" s="2" t="s">
        <v>26</v>
      </c>
      <c r="C17" s="20">
        <v>8</v>
      </c>
      <c r="D17" s="2" t="s">
        <v>72</v>
      </c>
      <c r="M17" s="13"/>
    </row>
    <row r="18" spans="2:13" ht="33" x14ac:dyDescent="0.45">
      <c r="B18" s="16" t="s">
        <v>2</v>
      </c>
      <c r="C18" s="14" t="s">
        <v>13</v>
      </c>
      <c r="D18" s="14" t="s">
        <v>3</v>
      </c>
      <c r="E18" s="14" t="str">
        <f>E3</f>
        <v>Lineal</v>
      </c>
      <c r="F18" s="14" t="str">
        <f t="shared" ref="F18:M18" si="1">F3</f>
        <v>Polinomio grado 2</v>
      </c>
      <c r="G18" s="14" t="str">
        <f t="shared" si="1"/>
        <v>Polinomio grado 3</v>
      </c>
      <c r="H18" s="14" t="str">
        <f t="shared" si="1"/>
        <v>Polinomio grado 4</v>
      </c>
      <c r="I18" s="14" t="str">
        <f t="shared" si="1"/>
        <v>Polinomio grado 5</v>
      </c>
      <c r="J18" s="14" t="str">
        <f t="shared" si="1"/>
        <v>Polinomio grado 6</v>
      </c>
      <c r="K18" s="14" t="str">
        <f t="shared" si="1"/>
        <v>Logarítmica</v>
      </c>
      <c r="L18" s="14" t="str">
        <f t="shared" si="1"/>
        <v>Potencial</v>
      </c>
      <c r="M18" s="15" t="str">
        <f t="shared" si="1"/>
        <v>Exponencial</v>
      </c>
    </row>
    <row r="19" spans="2:13" x14ac:dyDescent="0.45">
      <c r="B19" s="56" t="s">
        <v>66</v>
      </c>
      <c r="C19" s="7" t="str">
        <f>Censal!$B$2</f>
        <v>Municipio</v>
      </c>
      <c r="D19" s="7">
        <f>MAX(Censal!C2:C103)+1</f>
        <v>2019</v>
      </c>
      <c r="E19" s="3">
        <f>ROUND($E$4*$D19+$E$5,0)</f>
        <v>108497</v>
      </c>
      <c r="F19" s="3">
        <f>ROUND($F$4*$D19^2+$F$5*$D19+$F$6,0)</f>
        <v>128518</v>
      </c>
      <c r="G19" s="3">
        <f>ROUND($G$4*$D19^3+$G$5*$D19^2+$G$6*$D19+$G$7,0)</f>
        <v>129495</v>
      </c>
      <c r="H19" s="3">
        <f>ROUND($H$4*$D19^4+$H$5*$D19^3+$H$6*$D19^2+$H$7*$D19+$H$8,0)</f>
        <v>127564</v>
      </c>
      <c r="I19" s="3">
        <f>ROUND($I$4*$D19^5+$I$5*$D19^4+$I$6*$D19^3+$I$7*$D19^2+$I$8*$D19+$I$9,0)</f>
        <v>127539</v>
      </c>
      <c r="J19" s="3">
        <f>ROUND($J$4*$D19^6+$J$5*$D19^5+$J$6*$D19^4+$J$7*$D19^3+$J$8*$D19^2+$J$9*$D19+$J$10,0)</f>
        <v>127515</v>
      </c>
      <c r="K19" s="3">
        <f>ROUND($K$4*LN(D19)+$K$5,0)</f>
        <v>107875</v>
      </c>
      <c r="L19" s="3">
        <f>ROUND(10^$L$5*$D19^$L$4,0)</f>
        <v>135851</v>
      </c>
      <c r="M19" s="4">
        <f>ROUND($M$5*EXP($M$4*$D19),0)</f>
        <v>137437</v>
      </c>
    </row>
    <row r="20" spans="2:13" x14ac:dyDescent="0.45">
      <c r="B20" s="17" t="str">
        <f>B19</f>
        <v>Proyectada</v>
      </c>
      <c r="C20" s="7" t="str">
        <f>Censal!$B$2</f>
        <v>Municipio</v>
      </c>
      <c r="D20" s="7">
        <f t="shared" ref="D20:D29" si="2">D19+$C$17</f>
        <v>2027</v>
      </c>
      <c r="E20" s="3">
        <f t="shared" ref="E20:E29" si="3">ROUND($E$4*$D20+$E$5,0)</f>
        <v>117483</v>
      </c>
      <c r="F20" s="3">
        <f>ROUND($F$4*$D20^2+$F$5*$D20+$F$6,0)</f>
        <v>148831</v>
      </c>
      <c r="G20" s="3">
        <f>ROUND($G$4*$D20^3+$G$5*$D20^2+$G$6*$D20+$G$7,0)</f>
        <v>151184</v>
      </c>
      <c r="H20" s="3">
        <f t="shared" ref="H20:H29" si="4">ROUND($H$4*$D20^4+$H$5*$D20^3+$H$6*$D20^2+$H$7*$D20+$H$8,0)</f>
        <v>142253</v>
      </c>
      <c r="I20" s="3">
        <f t="shared" ref="I20:I29" si="5">ROUND($I$4*$D20^5+$I$5*$D20^4+$I$6*$D20^3+$I$7*$D20^2+$I$8*$D20+$I$9,0)</f>
        <v>142060</v>
      </c>
      <c r="J20" s="3">
        <f t="shared" ref="J20:J29" si="6">ROUND($J$4*$D20^6+$J$5*$D20^5+$J$6*$D20^4+$J$7*$D20^3+$J$8*$D20^2+$J$9*$D20+$J$10,0)</f>
        <v>141865</v>
      </c>
      <c r="K20" s="3">
        <f t="shared" ref="K20:K29" si="7">ROUND($K$4*LN(D20)+$K$5,0)</f>
        <v>116576</v>
      </c>
      <c r="L20" s="3">
        <f t="shared" ref="L20:L29" si="8">ROUND(10^$L$5*$D20^$L$4,0)</f>
        <v>167909</v>
      </c>
      <c r="M20" s="4">
        <f t="shared" ref="M20:M29" si="9">ROUND($M$5*EXP($M$4*$D20),0)</f>
        <v>170948</v>
      </c>
    </row>
    <row r="21" spans="2:13" x14ac:dyDescent="0.45">
      <c r="B21" s="17" t="str">
        <f t="shared" ref="B21:B29" si="10">B20</f>
        <v>Proyectada</v>
      </c>
      <c r="C21" s="7" t="str">
        <f>Censal!$B$2</f>
        <v>Municipio</v>
      </c>
      <c r="D21" s="7">
        <f t="shared" si="2"/>
        <v>2035</v>
      </c>
      <c r="E21" s="3">
        <f t="shared" si="3"/>
        <v>126470</v>
      </c>
      <c r="F21" s="3">
        <f t="shared" ref="F21:F29" si="11">ROUND($F$4*$D21^2+$F$5*$D21+$F$6,0)</f>
        <v>170711</v>
      </c>
      <c r="G21" s="3">
        <f>ROUND($G$4*$D21^3+$G$5*$D21^2+$G$6*$D21+$G$7,0)</f>
        <v>174944</v>
      </c>
      <c r="H21" s="3">
        <f t="shared" si="4"/>
        <v>153992</v>
      </c>
      <c r="I21" s="3">
        <f t="shared" si="5"/>
        <v>153442</v>
      </c>
      <c r="J21" s="3">
        <f t="shared" si="6"/>
        <v>152879</v>
      </c>
      <c r="K21" s="3">
        <f t="shared" si="7"/>
        <v>125243</v>
      </c>
      <c r="L21" s="3">
        <f t="shared" si="8"/>
        <v>207357</v>
      </c>
      <c r="M21" s="4">
        <f t="shared" si="9"/>
        <v>212630</v>
      </c>
    </row>
    <row r="22" spans="2:13" x14ac:dyDescent="0.45">
      <c r="B22" s="17" t="str">
        <f t="shared" si="10"/>
        <v>Proyectada</v>
      </c>
      <c r="C22" s="7" t="str">
        <f>Censal!$B$2</f>
        <v>Municipio</v>
      </c>
      <c r="D22" s="7">
        <f t="shared" si="2"/>
        <v>2043</v>
      </c>
      <c r="E22" s="3">
        <f t="shared" si="3"/>
        <v>135457</v>
      </c>
      <c r="F22" s="3">
        <f>ROUND($F$4*$D22^2+$F$5*$D22+$F$6,0)</f>
        <v>194160</v>
      </c>
      <c r="G22" s="3">
        <f>ROUND($G$4*$D22^3+$G$5*$D22^2+$G$6*$D22+$G$7,0)</f>
        <v>200837</v>
      </c>
      <c r="H22" s="3">
        <f t="shared" si="4"/>
        <v>161310</v>
      </c>
      <c r="I22" s="3">
        <f t="shared" si="5"/>
        <v>160113</v>
      </c>
      <c r="J22" s="3">
        <f t="shared" si="6"/>
        <v>158880</v>
      </c>
      <c r="K22" s="3">
        <f t="shared" si="7"/>
        <v>133876</v>
      </c>
      <c r="L22" s="3">
        <f t="shared" si="8"/>
        <v>255863</v>
      </c>
      <c r="M22" s="4">
        <f t="shared" si="9"/>
        <v>264476</v>
      </c>
    </row>
    <row r="23" spans="2:13" x14ac:dyDescent="0.45">
      <c r="B23" s="17" t="str">
        <f t="shared" si="10"/>
        <v>Proyectada</v>
      </c>
      <c r="C23" s="7" t="str">
        <f>Censal!$B$2</f>
        <v>Municipio</v>
      </c>
      <c r="D23" s="7">
        <f t="shared" si="2"/>
        <v>2051</v>
      </c>
      <c r="E23" s="3">
        <f t="shared" si="3"/>
        <v>144443</v>
      </c>
      <c r="F23" s="3">
        <f>ROUND($F$4*$D23^2+$F$5*$D23+$F$6,0)</f>
        <v>219175</v>
      </c>
      <c r="G23" s="3">
        <f t="shared" ref="G23:G29" si="12">ROUND($G$4*$D23^3+$G$5*$D23^2+$G$6*$D23+$G$7,0)</f>
        <v>228926</v>
      </c>
      <c r="H23" s="3">
        <f t="shared" si="4"/>
        <v>162555</v>
      </c>
      <c r="I23" s="3">
        <f t="shared" si="5"/>
        <v>160293</v>
      </c>
      <c r="J23" s="3">
        <f t="shared" si="6"/>
        <v>157955</v>
      </c>
      <c r="K23" s="3">
        <f t="shared" si="7"/>
        <v>142475</v>
      </c>
      <c r="L23" s="3">
        <f t="shared" si="8"/>
        <v>315455</v>
      </c>
      <c r="M23" s="4">
        <f t="shared" si="9"/>
        <v>328963</v>
      </c>
    </row>
    <row r="24" spans="2:13" x14ac:dyDescent="0.45">
      <c r="B24" s="17" t="str">
        <f t="shared" si="10"/>
        <v>Proyectada</v>
      </c>
      <c r="C24" s="7" t="str">
        <f>Censal!$B$2</f>
        <v>Municipio</v>
      </c>
      <c r="D24" s="7">
        <f t="shared" si="2"/>
        <v>2059</v>
      </c>
      <c r="E24" s="3">
        <f t="shared" si="3"/>
        <v>153430</v>
      </c>
      <c r="F24" s="3">
        <f t="shared" si="11"/>
        <v>245759</v>
      </c>
      <c r="G24" s="3">
        <f t="shared" si="12"/>
        <v>259274</v>
      </c>
      <c r="H24" s="3">
        <f t="shared" si="4"/>
        <v>155896</v>
      </c>
      <c r="I24" s="3">
        <f t="shared" si="5"/>
        <v>151996</v>
      </c>
      <c r="J24" s="3">
        <f t="shared" si="6"/>
        <v>147947</v>
      </c>
      <c r="K24" s="3">
        <f t="shared" si="7"/>
        <v>151041</v>
      </c>
      <c r="L24" s="3">
        <f t="shared" si="8"/>
        <v>388610</v>
      </c>
      <c r="M24" s="4">
        <f t="shared" si="9"/>
        <v>409173</v>
      </c>
    </row>
    <row r="25" spans="2:13" x14ac:dyDescent="0.45">
      <c r="B25" s="17" t="str">
        <f t="shared" si="10"/>
        <v>Proyectada</v>
      </c>
      <c r="C25" s="7" t="str">
        <f>Censal!$B$2</f>
        <v>Municipio</v>
      </c>
      <c r="D25" s="7">
        <f t="shared" si="2"/>
        <v>2067</v>
      </c>
      <c r="E25" s="3">
        <f t="shared" si="3"/>
        <v>162417</v>
      </c>
      <c r="F25" s="3">
        <f t="shared" si="11"/>
        <v>273910</v>
      </c>
      <c r="G25" s="3">
        <f t="shared" si="12"/>
        <v>291944</v>
      </c>
      <c r="H25" s="3">
        <f t="shared" si="4"/>
        <v>139322</v>
      </c>
      <c r="I25" s="3">
        <f t="shared" si="5"/>
        <v>133020</v>
      </c>
      <c r="J25" s="3">
        <f t="shared" si="6"/>
        <v>126451</v>
      </c>
      <c r="K25" s="3">
        <f t="shared" si="7"/>
        <v>159574</v>
      </c>
      <c r="L25" s="3">
        <f t="shared" si="8"/>
        <v>478342</v>
      </c>
      <c r="M25" s="4">
        <f t="shared" si="9"/>
        <v>508942</v>
      </c>
    </row>
    <row r="26" spans="2:13" x14ac:dyDescent="0.45">
      <c r="B26" s="17" t="str">
        <f t="shared" si="10"/>
        <v>Proyectada</v>
      </c>
      <c r="C26" s="7" t="str">
        <f>Censal!$B$2</f>
        <v>Municipio</v>
      </c>
      <c r="D26" s="7">
        <f t="shared" si="2"/>
        <v>2075</v>
      </c>
      <c r="E26" s="3">
        <f t="shared" si="3"/>
        <v>171403</v>
      </c>
      <c r="F26" s="3">
        <f t="shared" si="11"/>
        <v>303628</v>
      </c>
      <c r="G26" s="3">
        <f t="shared" si="12"/>
        <v>327000</v>
      </c>
      <c r="H26" s="3">
        <f t="shared" si="4"/>
        <v>110642</v>
      </c>
      <c r="I26" s="3">
        <f t="shared" si="5"/>
        <v>100947</v>
      </c>
      <c r="J26" s="3">
        <f t="shared" si="6"/>
        <v>90805</v>
      </c>
      <c r="K26" s="3">
        <f t="shared" si="7"/>
        <v>168073</v>
      </c>
      <c r="L26" s="3">
        <f t="shared" si="8"/>
        <v>588322</v>
      </c>
      <c r="M26" s="4">
        <f t="shared" si="9"/>
        <v>633036</v>
      </c>
    </row>
    <row r="27" spans="2:13" x14ac:dyDescent="0.45">
      <c r="B27" s="17" t="str">
        <f t="shared" si="10"/>
        <v>Proyectada</v>
      </c>
      <c r="C27" s="7" t="str">
        <f>Censal!$B$2</f>
        <v>Municipio</v>
      </c>
      <c r="D27" s="7">
        <f t="shared" si="2"/>
        <v>2083</v>
      </c>
      <c r="E27" s="3">
        <f t="shared" si="3"/>
        <v>180390</v>
      </c>
      <c r="F27" s="3">
        <f t="shared" si="11"/>
        <v>334914</v>
      </c>
      <c r="G27" s="3">
        <f t="shared" si="12"/>
        <v>364504</v>
      </c>
      <c r="H27" s="3">
        <f t="shared" si="4"/>
        <v>67485</v>
      </c>
      <c r="I27" s="3">
        <f t="shared" si="5"/>
        <v>53144</v>
      </c>
      <c r="J27" s="3">
        <f t="shared" si="6"/>
        <v>38087</v>
      </c>
      <c r="K27" s="3">
        <f t="shared" si="7"/>
        <v>176540</v>
      </c>
      <c r="L27" s="3">
        <f t="shared" si="8"/>
        <v>723013</v>
      </c>
      <c r="M27" s="4">
        <f t="shared" si="9"/>
        <v>787389</v>
      </c>
    </row>
    <row r="28" spans="2:13" x14ac:dyDescent="0.45">
      <c r="B28" s="17" t="str">
        <f t="shared" si="10"/>
        <v>Proyectada</v>
      </c>
      <c r="C28" s="7" t="str">
        <f>Censal!$B$2</f>
        <v>Municipio</v>
      </c>
      <c r="D28" s="7">
        <f t="shared" si="2"/>
        <v>2091</v>
      </c>
      <c r="E28" s="3">
        <f t="shared" si="3"/>
        <v>189376</v>
      </c>
      <c r="F28" s="3">
        <f t="shared" si="11"/>
        <v>367768</v>
      </c>
      <c r="G28" s="3">
        <f t="shared" si="12"/>
        <v>404519</v>
      </c>
      <c r="H28" s="3">
        <f t="shared" si="4"/>
        <v>7299</v>
      </c>
      <c r="I28" s="3">
        <f t="shared" si="5"/>
        <v>-13247</v>
      </c>
      <c r="J28" s="3">
        <f t="shared" si="6"/>
        <v>-34896</v>
      </c>
      <c r="K28" s="3">
        <f t="shared" si="7"/>
        <v>184975</v>
      </c>
      <c r="L28" s="3">
        <f t="shared" si="8"/>
        <v>887838</v>
      </c>
      <c r="M28" s="4">
        <f t="shared" si="9"/>
        <v>979378</v>
      </c>
    </row>
    <row r="29" spans="2:13" x14ac:dyDescent="0.45">
      <c r="B29" s="18" t="str">
        <f t="shared" si="10"/>
        <v>Proyectada</v>
      </c>
      <c r="C29" s="8" t="str">
        <f>Censal!$B$2</f>
        <v>Municipio</v>
      </c>
      <c r="D29" s="8">
        <f t="shared" si="2"/>
        <v>2099</v>
      </c>
      <c r="E29" s="5">
        <f t="shared" si="3"/>
        <v>198363</v>
      </c>
      <c r="F29" s="5">
        <f t="shared" si="11"/>
        <v>402189</v>
      </c>
      <c r="G29" s="5">
        <f t="shared" si="12"/>
        <v>447109</v>
      </c>
      <c r="H29" s="5">
        <f t="shared" si="4"/>
        <v>-72646</v>
      </c>
      <c r="I29" s="5">
        <f t="shared" si="5"/>
        <v>-101307</v>
      </c>
      <c r="J29" s="5">
        <f t="shared" si="6"/>
        <v>-131614</v>
      </c>
      <c r="K29" s="5">
        <f t="shared" si="7"/>
        <v>193377</v>
      </c>
      <c r="L29" s="5">
        <f t="shared" si="8"/>
        <v>1089383</v>
      </c>
      <c r="M29" s="6">
        <f t="shared" si="9"/>
        <v>1218179</v>
      </c>
    </row>
    <row r="30" spans="2:13" x14ac:dyDescent="0.45">
      <c r="D30" s="13"/>
    </row>
    <row r="31" spans="2:13" x14ac:dyDescent="0.45">
      <c r="B31" s="2" t="s">
        <v>64</v>
      </c>
      <c r="D31" s="13"/>
    </row>
    <row r="32" spans="2:13" x14ac:dyDescent="0.45">
      <c r="B32" s="2" t="str">
        <f>_xlfn.CONCAT(Censal!A2," - Población censal ",Censal!B2," y población proyectada a ",D29-D19," años con diferentes tendencias")</f>
        <v>DANE - Población censal Municipio y población proyectada a 80 años con diferentes tendencias</v>
      </c>
      <c r="D32" s="13"/>
    </row>
    <row r="33" spans="2:4" x14ac:dyDescent="0.45">
      <c r="B33" s="2" t="str">
        <f>_xlfn.CONCAT(Censal!A2," - Población censal ",Censal!B2," y población proyectada a ",D29-D19," años para el ajuste seleccionado")</f>
        <v>DANE - Población censal Municipio y población proyectada a 80 años para el ajuste seleccionado</v>
      </c>
      <c r="D33" s="13"/>
    </row>
    <row r="34" spans="2:4" x14ac:dyDescent="0.45">
      <c r="B34" s="2" t="str">
        <f>_xlfn.CONCAT(Censal!A2," - Población censal municipal")</f>
        <v>DANE - Población censal municipal</v>
      </c>
      <c r="D34" s="13"/>
    </row>
    <row r="35" spans="2:4" x14ac:dyDescent="0.45">
      <c r="D35" s="13"/>
    </row>
    <row r="36" spans="2:4" x14ac:dyDescent="0.45">
      <c r="D36" s="13"/>
    </row>
    <row r="37" spans="2:4" x14ac:dyDescent="0.45">
      <c r="D37" s="13"/>
    </row>
    <row r="38" spans="2:4" x14ac:dyDescent="0.45">
      <c r="D38" s="13"/>
    </row>
  </sheetData>
  <mergeCells count="1">
    <mergeCell ref="B3:C1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5B67-A9CB-4F86-9CEB-D63DBE20F700}">
  <dimension ref="B2:G23"/>
  <sheetViews>
    <sheetView showGridLines="0" zoomScale="145" zoomScaleNormal="145" workbookViewId="0">
      <pane ySplit="2" topLeftCell="A5" activePane="bottomLeft" state="frozen"/>
      <selection pane="bottomLeft" activeCell="D6" sqref="D6:E6"/>
    </sheetView>
  </sheetViews>
  <sheetFormatPr defaultColWidth="9.19921875" defaultRowHeight="16.5" x14ac:dyDescent="0.45"/>
  <cols>
    <col min="1" max="1" width="2.6640625" style="44" customWidth="1"/>
    <col min="2" max="2" width="20.46484375" style="44" customWidth="1"/>
    <col min="3" max="3" width="9.19921875" style="44"/>
    <col min="4" max="4" width="5" style="44" customWidth="1"/>
    <col min="5" max="5" width="18.3984375" style="44" customWidth="1"/>
    <col min="6" max="6" width="9.19921875" style="44"/>
    <col min="7" max="7" width="20.46484375" style="44" customWidth="1"/>
    <col min="8" max="8" width="2.6640625" style="44" customWidth="1"/>
    <col min="9" max="16384" width="9.19921875" style="44"/>
  </cols>
  <sheetData>
    <row r="2" spans="2:7" x14ac:dyDescent="0.45">
      <c r="B2" s="65" t="s">
        <v>54</v>
      </c>
      <c r="C2" s="65"/>
      <c r="D2" s="65"/>
      <c r="E2" s="65"/>
      <c r="F2" s="65"/>
      <c r="G2" s="65"/>
    </row>
    <row r="4" spans="2:7" ht="24" x14ac:dyDescent="0.45">
      <c r="B4" s="45" t="s">
        <v>40</v>
      </c>
      <c r="C4" s="32">
        <v>342</v>
      </c>
      <c r="D4" s="33"/>
      <c r="E4" s="33"/>
      <c r="F4" s="34">
        <v>976</v>
      </c>
      <c r="G4" s="44" t="s">
        <v>42</v>
      </c>
    </row>
    <row r="5" spans="2:7" ht="18.75" x14ac:dyDescent="0.45">
      <c r="B5" s="45"/>
      <c r="C5" s="66" t="s">
        <v>45</v>
      </c>
      <c r="D5" s="67"/>
      <c r="E5" s="67"/>
      <c r="F5" s="68"/>
    </row>
    <row r="6" spans="2:7" ht="26.25" x14ac:dyDescent="0.45">
      <c r="B6" s="45"/>
      <c r="C6" s="35"/>
      <c r="D6" s="63">
        <f>MAX(Censal!D2:D102)</f>
        <v>129652</v>
      </c>
      <c r="E6" s="64"/>
      <c r="F6" s="36"/>
    </row>
    <row r="7" spans="2:7" ht="24" x14ac:dyDescent="0.45">
      <c r="B7" s="45" t="s">
        <v>41</v>
      </c>
      <c r="C7" s="37">
        <v>64</v>
      </c>
      <c r="D7" s="38"/>
      <c r="E7" s="38"/>
      <c r="F7" s="39">
        <v>342</v>
      </c>
      <c r="G7" s="44" t="s">
        <v>43</v>
      </c>
    </row>
    <row r="8" spans="2:7" ht="20.25" x14ac:dyDescent="0.45">
      <c r="B8" s="45"/>
      <c r="C8" s="46" t="s">
        <v>39</v>
      </c>
      <c r="D8" s="46"/>
      <c r="E8" s="46"/>
      <c r="F8" s="46" t="s">
        <v>39</v>
      </c>
    </row>
    <row r="9" spans="2:7" ht="33" x14ac:dyDescent="0.45">
      <c r="B9" s="43" t="s">
        <v>58</v>
      </c>
      <c r="C9" s="41">
        <f>C4-C7</f>
        <v>278</v>
      </c>
      <c r="F9" s="40">
        <f>F4-F7</f>
        <v>634</v>
      </c>
      <c r="G9" s="42" t="s">
        <v>57</v>
      </c>
    </row>
    <row r="10" spans="2:7" ht="20.25" x14ac:dyDescent="0.45">
      <c r="C10" s="46" t="s">
        <v>39</v>
      </c>
      <c r="D10" s="46"/>
      <c r="E10" s="46"/>
      <c r="F10" s="46" t="s">
        <v>39</v>
      </c>
    </row>
    <row r="11" spans="2:7" x14ac:dyDescent="0.45">
      <c r="C11" s="69" t="s">
        <v>44</v>
      </c>
      <c r="D11" s="70"/>
      <c r="E11" s="70"/>
      <c r="F11" s="71"/>
    </row>
    <row r="12" spans="2:7" ht="24" x14ac:dyDescent="0.45">
      <c r="C12" s="60">
        <f>C9+F9</f>
        <v>912</v>
      </c>
      <c r="D12" s="61"/>
      <c r="E12" s="61"/>
      <c r="F12" s="62"/>
    </row>
    <row r="13" spans="2:7" ht="20.25" x14ac:dyDescent="0.45">
      <c r="C13" s="46" t="s">
        <v>39</v>
      </c>
      <c r="D13" s="46"/>
      <c r="E13" s="46"/>
      <c r="F13" s="46" t="s">
        <v>39</v>
      </c>
    </row>
    <row r="14" spans="2:7" ht="37.5" x14ac:dyDescent="0.45">
      <c r="B14" s="48" t="s">
        <v>55</v>
      </c>
      <c r="C14" s="49">
        <f>D6+C12</f>
        <v>130564</v>
      </c>
      <c r="F14" s="50">
        <f>(D6+C14)/2</f>
        <v>130108</v>
      </c>
      <c r="G14" s="47" t="s">
        <v>56</v>
      </c>
    </row>
    <row r="15" spans="2:7" ht="20.25" x14ac:dyDescent="0.45">
      <c r="C15" s="46"/>
      <c r="D15" s="46"/>
      <c r="E15" s="46"/>
      <c r="F15" s="46"/>
    </row>
    <row r="16" spans="2:7" s="53" customFormat="1" ht="15.4" x14ac:dyDescent="0.45">
      <c r="B16" s="53" t="s">
        <v>47</v>
      </c>
      <c r="C16" s="54"/>
      <c r="D16" s="54"/>
      <c r="E16" s="54"/>
      <c r="F16" s="54"/>
    </row>
    <row r="17" spans="2:7" s="51" customFormat="1" ht="15.4" x14ac:dyDescent="0.45">
      <c r="B17" s="59" t="s">
        <v>46</v>
      </c>
      <c r="C17" s="59"/>
      <c r="D17" s="59"/>
      <c r="E17" s="59"/>
      <c r="F17" s="59"/>
      <c r="G17" s="52">
        <f>(C12/F14)*1000</f>
        <v>7.0095612875457309</v>
      </c>
    </row>
    <row r="18" spans="2:7" s="51" customFormat="1" ht="15.4" x14ac:dyDescent="0.45">
      <c r="B18" s="59" t="s">
        <v>49</v>
      </c>
      <c r="C18" s="59"/>
      <c r="D18" s="59"/>
      <c r="E18" s="59"/>
      <c r="F18" s="59"/>
      <c r="G18" s="52">
        <f>(C4/F14)*1000</f>
        <v>2.6285854828296493</v>
      </c>
    </row>
    <row r="19" spans="2:7" s="51" customFormat="1" ht="15.4" x14ac:dyDescent="0.45">
      <c r="B19" s="59" t="s">
        <v>50</v>
      </c>
      <c r="C19" s="59"/>
      <c r="D19" s="59"/>
      <c r="E19" s="59"/>
      <c r="F19" s="59"/>
      <c r="G19" s="52">
        <f>(C7/F14)*1000</f>
        <v>0.49189903772250748</v>
      </c>
    </row>
    <row r="20" spans="2:7" s="51" customFormat="1" ht="15.4" x14ac:dyDescent="0.45">
      <c r="B20" s="59" t="s">
        <v>48</v>
      </c>
      <c r="C20" s="59"/>
      <c r="D20" s="59"/>
      <c r="E20" s="59"/>
      <c r="F20" s="59"/>
      <c r="G20" s="52">
        <f>G18-G19</f>
        <v>2.1366864451071419</v>
      </c>
    </row>
    <row r="21" spans="2:7" x14ac:dyDescent="0.45">
      <c r="B21" s="59" t="s">
        <v>51</v>
      </c>
      <c r="C21" s="59"/>
      <c r="D21" s="59"/>
      <c r="E21" s="59"/>
      <c r="F21" s="59"/>
      <c r="G21" s="52">
        <f>(F4/F14)*1000</f>
        <v>7.5014603252682379</v>
      </c>
    </row>
    <row r="22" spans="2:7" ht="17.2" customHeight="1" x14ac:dyDescent="0.45">
      <c r="B22" s="59" t="s">
        <v>52</v>
      </c>
      <c r="C22" s="59"/>
      <c r="D22" s="59"/>
      <c r="E22" s="59"/>
      <c r="F22" s="59"/>
      <c r="G22" s="52">
        <f>(F7/F14)*1000</f>
        <v>2.6285854828296493</v>
      </c>
    </row>
    <row r="23" spans="2:7" x14ac:dyDescent="0.45">
      <c r="B23" s="59" t="s">
        <v>53</v>
      </c>
      <c r="C23" s="59"/>
      <c r="D23" s="59"/>
      <c r="E23" s="59"/>
      <c r="F23" s="59"/>
      <c r="G23" s="52">
        <f>G21-G22</f>
        <v>4.8728748424385886</v>
      </c>
    </row>
  </sheetData>
  <mergeCells count="12">
    <mergeCell ref="C12:F12"/>
    <mergeCell ref="B17:F17"/>
    <mergeCell ref="B18:F18"/>
    <mergeCell ref="D6:E6"/>
    <mergeCell ref="B2:G2"/>
    <mergeCell ref="C5:F5"/>
    <mergeCell ref="C11:F11"/>
    <mergeCell ref="B19:F19"/>
    <mergeCell ref="B20:F20"/>
    <mergeCell ref="B21:F21"/>
    <mergeCell ref="B22:F22"/>
    <mergeCell ref="B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C757-E655-4AB9-91FA-E1AE22FE7E6A}">
  <dimension ref="A1:D23"/>
  <sheetViews>
    <sheetView showGridLines="0" zoomScale="145" zoomScaleNormal="145" workbookViewId="0">
      <pane ySplit="1" topLeftCell="A2" activePane="bottomLeft" state="frozen"/>
      <selection pane="bottomLeft" activeCell="H8" sqref="H8"/>
    </sheetView>
  </sheetViews>
  <sheetFormatPr defaultColWidth="9.19921875" defaultRowHeight="16.5" x14ac:dyDescent="0.45"/>
  <cols>
    <col min="1" max="1" width="14.19921875" style="2" customWidth="1"/>
    <col min="2" max="2" width="11.73046875" style="2" customWidth="1"/>
    <col min="3" max="3" width="8.33203125" style="2" customWidth="1"/>
    <col min="4" max="4" width="10.73046875" style="2" customWidth="1"/>
    <col min="5" max="16384" width="9.19921875" style="2"/>
  </cols>
  <sheetData>
    <row r="1" spans="1:4" x14ac:dyDescent="0.45">
      <c r="A1" s="10" t="str">
        <f>Censal!A1</f>
        <v>Fuente</v>
      </c>
      <c r="B1" s="10" t="str">
        <f>Censal!B1</f>
        <v>Zona</v>
      </c>
      <c r="C1" s="10" t="str">
        <f>Censal!C1</f>
        <v>Fecha</v>
      </c>
      <c r="D1" s="10" t="str">
        <f>Censal!D1</f>
        <v>PTotal</v>
      </c>
    </row>
    <row r="2" spans="1:4" x14ac:dyDescent="0.45">
      <c r="A2" s="2" t="str">
        <f>Censal!A2</f>
        <v>DANE</v>
      </c>
      <c r="B2" s="2" t="str">
        <f>Censal!B2</f>
        <v>Municipio</v>
      </c>
      <c r="C2" s="2">
        <f>Censal!C2</f>
        <v>1905</v>
      </c>
      <c r="D2" s="2">
        <f>Censal!D2</f>
        <v>7108</v>
      </c>
    </row>
    <row r="3" spans="1:4" x14ac:dyDescent="0.45">
      <c r="A3" s="2" t="str">
        <f>Censal!A3</f>
        <v>DANE</v>
      </c>
      <c r="B3" s="2" t="str">
        <f>Censal!B3</f>
        <v>Municipio</v>
      </c>
      <c r="C3" s="2">
        <f>Censal!C3</f>
        <v>1928</v>
      </c>
      <c r="D3" s="2">
        <f>Censal!D3</f>
        <v>11480</v>
      </c>
    </row>
    <row r="4" spans="1:4" x14ac:dyDescent="0.45">
      <c r="A4" s="2" t="str">
        <f>Censal!A4</f>
        <v>DANE</v>
      </c>
      <c r="B4" s="2" t="str">
        <f>Censal!B4</f>
        <v>Municipio</v>
      </c>
      <c r="C4" s="2">
        <f>Censal!C4</f>
        <v>1938</v>
      </c>
      <c r="D4" s="2">
        <f>Censal!D4</f>
        <v>12273</v>
      </c>
    </row>
    <row r="5" spans="1:4" x14ac:dyDescent="0.45">
      <c r="A5" s="2" t="str">
        <f>Censal!A5</f>
        <v>DANE</v>
      </c>
      <c r="B5" s="2" t="str">
        <f>Censal!B5</f>
        <v>Municipio</v>
      </c>
      <c r="C5" s="2">
        <f>Censal!C5</f>
        <v>1951</v>
      </c>
      <c r="D5" s="2">
        <f>Censal!D5</f>
        <v>20628</v>
      </c>
    </row>
    <row r="6" spans="1:4" x14ac:dyDescent="0.45">
      <c r="A6" s="2" t="str">
        <f>Censal!A6</f>
        <v>DANE</v>
      </c>
      <c r="B6" s="2" t="str">
        <f>Censal!B6</f>
        <v>Municipio</v>
      </c>
      <c r="C6" s="2">
        <f>Censal!C6</f>
        <v>1964</v>
      </c>
      <c r="D6" s="2">
        <f>Censal!D6</f>
        <v>27775</v>
      </c>
    </row>
    <row r="7" spans="1:4" x14ac:dyDescent="0.45">
      <c r="A7" s="2" t="str">
        <f>Censal!A7</f>
        <v>DANE</v>
      </c>
      <c r="B7" s="2" t="str">
        <f>Censal!B7</f>
        <v>Municipio</v>
      </c>
      <c r="C7" s="2">
        <f>Censal!C7</f>
        <v>1973</v>
      </c>
      <c r="D7" s="2">
        <f>Censal!D7</f>
        <v>39836</v>
      </c>
    </row>
    <row r="8" spans="1:4" x14ac:dyDescent="0.45">
      <c r="A8" s="2" t="str">
        <f>Censal!A8</f>
        <v>DANE</v>
      </c>
      <c r="B8" s="2" t="str">
        <f>Censal!B8</f>
        <v>Municipio</v>
      </c>
      <c r="C8" s="2">
        <f>Censal!C8</f>
        <v>1985</v>
      </c>
      <c r="D8" s="2">
        <f>Censal!D8</f>
        <v>60202</v>
      </c>
    </row>
    <row r="9" spans="1:4" x14ac:dyDescent="0.45">
      <c r="A9" s="2" t="str">
        <f>Censal!A9</f>
        <v>DANE</v>
      </c>
      <c r="B9" s="2" t="str">
        <f>Censal!B9</f>
        <v>Municipio</v>
      </c>
      <c r="C9" s="2">
        <f>Censal!C9</f>
        <v>1993</v>
      </c>
      <c r="D9" s="2">
        <f>Censal!D9</f>
        <v>69695</v>
      </c>
    </row>
    <row r="10" spans="1:4" x14ac:dyDescent="0.45">
      <c r="A10" s="2" t="str">
        <f>Censal!A10</f>
        <v>DANE</v>
      </c>
      <c r="B10" s="2" t="str">
        <f>Censal!B10</f>
        <v>Municipio</v>
      </c>
      <c r="C10" s="2">
        <f>Censal!C10</f>
        <v>1995</v>
      </c>
      <c r="D10" s="2">
        <f>Censal!D10</f>
        <v>78923</v>
      </c>
    </row>
    <row r="11" spans="1:4" x14ac:dyDescent="0.45">
      <c r="A11" s="2" t="str">
        <f>Censal!A11</f>
        <v>DANE</v>
      </c>
      <c r="B11" s="2" t="str">
        <f>Censal!B11</f>
        <v>Municipio</v>
      </c>
      <c r="C11" s="2">
        <f>Censal!C11</f>
        <v>2005</v>
      </c>
      <c r="D11" s="2">
        <f>Censal!D11</f>
        <v>101551</v>
      </c>
    </row>
    <row r="12" spans="1:4" x14ac:dyDescent="0.45">
      <c r="A12" s="2" t="str">
        <f>Censal!A13</f>
        <v>DANE</v>
      </c>
      <c r="B12" s="2" t="str">
        <f>Censal!B13</f>
        <v>Municipio</v>
      </c>
      <c r="C12" s="2">
        <f>Censal!C13</f>
        <v>2018</v>
      </c>
      <c r="D12" s="2">
        <f>Censal!D13</f>
        <v>129652</v>
      </c>
    </row>
    <row r="13" spans="1:4" x14ac:dyDescent="0.45">
      <c r="A13" s="2" t="str">
        <f>ProyectadaTotal!B19</f>
        <v>Proyectada</v>
      </c>
      <c r="B13" s="2" t="str">
        <f>ProyectadaTotal!C19</f>
        <v>Municipio</v>
      </c>
      <c r="C13" s="2">
        <f>ProyectadaTotal!D19</f>
        <v>2019</v>
      </c>
      <c r="D13" s="2">
        <f>ProyectadaTotal!F19</f>
        <v>128518</v>
      </c>
    </row>
    <row r="14" spans="1:4" x14ac:dyDescent="0.45">
      <c r="A14" s="2" t="str">
        <f>ProyectadaTotal!B20</f>
        <v>Proyectada</v>
      </c>
      <c r="B14" s="2" t="str">
        <f>ProyectadaTotal!C20</f>
        <v>Municipio</v>
      </c>
      <c r="C14" s="2">
        <f>ProyectadaTotal!D20</f>
        <v>2027</v>
      </c>
      <c r="D14" s="2">
        <f>ProyectadaTotal!F20</f>
        <v>148831</v>
      </c>
    </row>
    <row r="15" spans="1:4" x14ac:dyDescent="0.45">
      <c r="A15" s="2" t="str">
        <f>ProyectadaTotal!B21</f>
        <v>Proyectada</v>
      </c>
      <c r="B15" s="2" t="str">
        <f>ProyectadaTotal!C21</f>
        <v>Municipio</v>
      </c>
      <c r="C15" s="2">
        <f>ProyectadaTotal!D21</f>
        <v>2035</v>
      </c>
      <c r="D15" s="2">
        <f>ProyectadaTotal!F21</f>
        <v>170711</v>
      </c>
    </row>
    <row r="16" spans="1:4" x14ac:dyDescent="0.45">
      <c r="A16" s="2" t="str">
        <f>ProyectadaTotal!B22</f>
        <v>Proyectada</v>
      </c>
      <c r="B16" s="2" t="str">
        <f>ProyectadaTotal!C22</f>
        <v>Municipio</v>
      </c>
      <c r="C16" s="2">
        <f>ProyectadaTotal!D22</f>
        <v>2043</v>
      </c>
      <c r="D16" s="2">
        <f>ProyectadaTotal!F22</f>
        <v>194160</v>
      </c>
    </row>
    <row r="17" spans="1:4" x14ac:dyDescent="0.45">
      <c r="A17" s="2" t="str">
        <f>ProyectadaTotal!B23</f>
        <v>Proyectada</v>
      </c>
      <c r="B17" s="2" t="str">
        <f>ProyectadaTotal!C23</f>
        <v>Municipio</v>
      </c>
      <c r="C17" s="2">
        <f>ProyectadaTotal!D23</f>
        <v>2051</v>
      </c>
      <c r="D17" s="2">
        <f>ProyectadaTotal!F23</f>
        <v>219175</v>
      </c>
    </row>
    <row r="18" spans="1:4" x14ac:dyDescent="0.45">
      <c r="A18" s="2" t="str">
        <f>ProyectadaTotal!B24</f>
        <v>Proyectada</v>
      </c>
      <c r="B18" s="2" t="str">
        <f>ProyectadaTotal!C24</f>
        <v>Municipio</v>
      </c>
      <c r="C18" s="2">
        <f>ProyectadaTotal!D24</f>
        <v>2059</v>
      </c>
      <c r="D18" s="2">
        <f>ProyectadaTotal!F24</f>
        <v>245759</v>
      </c>
    </row>
    <row r="19" spans="1:4" x14ac:dyDescent="0.45">
      <c r="A19" s="2" t="str">
        <f>ProyectadaTotal!B25</f>
        <v>Proyectada</v>
      </c>
      <c r="B19" s="2" t="str">
        <f>ProyectadaTotal!C25</f>
        <v>Municipio</v>
      </c>
      <c r="C19" s="2">
        <f>ProyectadaTotal!D25</f>
        <v>2067</v>
      </c>
      <c r="D19" s="2">
        <f>ProyectadaTotal!F25</f>
        <v>273910</v>
      </c>
    </row>
    <row r="20" spans="1:4" x14ac:dyDescent="0.45">
      <c r="A20" s="2" t="str">
        <f>ProyectadaTotal!B26</f>
        <v>Proyectada</v>
      </c>
      <c r="B20" s="2" t="str">
        <f>ProyectadaTotal!C26</f>
        <v>Municipio</v>
      </c>
      <c r="C20" s="2">
        <f>ProyectadaTotal!D26</f>
        <v>2075</v>
      </c>
      <c r="D20" s="2">
        <f>ProyectadaTotal!F26</f>
        <v>303628</v>
      </c>
    </row>
    <row r="21" spans="1:4" x14ac:dyDescent="0.45">
      <c r="A21" s="2" t="str">
        <f>ProyectadaTotal!B27</f>
        <v>Proyectada</v>
      </c>
      <c r="B21" s="2" t="str">
        <f>ProyectadaTotal!C27</f>
        <v>Municipio</v>
      </c>
      <c r="C21" s="2">
        <f>ProyectadaTotal!D27</f>
        <v>2083</v>
      </c>
      <c r="D21" s="2">
        <f>ProyectadaTotal!F27</f>
        <v>334914</v>
      </c>
    </row>
    <row r="22" spans="1:4" x14ac:dyDescent="0.45">
      <c r="A22" s="2" t="str">
        <f>ProyectadaTotal!B28</f>
        <v>Proyectada</v>
      </c>
      <c r="B22" s="2" t="str">
        <f>ProyectadaTotal!C28</f>
        <v>Municipio</v>
      </c>
      <c r="C22" s="2">
        <f>ProyectadaTotal!D28</f>
        <v>2091</v>
      </c>
      <c r="D22" s="2">
        <f>ProyectadaTotal!F28</f>
        <v>367768</v>
      </c>
    </row>
    <row r="23" spans="1:4" x14ac:dyDescent="0.45">
      <c r="A23" s="2" t="str">
        <f>ProyectadaTotal!B29</f>
        <v>Proyectada</v>
      </c>
      <c r="B23" s="2" t="str">
        <f>ProyectadaTotal!C29</f>
        <v>Municipio</v>
      </c>
      <c r="C23" s="2">
        <f>ProyectadaTotal!D29</f>
        <v>2099</v>
      </c>
      <c r="D23" s="2">
        <f>ProyectadaTotal!F29</f>
        <v>402189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Censal</vt:lpstr>
      <vt:lpstr>ProyectadaTotal</vt:lpstr>
      <vt:lpstr>DinamicaDemografica</vt:lpstr>
      <vt:lpstr>PoblacionGIS</vt:lpstr>
      <vt:lpstr>ProyectadaTotalChart</vt:lpstr>
      <vt:lpstr>CensalChart</vt:lpstr>
      <vt:lpstr>PoblacionGISChart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2026-03-30T19:38:39Z</dcterms:modified>
</cp:coreProperties>
</file>