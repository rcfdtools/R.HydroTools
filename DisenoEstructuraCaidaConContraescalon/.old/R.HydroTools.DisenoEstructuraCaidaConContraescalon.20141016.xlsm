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Old\"/>
    </mc:Choice>
  </mc:AlternateContent>
  <xr:revisionPtr revIDLastSave="0" documentId="13_ncr:1_{126CB1B6-8E23-4382-9A90-39C083F48C02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Hoja1" sheetId="1" r:id="rId1"/>
  </sheets>
  <definedNames>
    <definedName name="hc">Hoja1!$E$7</definedName>
    <definedName name="_xlnm.Print_Area" localSheetId="0">Hoja1!$B$2:$T$25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2" i="1" l="1"/>
  <c r="D31" i="1"/>
  <c r="I21" i="1" l="1"/>
  <c r="G21" i="1"/>
  <c r="E21" i="1"/>
  <c r="I9" i="1"/>
  <c r="I10" i="1" s="1"/>
  <c r="G9" i="1"/>
  <c r="G10" i="1" s="1"/>
  <c r="E9" i="1"/>
  <c r="E10" i="1" s="1"/>
  <c r="I13" i="1" l="1"/>
  <c r="I12" i="1"/>
  <c r="I11" i="1"/>
  <c r="G12" i="1"/>
  <c r="G11" i="1"/>
  <c r="G13" i="1"/>
  <c r="E13" i="1"/>
  <c r="E12" i="1"/>
  <c r="E11" i="1"/>
  <c r="D30" i="1" s="1"/>
  <c r="D28" i="1" l="1"/>
  <c r="D29" i="1"/>
  <c r="E14" i="1"/>
  <c r="E15" i="1" s="1"/>
  <c r="C29" i="1" s="1"/>
  <c r="E23" i="1"/>
  <c r="E24" i="1" s="1"/>
  <c r="I14" i="1"/>
  <c r="I15" i="1" s="1"/>
  <c r="I17" i="1"/>
  <c r="I16" i="1"/>
  <c r="G16" i="1"/>
  <c r="G17" i="1"/>
  <c r="G14" i="1"/>
  <c r="G15" i="1" s="1"/>
  <c r="E17" i="1"/>
  <c r="E16" i="1"/>
  <c r="C31" i="1" l="1"/>
  <c r="C32" i="1" s="1"/>
  <c r="C30" i="1"/>
</calcChain>
</file>

<file path=xl/sharedStrings.xml><?xml version="1.0" encoding="utf-8"?>
<sst xmlns="http://schemas.openxmlformats.org/spreadsheetml/2006/main" count="123" uniqueCount="62">
  <si>
    <t>Caudal de diseño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</si>
  <si>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/s</t>
    </r>
  </si>
  <si>
    <t>Altura de la caída</t>
  </si>
  <si>
    <t xml:space="preserve">m </t>
  </si>
  <si>
    <t>Ancho superficial</t>
  </si>
  <si>
    <t>m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</si>
  <si>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 s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</si>
  <si>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</si>
  <si>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Caudal medio</t>
  </si>
  <si>
    <t>m/s</t>
  </si>
  <si>
    <t>DISEÑO DE LAS ESTRUCTURAS DE CAÍDA</t>
  </si>
  <si>
    <t xml:space="preserve">Caudal por unidad de ancho </t>
  </si>
  <si>
    <t>Número de caída</t>
  </si>
  <si>
    <t>Profundidad antes del resalto</t>
  </si>
  <si>
    <t>Profundidad de la piscina</t>
  </si>
  <si>
    <t>Profundidad después del resalto</t>
  </si>
  <si>
    <t>Longitud der resalto</t>
  </si>
  <si>
    <t>Longitud del tanque</t>
  </si>
  <si>
    <t>Altura mínima del obstáculo</t>
  </si>
  <si>
    <t>Altura máxima del obstáculo</t>
  </si>
  <si>
    <t>Altura seleccionada del obstáculo</t>
  </si>
  <si>
    <t>Velocidad en la caída</t>
  </si>
  <si>
    <t>Profundidad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</si>
  <si>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</si>
  <si>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</si>
  <si>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</si>
  <si>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</si>
  <si>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=</t>
  </si>
  <si>
    <t>q</t>
  </si>
  <si>
    <t>Qd</t>
  </si>
  <si>
    <t>hc</t>
  </si>
  <si>
    <t>T</t>
  </si>
  <si>
    <t>Dr</t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</si>
  <si>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</si>
  <si>
    <r>
      <t>y</t>
    </r>
    <r>
      <rPr>
        <vertAlign val="subscript"/>
        <sz val="11"/>
        <color theme="1"/>
        <rFont val="Calibri"/>
        <family val="2"/>
        <scheme val="minor"/>
      </rPr>
      <t>2</t>
    </r>
  </si>
  <si>
    <r>
      <t>Y</t>
    </r>
    <r>
      <rPr>
        <vertAlign val="subscript"/>
        <sz val="11"/>
        <color theme="1"/>
        <rFont val="Calibri"/>
        <family val="2"/>
        <scheme val="minor"/>
      </rPr>
      <t>p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</si>
  <si>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</si>
  <si>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B</t>
    </r>
  </si>
  <si>
    <r>
      <t>h</t>
    </r>
    <r>
      <rPr>
        <vertAlign val="subscript"/>
        <sz val="11"/>
        <color theme="1"/>
        <rFont val="Calibri"/>
        <family val="2"/>
        <scheme val="minor"/>
      </rPr>
      <t>mín</t>
    </r>
  </si>
  <si>
    <r>
      <t>h</t>
    </r>
    <r>
      <rPr>
        <vertAlign val="subscript"/>
        <sz val="11"/>
        <color theme="1"/>
        <rFont val="Calibri"/>
        <family val="2"/>
        <scheme val="minor"/>
      </rPr>
      <t>máx</t>
    </r>
  </si>
  <si>
    <t>h</t>
  </si>
  <si>
    <r>
      <t>V</t>
    </r>
    <r>
      <rPr>
        <vertAlign val="subscript"/>
        <sz val="11"/>
        <color theme="1"/>
        <rFont val="Calibri"/>
        <family val="2"/>
        <scheme val="minor"/>
      </rPr>
      <t>0</t>
    </r>
  </si>
  <si>
    <r>
      <t>y</t>
    </r>
    <r>
      <rPr>
        <vertAlign val="subscript"/>
        <sz val="11"/>
        <color theme="1"/>
        <rFont val="Calibri"/>
        <family val="2"/>
        <scheme val="minor"/>
      </rPr>
      <t>0</t>
    </r>
  </si>
  <si>
    <r>
      <t>E</t>
    </r>
    <r>
      <rPr>
        <vertAlign val="subscript"/>
        <sz val="11"/>
        <color theme="1"/>
        <rFont val="Calibri"/>
        <family val="2"/>
        <scheme val="minor"/>
      </rPr>
      <t>0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</si>
  <si>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</si>
  <si>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>1</t>
    </r>
  </si>
  <si>
    <t>DE</t>
  </si>
  <si>
    <t>Tr = 50
Evento máximo</t>
  </si>
  <si>
    <t>Tr = 2.33
Caudal dominante</t>
  </si>
  <si>
    <t>Parámetros del Modelo</t>
  </si>
  <si>
    <t>Proyecto:</t>
  </si>
  <si>
    <t>Datos de entrada en color rojo</t>
  </si>
  <si>
    <t>Realineamiento No. 4 Arroyo San Antonio</t>
  </si>
  <si>
    <t>Lamina de Agua</t>
  </si>
  <si>
    <t>y2</t>
  </si>
  <si>
    <t>Vert</t>
  </si>
  <si>
    <t>y1</t>
  </si>
  <si>
    <t>y0</t>
  </si>
  <si>
    <t>inicio</t>
  </si>
  <si>
    <t>Parametro</t>
  </si>
  <si>
    <t>Abscisa</t>
  </si>
  <si>
    <t>Elev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</si>
</sst>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2" fontId="0" fillId="0" borderId="3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horizontal="left" vertical="center"/>
    </xf>
    <xf numFmtId="2" fontId="5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4" xfId="0" applyFont="1" applyBorder="1" applyAlignment="1">
      <alignment horizontal="right" vertical="center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Hoja1!$D$27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Hoja1!$C$28:$C$32</c:f>
              <c:numCache>
                <c:formatCode>General</c:formatCode>
                <c:ptCount val="5"/>
                <c:pt idx="0">
                  <c:v>0</c:v>
                </c:pt>
                <c:pt idx="1">
                  <c:v>1.7281185646136834</c:v>
                </c:pt>
                <c:pt idx="2" formatCode="0.00">
                  <c:v>6.6386642811625558</c:v>
                </c:pt>
                <c:pt idx="3" formatCode="0.00">
                  <c:v>10.368711387682101</c:v>
                </c:pt>
                <c:pt idx="4" formatCode="0.00">
                  <c:v>20.737422775364202</c:v>
                </c:pt>
              </c:numCache>
            </c:numRef>
          </c:xVal>
          <c:yVal>
            <c:numRef>
              <c:f>Hoja1!$D$28:$D$32</c:f>
              <c:numCache>
                <c:formatCode>0.00</c:formatCode>
                <c:ptCount val="5"/>
                <c:pt idx="0">
                  <c:v>1.4399716736796377</c:v>
                </c:pt>
                <c:pt idx="1">
                  <c:v>1.3679730899956557</c:v>
                </c:pt>
                <c:pt idx="2">
                  <c:v>0.62154738758815897</c:v>
                </c:pt>
                <c:pt idx="3" formatCode="General">
                  <c:v>2.6900000000000004</c:v>
                </c:pt>
                <c:pt idx="4" formatCode="General">
                  <c:v>2.6900000000000004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18-4D7D-9160-BD1CE9F37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32719328"/>
        <c:axId val="-732720416"/>
      </c:scatterChart>
      <c:valAx>
        <c:axId val="-73271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732720416"/>
        <c:crosses val="autoZero"/>
        <c:crossBetween val="midCat"/>
      </c:valAx>
      <c:valAx>
        <c:axId val="-732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-73271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455298</xdr:colOff>
      <xdr:row>4</xdr:row>
      <xdr:rowOff>511113</xdr:rowOff>
    </xdr:from>
    <xdr:to>
      <xdr:col>19</xdr:col>
      <xdr:colOff>191376</xdr:colOff>
      <xdr:row>21</xdr:row>
      <xdr:rowOff>88210</xdr:rowOff>
    </xdr:to>
    <xdr:grpSp>
      <xdr:nvGrpSpPr>
        <xdr:cNvPr id="70" name="69 Grupo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7346428" y="1294440"/>
          <a:ext cx="7115883" cy="3279423"/>
          <a:chOff x="8764712" y="764391"/>
          <a:chExt cx="6594078" cy="3677120"/>
        </a:xfrm>
      </xdr:grpSpPr>
      <xdr:sp macro="" textlink="">
        <xdr:nvSpPr>
          <xdr:cNvPr id="47" name="46 CuadroTexto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9978290" y="3060394"/>
            <a:ext cx="338135" cy="31644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800"/>
              <a:t>hmin</a:t>
            </a:r>
          </a:p>
          <a:p>
            <a:pPr algn="ctr"/>
            <a:r>
              <a:rPr lang="es-CO" sz="800"/>
              <a:t>hmax</a:t>
            </a:r>
          </a:p>
        </xdr:txBody>
      </xdr:sp>
      <xdr:grpSp>
        <xdr:nvGrpSpPr>
          <xdr:cNvPr id="69" name="68 Grupo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GrpSpPr/>
        </xdr:nvGrpSpPr>
        <xdr:grpSpPr>
          <a:xfrm>
            <a:off x="8764712" y="939874"/>
            <a:ext cx="6526698" cy="3229420"/>
            <a:chOff x="8764712" y="939874"/>
            <a:chExt cx="6526698" cy="3229420"/>
          </a:xfrm>
        </xdr:grpSpPr>
        <xdr:grpSp>
          <xdr:nvGrpSpPr>
            <xdr:cNvPr id="68" name="67 Grupo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pSpPr/>
          </xdr:nvGrpSpPr>
          <xdr:grpSpPr>
            <a:xfrm>
              <a:off x="8764712" y="2384535"/>
              <a:ext cx="6477001" cy="1784759"/>
              <a:chOff x="8764712" y="2384535"/>
              <a:chExt cx="6477001" cy="1784759"/>
            </a:xfrm>
          </xdr:grpSpPr>
          <xdr:grpSp>
            <xdr:nvGrpSpPr>
              <xdr:cNvPr id="66" name="65 Grupo">
                <a:extLst>
                  <a:ext uri="{FF2B5EF4-FFF2-40B4-BE49-F238E27FC236}">
                    <a16:creationId xmlns:a16="http://schemas.microsoft.com/office/drawing/2014/main" id="{00000000-0008-0000-0000-000042000000}"/>
                  </a:ext>
                </a:extLst>
              </xdr:cNvPr>
              <xdr:cNvGrpSpPr/>
            </xdr:nvGrpSpPr>
            <xdr:grpSpPr>
              <a:xfrm>
                <a:off x="8764712" y="2384535"/>
                <a:ext cx="6477001" cy="1784759"/>
                <a:chOff x="8764712" y="2384535"/>
                <a:chExt cx="6477001" cy="1784759"/>
              </a:xfrm>
            </xdr:grpSpPr>
            <xdr:sp macro="" textlink="">
              <xdr:nvSpPr>
                <xdr:cNvPr id="64" name="63 Forma libre">
                  <a:extLst>
                    <a:ext uri="{FF2B5EF4-FFF2-40B4-BE49-F238E27FC236}">
                      <a16:creationId xmlns:a16="http://schemas.microsoft.com/office/drawing/2014/main" id="{00000000-0008-0000-0000-000040000000}"/>
                    </a:ext>
                  </a:extLst>
                </xdr:cNvPr>
                <xdr:cNvSpPr/>
              </xdr:nvSpPr>
              <xdr:spPr>
                <a:xfrm>
                  <a:off x="8764712" y="2485354"/>
                  <a:ext cx="6477001" cy="1683940"/>
                </a:xfrm>
                <a:custGeom>
                  <a:avLst/>
                  <a:gdLst>
                    <a:gd name="connsiteX0" fmla="*/ 0 w 6501848"/>
                    <a:gd name="connsiteY0" fmla="*/ 1076739 h 1697934"/>
                    <a:gd name="connsiteX1" fmla="*/ 0 w 6501848"/>
                    <a:gd name="connsiteY1" fmla="*/ 1697934 h 1697934"/>
                    <a:gd name="connsiteX2" fmla="*/ 6501848 w 6501848"/>
                    <a:gd name="connsiteY2" fmla="*/ 1697934 h 1697934"/>
                    <a:gd name="connsiteX3" fmla="*/ 6501848 w 6501848"/>
                    <a:gd name="connsiteY3" fmla="*/ 0 h 1697934"/>
                    <a:gd name="connsiteX4" fmla="*/ 4182718 w 6501848"/>
                    <a:gd name="connsiteY4" fmla="*/ 0 h 1697934"/>
                    <a:gd name="connsiteX5" fmla="*/ 4182718 w 6501848"/>
                    <a:gd name="connsiteY5" fmla="*/ 1035326 h 1697934"/>
                    <a:gd name="connsiteX6" fmla="*/ 0 w 6501848"/>
                    <a:gd name="connsiteY6" fmla="*/ 1076739 h 169793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6501848" h="1697934">
                      <a:moveTo>
                        <a:pt x="0" y="1076739"/>
                      </a:moveTo>
                      <a:lnTo>
                        <a:pt x="0" y="1697934"/>
                      </a:lnTo>
                      <a:lnTo>
                        <a:pt x="6501848" y="1697934"/>
                      </a:lnTo>
                      <a:lnTo>
                        <a:pt x="6501848" y="0"/>
                      </a:lnTo>
                      <a:lnTo>
                        <a:pt x="4182718" y="0"/>
                      </a:lnTo>
                      <a:lnTo>
                        <a:pt x="4182718" y="1035326"/>
                      </a:lnTo>
                      <a:lnTo>
                        <a:pt x="0" y="1076739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1"/>
                  <a:tile tx="0" ty="0" sx="100000" sy="100000" flip="none" algn="tl"/>
                </a:blip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/>
                </a:p>
              </xdr:txBody>
            </xdr:sp>
            <xdr:sp macro="" textlink="">
              <xdr:nvSpPr>
                <xdr:cNvPr id="2" name="1 Forma libre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SpPr/>
              </xdr:nvSpPr>
              <xdr:spPr>
                <a:xfrm>
                  <a:off x="9772161" y="2384535"/>
                  <a:ext cx="5452986" cy="1259681"/>
                </a:xfrm>
                <a:custGeom>
                  <a:avLst/>
                  <a:gdLst>
                    <a:gd name="connsiteX0" fmla="*/ 0 w 5449956"/>
                    <a:gd name="connsiteY0" fmla="*/ 1068457 h 1258957"/>
                    <a:gd name="connsiteX1" fmla="*/ 3081130 w 5449956"/>
                    <a:gd name="connsiteY1" fmla="*/ 1068457 h 1258957"/>
                    <a:gd name="connsiteX2" fmla="*/ 3081130 w 5449956"/>
                    <a:gd name="connsiteY2" fmla="*/ 0 h 1258957"/>
                    <a:gd name="connsiteX3" fmla="*/ 5449956 w 5449956"/>
                    <a:gd name="connsiteY3" fmla="*/ 0 h 1258957"/>
                    <a:gd name="connsiteX4" fmla="*/ 5449956 w 5449956"/>
                    <a:gd name="connsiteY4" fmla="*/ 190500 h 1258957"/>
                    <a:gd name="connsiteX5" fmla="*/ 3279913 w 5449956"/>
                    <a:gd name="connsiteY5" fmla="*/ 190500 h 1258957"/>
                    <a:gd name="connsiteX6" fmla="*/ 3279913 w 5449956"/>
                    <a:gd name="connsiteY6" fmla="*/ 1258957 h 1258957"/>
                    <a:gd name="connsiteX7" fmla="*/ 24848 w 5449956"/>
                    <a:gd name="connsiteY7" fmla="*/ 1258957 h 1258957"/>
                    <a:gd name="connsiteX8" fmla="*/ 0 w 5449956"/>
                    <a:gd name="connsiteY8" fmla="*/ 1068457 h 1258957"/>
                    <a:gd name="connsiteX0" fmla="*/ 3030 w 5452986"/>
                    <a:gd name="connsiteY0" fmla="*/ 1068457 h 1268353"/>
                    <a:gd name="connsiteX1" fmla="*/ 3084160 w 5452986"/>
                    <a:gd name="connsiteY1" fmla="*/ 1068457 h 1268353"/>
                    <a:gd name="connsiteX2" fmla="*/ 3084160 w 5452986"/>
                    <a:gd name="connsiteY2" fmla="*/ 0 h 1268353"/>
                    <a:gd name="connsiteX3" fmla="*/ 5452986 w 5452986"/>
                    <a:gd name="connsiteY3" fmla="*/ 0 h 1268353"/>
                    <a:gd name="connsiteX4" fmla="*/ 5452986 w 5452986"/>
                    <a:gd name="connsiteY4" fmla="*/ 190500 h 1268353"/>
                    <a:gd name="connsiteX5" fmla="*/ 3282943 w 5452986"/>
                    <a:gd name="connsiteY5" fmla="*/ 190500 h 1268353"/>
                    <a:gd name="connsiteX6" fmla="*/ 3282943 w 5452986"/>
                    <a:gd name="connsiteY6" fmla="*/ 1258957 h 1268353"/>
                    <a:gd name="connsiteX7" fmla="*/ 0 w 5452986"/>
                    <a:gd name="connsiteY7" fmla="*/ 1268353 h 1268353"/>
                    <a:gd name="connsiteX8" fmla="*/ 3030 w 5452986"/>
                    <a:gd name="connsiteY8" fmla="*/ 1068457 h 12683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5452986" h="1268353">
                      <a:moveTo>
                        <a:pt x="3030" y="1068457"/>
                      </a:moveTo>
                      <a:lnTo>
                        <a:pt x="3084160" y="1068457"/>
                      </a:lnTo>
                      <a:lnTo>
                        <a:pt x="3084160" y="0"/>
                      </a:lnTo>
                      <a:lnTo>
                        <a:pt x="5452986" y="0"/>
                      </a:lnTo>
                      <a:lnTo>
                        <a:pt x="5452986" y="190500"/>
                      </a:lnTo>
                      <a:lnTo>
                        <a:pt x="3282943" y="190500"/>
                      </a:lnTo>
                      <a:lnTo>
                        <a:pt x="3282943" y="1258957"/>
                      </a:lnTo>
                      <a:lnTo>
                        <a:pt x="0" y="1268353"/>
                      </a:lnTo>
                      <a:lnTo>
                        <a:pt x="3030" y="1068457"/>
                      </a:lnTo>
                      <a:close/>
                    </a:path>
                  </a:pathLst>
                </a:custGeom>
                <a:pattFill prst="wdDnDiag">
                  <a:fgClr>
                    <a:schemeClr val="accent1"/>
                  </a:fgClr>
                  <a:bgClr>
                    <a:schemeClr val="bg1"/>
                  </a:bgClr>
                </a:pattFill>
                <a:ln w="3175">
                  <a:solidFill>
                    <a:schemeClr val="tx1">
                      <a:lumMod val="95000"/>
                      <a:lumOff val="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>
                    <a:ln w="3175">
                      <a:noFill/>
                    </a:ln>
                  </a:endParaRPr>
                </a:p>
              </xdr:txBody>
            </xdr:sp>
            <xdr:sp macro="" textlink="">
              <xdr:nvSpPr>
                <xdr:cNvPr id="20" name="19 Retraso">
                  <a:extLst>
                    <a:ext uri="{FF2B5EF4-FFF2-40B4-BE49-F238E27FC236}">
                      <a16:creationId xmlns:a16="http://schemas.microsoft.com/office/drawing/2014/main" id="{00000000-0008-0000-0000-000014000000}"/>
                    </a:ext>
                  </a:extLst>
                </xdr:cNvPr>
                <xdr:cNvSpPr/>
              </xdr:nvSpPr>
              <xdr:spPr>
                <a:xfrm flipH="1">
                  <a:off x="12521312" y="2384535"/>
                  <a:ext cx="335882" cy="301307"/>
                </a:xfrm>
                <a:prstGeom prst="flowChartDelay">
                  <a:avLst/>
                </a:prstGeom>
                <a:solidFill>
                  <a:schemeClr val="bg2">
                    <a:lumMod val="90000"/>
                  </a:schemeClr>
                </a:solidFill>
                <a:ln w="3175"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s-CO" sz="1100">
                    <a:ln w="3175">
                      <a:noFill/>
                    </a:ln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sp macro="" textlink="">
            <xdr:nvSpPr>
              <xdr:cNvPr id="4" name="3 Rectángulo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SpPr/>
            </xdr:nvSpPr>
            <xdr:spPr>
              <a:xfrm rot="16200000">
                <a:off x="9091949" y="3117908"/>
                <a:ext cx="185951" cy="835270"/>
              </a:xfrm>
              <a:prstGeom prst="rect">
                <a:avLst/>
              </a:prstGeom>
              <a:pattFill prst="wdDnDiag">
                <a:fgClr>
                  <a:schemeClr val="accent1"/>
                </a:fgClr>
                <a:bgClr>
                  <a:schemeClr val="bg1"/>
                </a:bgClr>
              </a:patt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" name="2 Rectángulo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>
              <a:xfrm>
                <a:off x="9599027" y="3006709"/>
                <a:ext cx="183173" cy="1028152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7" name="6 Forma libr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8814410" y="939874"/>
              <a:ext cx="6477000" cy="1825633"/>
            </a:xfrm>
            <a:custGeom>
              <a:avLst/>
              <a:gdLst>
                <a:gd name="connsiteX0" fmla="*/ 6435587 w 6435587"/>
                <a:gd name="connsiteY0" fmla="*/ 21244 h 1794266"/>
                <a:gd name="connsiteX1" fmla="*/ 4596848 w 6435587"/>
                <a:gd name="connsiteY1" fmla="*/ 37809 h 1794266"/>
                <a:gd name="connsiteX2" fmla="*/ 3602935 w 6435587"/>
                <a:gd name="connsiteY2" fmla="*/ 369114 h 1794266"/>
                <a:gd name="connsiteX3" fmla="*/ 3246782 w 6435587"/>
                <a:gd name="connsiteY3" fmla="*/ 634157 h 1794266"/>
                <a:gd name="connsiteX4" fmla="*/ 2948609 w 6435587"/>
                <a:gd name="connsiteY4" fmla="*/ 1064853 h 1794266"/>
                <a:gd name="connsiteX5" fmla="*/ 2749826 w 6435587"/>
                <a:gd name="connsiteY5" fmla="*/ 1536961 h 1794266"/>
                <a:gd name="connsiteX6" fmla="*/ 2575891 w 6435587"/>
                <a:gd name="connsiteY6" fmla="*/ 1719179 h 1794266"/>
                <a:gd name="connsiteX7" fmla="*/ 2178326 w 6435587"/>
                <a:gd name="connsiteY7" fmla="*/ 1793722 h 1794266"/>
                <a:gd name="connsiteX8" fmla="*/ 1755913 w 6435587"/>
                <a:gd name="connsiteY8" fmla="*/ 1686048 h 1794266"/>
                <a:gd name="connsiteX9" fmla="*/ 1209261 w 6435587"/>
                <a:gd name="connsiteY9" fmla="*/ 1421005 h 1794266"/>
                <a:gd name="connsiteX10" fmla="*/ 728869 w 6435587"/>
                <a:gd name="connsiteY10" fmla="*/ 1346461 h 1794266"/>
                <a:gd name="connsiteX11" fmla="*/ 0 w 6435587"/>
                <a:gd name="connsiteY11" fmla="*/ 1346461 h 1794266"/>
                <a:gd name="connsiteX0" fmla="*/ 6477000 w 6477000"/>
                <a:gd name="connsiteY0" fmla="*/ 8913 h 1823348"/>
                <a:gd name="connsiteX1" fmla="*/ 4596848 w 6477000"/>
                <a:gd name="connsiteY1" fmla="*/ 66891 h 1823348"/>
                <a:gd name="connsiteX2" fmla="*/ 3602935 w 6477000"/>
                <a:gd name="connsiteY2" fmla="*/ 398196 h 1823348"/>
                <a:gd name="connsiteX3" fmla="*/ 3246782 w 6477000"/>
                <a:gd name="connsiteY3" fmla="*/ 663239 h 1823348"/>
                <a:gd name="connsiteX4" fmla="*/ 2948609 w 6477000"/>
                <a:gd name="connsiteY4" fmla="*/ 1093935 h 1823348"/>
                <a:gd name="connsiteX5" fmla="*/ 2749826 w 6477000"/>
                <a:gd name="connsiteY5" fmla="*/ 1566043 h 1823348"/>
                <a:gd name="connsiteX6" fmla="*/ 2575891 w 6477000"/>
                <a:gd name="connsiteY6" fmla="*/ 1748261 h 1823348"/>
                <a:gd name="connsiteX7" fmla="*/ 2178326 w 6477000"/>
                <a:gd name="connsiteY7" fmla="*/ 1822804 h 1823348"/>
                <a:gd name="connsiteX8" fmla="*/ 1755913 w 6477000"/>
                <a:gd name="connsiteY8" fmla="*/ 1715130 h 1823348"/>
                <a:gd name="connsiteX9" fmla="*/ 1209261 w 6477000"/>
                <a:gd name="connsiteY9" fmla="*/ 1450087 h 1823348"/>
                <a:gd name="connsiteX10" fmla="*/ 728869 w 6477000"/>
                <a:gd name="connsiteY10" fmla="*/ 1375543 h 1823348"/>
                <a:gd name="connsiteX11" fmla="*/ 0 w 6477000"/>
                <a:gd name="connsiteY11" fmla="*/ 1375543 h 18233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6477000" h="1823348">
                  <a:moveTo>
                    <a:pt x="6477000" y="8913"/>
                  </a:moveTo>
                  <a:cubicBezTo>
                    <a:pt x="5793685" y="-11794"/>
                    <a:pt x="5075859" y="2011"/>
                    <a:pt x="4596848" y="66891"/>
                  </a:cubicBezTo>
                  <a:cubicBezTo>
                    <a:pt x="4117837" y="131771"/>
                    <a:pt x="3827946" y="298805"/>
                    <a:pt x="3602935" y="398196"/>
                  </a:cubicBezTo>
                  <a:cubicBezTo>
                    <a:pt x="3377924" y="497587"/>
                    <a:pt x="3355836" y="547283"/>
                    <a:pt x="3246782" y="663239"/>
                  </a:cubicBezTo>
                  <a:cubicBezTo>
                    <a:pt x="3137728" y="779195"/>
                    <a:pt x="3031435" y="943468"/>
                    <a:pt x="2948609" y="1093935"/>
                  </a:cubicBezTo>
                  <a:cubicBezTo>
                    <a:pt x="2865783" y="1244402"/>
                    <a:pt x="2811946" y="1456989"/>
                    <a:pt x="2749826" y="1566043"/>
                  </a:cubicBezTo>
                  <a:cubicBezTo>
                    <a:pt x="2687706" y="1675097"/>
                    <a:pt x="2671141" y="1705468"/>
                    <a:pt x="2575891" y="1748261"/>
                  </a:cubicBezTo>
                  <a:cubicBezTo>
                    <a:pt x="2480641" y="1791054"/>
                    <a:pt x="2314989" y="1828326"/>
                    <a:pt x="2178326" y="1822804"/>
                  </a:cubicBezTo>
                  <a:cubicBezTo>
                    <a:pt x="2041663" y="1817282"/>
                    <a:pt x="1917424" y="1777250"/>
                    <a:pt x="1755913" y="1715130"/>
                  </a:cubicBezTo>
                  <a:cubicBezTo>
                    <a:pt x="1594402" y="1653011"/>
                    <a:pt x="1380435" y="1506685"/>
                    <a:pt x="1209261" y="1450087"/>
                  </a:cubicBezTo>
                  <a:cubicBezTo>
                    <a:pt x="1038087" y="1393489"/>
                    <a:pt x="930412" y="1387967"/>
                    <a:pt x="728869" y="1375543"/>
                  </a:cubicBezTo>
                  <a:cubicBezTo>
                    <a:pt x="527326" y="1363119"/>
                    <a:pt x="263663" y="1369331"/>
                    <a:pt x="0" y="1375543"/>
                  </a:cubicBezTo>
                </a:path>
              </a:pathLst>
            </a:custGeom>
            <a:noFill/>
            <a:ln w="3175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8" name="7 CuadroText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486879" y="764391"/>
            <a:ext cx="871911" cy="17001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Lámina de </a:t>
            </a:r>
            <a:r>
              <a:rPr lang="es-CO" sz="900" baseline="0"/>
              <a:t>agua</a:t>
            </a:r>
            <a:endParaRPr lang="es-CO" sz="900"/>
          </a:p>
        </xdr:txBody>
      </xdr:sp>
      <xdr:grpSp>
        <xdr:nvGrpSpPr>
          <xdr:cNvPr id="13" name="12 Grupo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14376181" y="792624"/>
            <a:ext cx="111578" cy="141088"/>
            <a:chOff x="14382750" y="793533"/>
            <a:chExt cx="111578" cy="141088"/>
          </a:xfrm>
        </xdr:grpSpPr>
        <xdr:sp macro="" textlink="">
          <xdr:nvSpPr>
            <xdr:cNvPr id="9" name="8 Triángulo isósceles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 flipV="1">
              <a:off x="14382750" y="836105"/>
              <a:ext cx="111578" cy="98516"/>
            </a:xfrm>
            <a:prstGeom prst="triangl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cxnSp macro="">
          <xdr:nvCxnSpPr>
            <xdr:cNvPr id="11" name="10 Conector recto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CxnSpPr/>
          </xdr:nvCxnSpPr>
          <xdr:spPr>
            <a:xfrm flipH="1">
              <a:off x="14384007" y="813221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  <xdr:cxnSp macro="">
          <xdr:nvCxnSpPr>
            <xdr:cNvPr id="12" name="11 Conector rect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/>
          </xdr:nvCxnSpPr>
          <xdr:spPr>
            <a:xfrm flipH="1">
              <a:off x="14382757" y="793533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cxnSp macro="">
        <xdr:nvCxnSpPr>
          <xdr:cNvPr id="16" name="15 Conector rect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>
            <a:stCxn id="2" idx="2"/>
          </xdr:cNvCxnSpPr>
        </xdr:nvCxnSpPr>
        <xdr:spPr>
          <a:xfrm flipV="1">
            <a:off x="12856321" y="1155852"/>
            <a:ext cx="1" cy="122868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12746793" y="1722725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Yo</a:t>
            </a:r>
          </a:p>
        </xdr:txBody>
      </xdr:sp>
      <xdr:cxnSp macro="">
        <xdr:nvCxnSpPr>
          <xdr:cNvPr id="17" name="16 Conector recto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 flipV="1">
            <a:off x="12711804" y="2693276"/>
            <a:ext cx="0" cy="75257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2602276" y="3000819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Yp</a:t>
            </a:r>
          </a:p>
        </xdr:txBody>
      </xdr:sp>
      <xdr:cxnSp macro="">
        <xdr:nvCxnSpPr>
          <xdr:cNvPr id="21" name="20 Conector recto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12384213" y="2227165"/>
            <a:ext cx="337628" cy="319003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23 CuadroText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2156391" y="1928034"/>
            <a:ext cx="376276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bolsa de aire</a:t>
            </a:r>
          </a:p>
        </xdr:txBody>
      </xdr:sp>
      <xdr:cxnSp macro="">
        <xdr:nvCxnSpPr>
          <xdr:cNvPr id="25" name="24 Conector rect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 flipV="1">
            <a:off x="12324237" y="2399574"/>
            <a:ext cx="0" cy="1045069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25 CuadroTexto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204683" y="2854918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hc</a:t>
            </a:r>
          </a:p>
        </xdr:txBody>
      </xdr:sp>
      <xdr:cxnSp macro="">
        <xdr:nvCxnSpPr>
          <xdr:cNvPr id="28" name="27 Conector rect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 flipV="1">
            <a:off x="11010788" y="2771485"/>
            <a:ext cx="0" cy="683972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10901260" y="3024673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y1</a:t>
            </a:r>
          </a:p>
        </xdr:txBody>
      </xdr:sp>
      <xdr:cxnSp macro="">
        <xdr:nvCxnSpPr>
          <xdr:cNvPr id="30" name="29 Conector recto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 flipV="1">
            <a:off x="9905888" y="2990380"/>
            <a:ext cx="0" cy="455051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30 CuadroTexto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9841110" y="3135707"/>
            <a:ext cx="146599" cy="16330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</a:t>
            </a:r>
          </a:p>
        </xdr:txBody>
      </xdr:sp>
      <xdr:cxnSp macro="">
        <xdr:nvCxnSpPr>
          <xdr:cNvPr id="33" name="32 Conector recto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 flipV="1">
            <a:off x="9160217" y="2308334"/>
            <a:ext cx="0" cy="113165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33 CuadroTexto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9050689" y="2811941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y2</a:t>
            </a:r>
          </a:p>
        </xdr:txBody>
      </xdr:sp>
      <xdr:cxnSp macro="">
        <xdr:nvCxnSpPr>
          <xdr:cNvPr id="36" name="35 Conector recto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9" idx="0"/>
          </xdr:cNvCxnSpPr>
        </xdr:nvCxnSpPr>
        <xdr:spPr>
          <a:xfrm flipH="1" flipV="1">
            <a:off x="12847028" y="3618393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38 Elipse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2766544" y="4249311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0</a:t>
            </a:r>
          </a:p>
        </xdr:txBody>
      </xdr:sp>
      <xdr:cxnSp macro="">
        <xdr:nvCxnSpPr>
          <xdr:cNvPr id="41" name="40 Conector recto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>
            <a:stCxn id="42" idx="0"/>
          </xdr:cNvCxnSpPr>
        </xdr:nvCxnSpPr>
        <xdr:spPr>
          <a:xfrm flipH="1" flipV="1">
            <a:off x="11012785" y="3629279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41 Elipse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0932301" y="4260197"/>
            <a:ext cx="180000" cy="181314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1</a:t>
            </a:r>
          </a:p>
        </xdr:txBody>
      </xdr:sp>
      <xdr:cxnSp macro="">
        <xdr:nvCxnSpPr>
          <xdr:cNvPr id="43" name="42 Conector recto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>
            <a:stCxn id="44" idx="0"/>
          </xdr:cNvCxnSpPr>
        </xdr:nvCxnSpPr>
        <xdr:spPr>
          <a:xfrm flipH="1" flipV="1">
            <a:off x="9156771" y="3623836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43 Elipse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076287" y="4254754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2</a:t>
            </a:r>
          </a:p>
        </xdr:txBody>
      </xdr:sp>
      <xdr:cxnSp macro="">
        <xdr:nvCxnSpPr>
          <xdr:cNvPr id="48" name="47 Conector recto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CxnSpPr/>
        </xdr:nvCxnSpPr>
        <xdr:spPr>
          <a:xfrm>
            <a:off x="9664969" y="2182413"/>
            <a:ext cx="1370135" cy="732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50 CuadroTexto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0241837" y="2102757"/>
            <a:ext cx="236099" cy="158808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lj</a:t>
            </a:r>
          </a:p>
        </xdr:txBody>
      </xdr:sp>
      <xdr:cxnSp macro="">
        <xdr:nvCxnSpPr>
          <xdr:cNvPr id="53" name="52 Conector recto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>
            <a:off x="9788062" y="3942694"/>
            <a:ext cx="3071446" cy="0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53 CuadroTexto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11346737" y="3804101"/>
            <a:ext cx="236099" cy="166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LB</a:t>
            </a:r>
          </a:p>
        </xdr:txBody>
      </xdr:sp>
      <xdr:grpSp>
        <xdr:nvGrpSpPr>
          <xdr:cNvPr id="63" name="62 Grupo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14555197" y="1482606"/>
            <a:ext cx="627517" cy="140987"/>
            <a:chOff x="14917918" y="1478036"/>
            <a:chExt cx="627517" cy="139558"/>
          </a:xfrm>
        </xdr:grpSpPr>
        <xdr:sp macro="" textlink="">
          <xdr:nvSpPr>
            <xdr:cNvPr id="59" name="58 CuadroTexto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 txBox="1"/>
          </xdr:nvSpPr>
          <xdr:spPr>
            <a:xfrm>
              <a:off x="15307237" y="1478036"/>
              <a:ext cx="238198" cy="13955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CO" sz="900"/>
                <a:t>Qd</a:t>
              </a:r>
            </a:p>
          </xdr:txBody>
        </xdr:sp>
        <xdr:cxnSp macro="">
          <xdr:nvCxnSpPr>
            <xdr:cNvPr id="56" name="55 Conector recto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CxnSpPr/>
          </xdr:nvCxnSpPr>
          <xdr:spPr>
            <a:xfrm flipH="1">
              <a:off x="14917918" y="1554147"/>
              <a:ext cx="387515" cy="1"/>
            </a:xfrm>
            <a:prstGeom prst="line">
              <a:avLst/>
            </a:prstGeom>
            <a:ln w="76200">
              <a:solidFill>
                <a:schemeClr val="bg1">
                  <a:lumMod val="75000"/>
                </a:schemeClr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371475</xdr:colOff>
          <xdr:row>3</xdr:row>
          <xdr:rowOff>19050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331305</xdr:colOff>
      <xdr:row>22</xdr:row>
      <xdr:rowOff>102704</xdr:rowOff>
    </xdr:from>
    <xdr:to>
      <xdr:col>19</xdr:col>
      <xdr:colOff>364435</xdr:colOff>
      <xdr:row>32</xdr:row>
      <xdr:rowOff>57978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J32"/>
  <sheetViews>
    <sheetView showGridLines="0" tabSelected="1" zoomScale="115" zoomScaleNormal="115" workbookViewId="0"/>
  </sheetViews>
  <sheetFormatPr defaultColWidth="11.3984375" defaultRowHeight="14.25" x14ac:dyDescent="0.45"/>
  <cols>
    <col min="1" max="1" width="3" style="2" customWidth="1"/>
    <col min="2" max="2" width="32.1328125" style="1" customWidth="1"/>
    <col min="3" max="3" width="6.73046875" style="4" customWidth="1"/>
    <col min="4" max="4" width="7.86328125" style="4" customWidth="1"/>
    <col min="5" max="5" width="8" style="2" customWidth="1"/>
    <col min="6" max="6" width="7.265625" style="2" bestFit="1" customWidth="1"/>
    <col min="7" max="7" width="7.59765625" style="2" customWidth="1"/>
    <col min="8" max="8" width="8" style="2" customWidth="1"/>
    <col min="9" max="9" width="7.3984375" style="2" customWidth="1"/>
    <col min="10" max="10" width="8.265625" style="2" customWidth="1"/>
    <col min="11" max="16384" width="11.3984375" style="2"/>
  </cols>
  <sheetData>
    <row r="2" spans="2:10" ht="18" x14ac:dyDescent="0.45">
      <c r="C2" s="24" t="s">
        <v>10</v>
      </c>
      <c r="D2" s="24"/>
      <c r="E2" s="24"/>
      <c r="F2" s="24"/>
      <c r="G2" s="24"/>
      <c r="H2" s="24"/>
      <c r="I2" s="24"/>
      <c r="J2" s="24"/>
    </row>
    <row r="3" spans="2:10" x14ac:dyDescent="0.45">
      <c r="B3" s="17" t="s">
        <v>50</v>
      </c>
      <c r="C3" s="29" t="s">
        <v>52</v>
      </c>
      <c r="D3" s="29"/>
      <c r="E3" s="29"/>
      <c r="F3" s="29"/>
      <c r="G3" s="29"/>
      <c r="H3" s="29"/>
      <c r="I3" s="29"/>
      <c r="J3" s="27"/>
    </row>
    <row r="4" spans="2:10" x14ac:dyDescent="0.45">
      <c r="C4" s="3"/>
      <c r="D4" s="3"/>
    </row>
    <row r="5" spans="2:10" ht="45" customHeight="1" x14ac:dyDescent="0.45">
      <c r="B5" s="28" t="s">
        <v>49</v>
      </c>
      <c r="C5" s="29"/>
      <c r="D5" s="27"/>
      <c r="E5" s="25" t="s">
        <v>47</v>
      </c>
      <c r="F5" s="27"/>
      <c r="G5" s="25" t="s">
        <v>48</v>
      </c>
      <c r="H5" s="26"/>
      <c r="I5" s="25" t="s">
        <v>8</v>
      </c>
      <c r="J5" s="26"/>
    </row>
    <row r="6" spans="2:10" ht="15.75" x14ac:dyDescent="0.45">
      <c r="B6" s="5" t="s">
        <v>0</v>
      </c>
      <c r="C6" s="6" t="s">
        <v>29</v>
      </c>
      <c r="D6" s="7" t="s">
        <v>27</v>
      </c>
      <c r="E6" s="18">
        <v>248.2</v>
      </c>
      <c r="F6" s="11" t="s">
        <v>1</v>
      </c>
      <c r="G6" s="18">
        <v>55.2</v>
      </c>
      <c r="H6" s="11" t="s">
        <v>1</v>
      </c>
      <c r="I6" s="18">
        <v>3.96</v>
      </c>
      <c r="J6" s="11" t="s">
        <v>1</v>
      </c>
    </row>
    <row r="7" spans="2:10" x14ac:dyDescent="0.45">
      <c r="B7" s="5" t="s">
        <v>2</v>
      </c>
      <c r="C7" s="6" t="s">
        <v>30</v>
      </c>
      <c r="D7" s="7" t="s">
        <v>27</v>
      </c>
      <c r="E7" s="18">
        <v>0.53</v>
      </c>
      <c r="F7" s="11" t="s">
        <v>3</v>
      </c>
      <c r="G7" s="18">
        <v>0.53</v>
      </c>
      <c r="H7" s="11" t="s">
        <v>3</v>
      </c>
      <c r="I7" s="18">
        <v>0.53</v>
      </c>
      <c r="J7" s="11" t="s">
        <v>3</v>
      </c>
    </row>
    <row r="8" spans="2:10" x14ac:dyDescent="0.45">
      <c r="B8" s="5" t="s">
        <v>4</v>
      </c>
      <c r="C8" s="6" t="s">
        <v>31</v>
      </c>
      <c r="D8" s="7" t="s">
        <v>27</v>
      </c>
      <c r="E8" s="18">
        <v>82.49</v>
      </c>
      <c r="F8" s="11" t="s">
        <v>5</v>
      </c>
      <c r="G8" s="18">
        <v>27.28</v>
      </c>
      <c r="H8" s="11" t="s">
        <v>5</v>
      </c>
      <c r="I8" s="18">
        <v>25.5</v>
      </c>
      <c r="J8" s="11" t="s">
        <v>5</v>
      </c>
    </row>
    <row r="9" spans="2:10" ht="15.75" x14ac:dyDescent="0.45">
      <c r="B9" s="5" t="s">
        <v>11</v>
      </c>
      <c r="C9" s="6" t="s">
        <v>28</v>
      </c>
      <c r="D9" s="7" t="s">
        <v>27</v>
      </c>
      <c r="E9" s="12">
        <f>+E6/E8</f>
        <v>3.0088495575221241</v>
      </c>
      <c r="F9" s="11" t="s">
        <v>6</v>
      </c>
      <c r="G9" s="12">
        <f>+G6/G8</f>
        <v>2.0234604105571847</v>
      </c>
      <c r="H9" s="11" t="s">
        <v>6</v>
      </c>
      <c r="I9" s="12">
        <f>+I6/I8</f>
        <v>0.15529411764705883</v>
      </c>
      <c r="J9" s="11" t="s">
        <v>6</v>
      </c>
    </row>
    <row r="10" spans="2:10" ht="15.75" x14ac:dyDescent="0.45">
      <c r="B10" s="5" t="s">
        <v>12</v>
      </c>
      <c r="C10" s="6" t="s">
        <v>32</v>
      </c>
      <c r="D10" s="7" t="s">
        <v>27</v>
      </c>
      <c r="E10" s="12">
        <f>+E9^2/9.806/E7^3</f>
        <v>6.2012815473364631</v>
      </c>
      <c r="F10" s="11" t="s">
        <v>7</v>
      </c>
      <c r="G10" s="12">
        <f>+G9^2/9.806/G7^3</f>
        <v>2.8045935168493443</v>
      </c>
      <c r="H10" s="11" t="s">
        <v>7</v>
      </c>
      <c r="I10" s="12">
        <f>+I9^2/9.806/I7^3</f>
        <v>1.6519257131667655E-2</v>
      </c>
      <c r="J10" s="11" t="s">
        <v>7</v>
      </c>
    </row>
    <row r="11" spans="2:10" ht="15.75" x14ac:dyDescent="0.45">
      <c r="B11" s="5" t="s">
        <v>13</v>
      </c>
      <c r="C11" s="6" t="s">
        <v>33</v>
      </c>
      <c r="D11" s="7" t="s">
        <v>27</v>
      </c>
      <c r="E11" s="12">
        <f>0.54*E10^0.425*E7</f>
        <v>0.62154738758815897</v>
      </c>
      <c r="F11" s="11" t="s">
        <v>5</v>
      </c>
      <c r="G11" s="12">
        <f>0.54*G10^0.425*G7</f>
        <v>0.44362329976645076</v>
      </c>
      <c r="H11" s="11" t="s">
        <v>5</v>
      </c>
      <c r="I11" s="12">
        <f>0.54*I10^0.425*I7</f>
        <v>5.0039803725684E-2</v>
      </c>
      <c r="J11" s="11" t="s">
        <v>5</v>
      </c>
    </row>
    <row r="12" spans="2:10" ht="15.75" x14ac:dyDescent="0.45">
      <c r="B12" s="5" t="s">
        <v>15</v>
      </c>
      <c r="C12" s="6" t="s">
        <v>34</v>
      </c>
      <c r="D12" s="7" t="s">
        <v>27</v>
      </c>
      <c r="E12" s="12">
        <f>1.66*E10^0.27*E7</f>
        <v>1.4399716736796377</v>
      </c>
      <c r="F12" s="11" t="s">
        <v>5</v>
      </c>
      <c r="G12" s="12">
        <f>1.66*G10^0.27*G7</f>
        <v>1.1622748425589491</v>
      </c>
      <c r="H12" s="11" t="s">
        <v>5</v>
      </c>
      <c r="I12" s="12">
        <f>1.66*I10^0.27*I7</f>
        <v>0.29056372615895998</v>
      </c>
      <c r="J12" s="11" t="s">
        <v>5</v>
      </c>
    </row>
    <row r="13" spans="2:10" ht="15.75" x14ac:dyDescent="0.45">
      <c r="B13" s="5" t="s">
        <v>14</v>
      </c>
      <c r="C13" s="6" t="s">
        <v>35</v>
      </c>
      <c r="D13" s="7" t="s">
        <v>27</v>
      </c>
      <c r="E13" s="12">
        <f>+E10^0.22*E7</f>
        <v>0.79181146984968398</v>
      </c>
      <c r="F13" s="11" t="s">
        <v>5</v>
      </c>
      <c r="G13" s="12">
        <f>+G10^0.22*G7</f>
        <v>0.66497796301199807</v>
      </c>
      <c r="H13" s="11" t="s">
        <v>5</v>
      </c>
      <c r="I13" s="12">
        <f>+I10^0.22*I7</f>
        <v>0.2148986971425999</v>
      </c>
      <c r="J13" s="11" t="s">
        <v>5</v>
      </c>
    </row>
    <row r="14" spans="2:10" ht="15.75" x14ac:dyDescent="0.45">
      <c r="B14" s="5" t="s">
        <v>16</v>
      </c>
      <c r="C14" s="6" t="s">
        <v>36</v>
      </c>
      <c r="D14" s="7" t="s">
        <v>27</v>
      </c>
      <c r="E14" s="12">
        <f>6*(E12-E11)</f>
        <v>4.9105457165488726</v>
      </c>
      <c r="F14" s="11" t="s">
        <v>5</v>
      </c>
      <c r="G14" s="12">
        <f>6*(G12-G11)</f>
        <v>4.3119092567549897</v>
      </c>
      <c r="H14" s="11" t="s">
        <v>5</v>
      </c>
      <c r="I14" s="12">
        <f>6*(I12-I11)</f>
        <v>1.4431435345996557</v>
      </c>
      <c r="J14" s="11" t="s">
        <v>5</v>
      </c>
    </row>
    <row r="15" spans="2:10" ht="15.75" x14ac:dyDescent="0.45">
      <c r="B15" s="5" t="s">
        <v>17</v>
      </c>
      <c r="C15" s="6" t="s">
        <v>37</v>
      </c>
      <c r="D15" s="7" t="s">
        <v>27</v>
      </c>
      <c r="E15" s="12">
        <f>E7*(4.3*E10^0.27)+E14</f>
        <v>8.6405928230684168</v>
      </c>
      <c r="F15" s="11" t="s">
        <v>5</v>
      </c>
      <c r="G15" s="12">
        <f>G7*(4.3*G10^0.27)+G14</f>
        <v>7.3226211983233522</v>
      </c>
      <c r="H15" s="11" t="s">
        <v>5</v>
      </c>
      <c r="I15" s="12">
        <f>I7*(4.3*I10^0.27)+I14</f>
        <v>2.1958086083849135</v>
      </c>
      <c r="J15" s="11" t="s">
        <v>5</v>
      </c>
    </row>
    <row r="16" spans="2:10" ht="15.75" x14ac:dyDescent="0.45">
      <c r="B16" s="5" t="s">
        <v>18</v>
      </c>
      <c r="C16" s="6" t="s">
        <v>38</v>
      </c>
      <c r="D16" s="7" t="s">
        <v>27</v>
      </c>
      <c r="E16" s="12">
        <f>0.5*E11</f>
        <v>0.31077369379407949</v>
      </c>
      <c r="F16" s="11" t="s">
        <v>5</v>
      </c>
      <c r="G16" s="12">
        <f>0.5*G11</f>
        <v>0.22181164988322538</v>
      </c>
      <c r="H16" s="11" t="s">
        <v>5</v>
      </c>
      <c r="I16" s="12">
        <f>0.5*I11</f>
        <v>2.5019901862842E-2</v>
      </c>
      <c r="J16" s="11" t="s">
        <v>5</v>
      </c>
    </row>
    <row r="17" spans="2:10" ht="15.75" x14ac:dyDescent="0.45">
      <c r="B17" s="5" t="s">
        <v>19</v>
      </c>
      <c r="C17" s="6" t="s">
        <v>39</v>
      </c>
      <c r="D17" s="7" t="s">
        <v>27</v>
      </c>
      <c r="E17" s="12">
        <f>4*E11</f>
        <v>2.4861895503526359</v>
      </c>
      <c r="F17" s="11" t="s">
        <v>5</v>
      </c>
      <c r="G17" s="12">
        <f>4*G11</f>
        <v>1.7744931990658031</v>
      </c>
      <c r="H17" s="11" t="s">
        <v>5</v>
      </c>
      <c r="I17" s="12">
        <f>4*I11</f>
        <v>0.200159214902736</v>
      </c>
      <c r="J17" s="11" t="s">
        <v>5</v>
      </c>
    </row>
    <row r="18" spans="2:10" x14ac:dyDescent="0.45">
      <c r="B18" s="5" t="s">
        <v>20</v>
      </c>
      <c r="C18" s="6" t="s">
        <v>40</v>
      </c>
      <c r="D18" s="7" t="s">
        <v>27</v>
      </c>
      <c r="E18" s="19">
        <v>0.35</v>
      </c>
      <c r="F18" s="11" t="s">
        <v>5</v>
      </c>
      <c r="G18" s="19">
        <v>0.35</v>
      </c>
      <c r="H18" s="11" t="s">
        <v>5</v>
      </c>
      <c r="I18" s="19">
        <v>0.35</v>
      </c>
      <c r="J18" s="11" t="s">
        <v>5</v>
      </c>
    </row>
    <row r="19" spans="2:10" ht="15.75" x14ac:dyDescent="0.45">
      <c r="B19" s="5" t="s">
        <v>21</v>
      </c>
      <c r="C19" s="6" t="s">
        <v>41</v>
      </c>
      <c r="D19" s="7" t="s">
        <v>27</v>
      </c>
      <c r="E19" s="19">
        <v>3.86</v>
      </c>
      <c r="F19" s="11" t="s">
        <v>9</v>
      </c>
      <c r="G19" s="19">
        <v>2.74</v>
      </c>
      <c r="H19" s="11"/>
      <c r="I19" s="19">
        <v>1.18</v>
      </c>
      <c r="J19" s="11" t="s">
        <v>9</v>
      </c>
    </row>
    <row r="20" spans="2:10" ht="15.75" x14ac:dyDescent="0.45">
      <c r="B20" s="5" t="s">
        <v>22</v>
      </c>
      <c r="C20" s="6" t="s">
        <v>42</v>
      </c>
      <c r="D20" s="7" t="s">
        <v>27</v>
      </c>
      <c r="E20" s="19">
        <v>2.16</v>
      </c>
      <c r="F20" s="11" t="s">
        <v>5</v>
      </c>
      <c r="G20" s="19">
        <v>0.78</v>
      </c>
      <c r="H20" s="11"/>
      <c r="I20" s="19">
        <v>0.13</v>
      </c>
      <c r="J20" s="11" t="s">
        <v>5</v>
      </c>
    </row>
    <row r="21" spans="2:10" ht="15.75" x14ac:dyDescent="0.45">
      <c r="B21" s="5" t="s">
        <v>23</v>
      </c>
      <c r="C21" s="6" t="s">
        <v>43</v>
      </c>
      <c r="D21" s="7" t="s">
        <v>27</v>
      </c>
      <c r="E21" s="12">
        <f>+E19^2/19.62+E20</f>
        <v>2.9194087665647297</v>
      </c>
      <c r="F21" s="11" t="s">
        <v>5</v>
      </c>
      <c r="G21" s="12">
        <f>+G19^2/19.62+G20</f>
        <v>1.1626503567787971</v>
      </c>
      <c r="H21" s="11" t="s">
        <v>5</v>
      </c>
      <c r="I21" s="12">
        <f>+I19^2/19.62+I20</f>
        <v>0.20096839959225279</v>
      </c>
      <c r="J21" s="11" t="s">
        <v>5</v>
      </c>
    </row>
    <row r="22" spans="2:10" ht="15.75" x14ac:dyDescent="0.45">
      <c r="B22" s="5" t="s">
        <v>24</v>
      </c>
      <c r="C22" s="6" t="s">
        <v>44</v>
      </c>
      <c r="D22" s="7" t="s">
        <v>27</v>
      </c>
      <c r="E22" s="19">
        <v>6.51</v>
      </c>
      <c r="F22" s="11" t="s">
        <v>9</v>
      </c>
      <c r="G22" s="15"/>
      <c r="H22" s="11"/>
      <c r="I22" s="15"/>
      <c r="J22" s="11"/>
    </row>
    <row r="23" spans="2:10" ht="15.75" x14ac:dyDescent="0.45">
      <c r="B23" s="5" t="s">
        <v>25</v>
      </c>
      <c r="C23" s="6" t="s">
        <v>45</v>
      </c>
      <c r="D23" s="7" t="s">
        <v>27</v>
      </c>
      <c r="E23" s="12">
        <f>+E12*E22^2/19.62</f>
        <v>3.1104048688945167</v>
      </c>
      <c r="F23" s="11" t="s">
        <v>5</v>
      </c>
      <c r="G23" s="15"/>
      <c r="H23" s="11"/>
      <c r="I23" s="15"/>
      <c r="J23" s="11"/>
    </row>
    <row r="24" spans="2:10" x14ac:dyDescent="0.45">
      <c r="B24" s="8" t="s">
        <v>26</v>
      </c>
      <c r="C24" s="9" t="s">
        <v>46</v>
      </c>
      <c r="D24" s="10" t="s">
        <v>27</v>
      </c>
      <c r="E24" s="13">
        <f>+E21+E7-E23</f>
        <v>0.33900389767021322</v>
      </c>
      <c r="F24" s="14" t="s">
        <v>5</v>
      </c>
      <c r="G24" s="16"/>
      <c r="H24" s="14"/>
      <c r="I24" s="16"/>
      <c r="J24" s="14"/>
    </row>
    <row r="25" spans="2:10" x14ac:dyDescent="0.45">
      <c r="B25" s="20" t="s">
        <v>51</v>
      </c>
    </row>
    <row r="26" spans="2:10" x14ac:dyDescent="0.45">
      <c r="C26" s="23" t="s">
        <v>53</v>
      </c>
      <c r="D26" s="23"/>
    </row>
    <row r="27" spans="2:10" x14ac:dyDescent="0.45">
      <c r="B27" s="2" t="s">
        <v>59</v>
      </c>
      <c r="C27" s="1" t="s">
        <v>60</v>
      </c>
      <c r="D27" s="4" t="s">
        <v>61</v>
      </c>
    </row>
    <row r="28" spans="2:10" x14ac:dyDescent="0.45">
      <c r="B28" s="2" t="s">
        <v>54</v>
      </c>
      <c r="C28" s="1">
        <v>0</v>
      </c>
      <c r="D28" s="22">
        <f>+E12</f>
        <v>1.4399716736796377</v>
      </c>
    </row>
    <row r="29" spans="2:10" x14ac:dyDescent="0.45">
      <c r="B29" s="2" t="s">
        <v>55</v>
      </c>
      <c r="C29" s="1">
        <f>0.2*E15</f>
        <v>1.7281185646136834</v>
      </c>
      <c r="D29" s="22">
        <f>+E12*0.95</f>
        <v>1.3679730899956557</v>
      </c>
    </row>
    <row r="30" spans="2:10" x14ac:dyDescent="0.45">
      <c r="B30" s="2" t="s">
        <v>56</v>
      </c>
      <c r="C30" s="21">
        <f>+C29+E14</f>
        <v>6.6386642811625558</v>
      </c>
      <c r="D30" s="22">
        <f>+E11</f>
        <v>0.62154738758815897</v>
      </c>
    </row>
    <row r="31" spans="2:10" x14ac:dyDescent="0.45">
      <c r="B31" s="2" t="s">
        <v>57</v>
      </c>
      <c r="C31" s="21">
        <f>+C29+E15</f>
        <v>10.368711387682101</v>
      </c>
      <c r="D31" s="4">
        <f>+hc+E20</f>
        <v>2.6900000000000004</v>
      </c>
    </row>
    <row r="32" spans="2:10" x14ac:dyDescent="0.45">
      <c r="B32" s="2" t="s">
        <v>58</v>
      </c>
      <c r="C32" s="21">
        <f>+C31*2</f>
        <v>20.737422775364202</v>
      </c>
      <c r="D32" s="4">
        <f>+hc+E20</f>
        <v>2.6900000000000004</v>
      </c>
    </row>
  </sheetData>
  <mergeCells count="7">
    <mergeCell ref="C26:D26"/>
    <mergeCell ref="C2:J2"/>
    <mergeCell ref="G5:H5"/>
    <mergeCell ref="E5:F5"/>
    <mergeCell ref="B5:D5"/>
    <mergeCell ref="I5:J5"/>
    <mergeCell ref="C3:J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314325</xdr:colOff>
                <xdr:row>3</xdr:row>
                <xdr:rowOff>28575</xdr:rowOff>
              </to>
            </anchor>
          </controlPr>
        </control>
      </mc:Choice>
      <mc:Fallback>
        <control shapeId="1025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Hoja1</vt:lpstr>
      <vt:lpstr>hc</vt:lpstr>
      <vt:lpstr>Hoja1!Print_Area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2022-07-25T15:25:23Z</dcterms:modified>
</cp:coreProperties>
</file>