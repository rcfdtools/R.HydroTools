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58D9C743-7FB1-43E8-AEF9-E862507B8241}" xr6:coauthVersionLast="47" xr6:coauthVersionMax="47" xr10:uidLastSave="{00000000-0000-0000-0000-000000000000}"/>
  <bookViews>
    <workbookView xWindow="-28920" yWindow="-120" windowWidth="29040" windowHeight="15720" activeTab="5" xr2:uid="{00000000-000D-0000-FFFF-FFFF00000000}"/>
  </bookViews>
  <sheets>
    <sheet name="INICIO" sheetId="5" r:id="rId1"/>
    <sheet name="DiseñoSinuoso" sheetId="4" r:id="rId2"/>
    <sheet name="ProcedimientoARCGIS" sheetId="6" r:id="rId3"/>
    <sheet name="CALCULOSINUOSIDAD" sheetId="1" r:id="rId4"/>
    <sheet name="Hoja2" sheetId="3" r:id="rId5"/>
    <sheet name="Hoja1" sheetId="2" r:id="rId6"/>
  </sheets>
  <definedNames>
    <definedName name="_xlnm._FilterDatabase" localSheetId="3" hidden="1">CALCULOSINUOSIDAD!$A$1:$U$27</definedName>
    <definedName name="alphaSemilla">DiseñoSinuoso!$D$9</definedName>
    <definedName name="alphaVal">DiseñoSinuoso!$D$10</definedName>
    <definedName name="_xlnm.Database">CALCULOSINUOSIDAD!$B$1:$M$27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4" l="1"/>
  <c r="D6" i="4" s="1"/>
  <c r="D8" i="4" l="1"/>
  <c r="D14" i="4" s="1"/>
  <c r="D10" i="4" l="1"/>
  <c r="D11" i="4"/>
  <c r="D16" i="4"/>
  <c r="D12" i="4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L30" i="1"/>
  <c r="M30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" i="1"/>
  <c r="E30" i="1"/>
  <c r="F30" i="1" s="1"/>
  <c r="R28" i="1"/>
  <c r="Y26" i="1" s="1"/>
  <c r="D6" i="2"/>
  <c r="D5" i="2"/>
  <c r="W3" i="1"/>
  <c r="W4" i="1"/>
  <c r="W5" i="1"/>
  <c r="W6" i="1"/>
  <c r="W7" i="1"/>
  <c r="W8" i="1"/>
  <c r="W9" i="1"/>
  <c r="W10" i="1"/>
  <c r="W11" i="1"/>
  <c r="W13" i="1"/>
  <c r="W14" i="1"/>
  <c r="W15" i="1"/>
  <c r="W16" i="1"/>
  <c r="W17" i="1"/>
  <c r="W18" i="1"/>
  <c r="W19" i="1"/>
  <c r="W20" i="1"/>
  <c r="W21" i="1"/>
  <c r="W23" i="1"/>
  <c r="W24" i="1"/>
  <c r="W25" i="1"/>
  <c r="W26" i="1"/>
  <c r="W22" i="1"/>
  <c r="W27" i="1"/>
  <c r="W12" i="1"/>
  <c r="W2" i="1"/>
  <c r="D15" i="4" l="1"/>
  <c r="D13" i="4"/>
  <c r="D17" i="4" s="1"/>
  <c r="Y11" i="1"/>
  <c r="Y27" i="1"/>
  <c r="Y4" i="1"/>
  <c r="Y12" i="1"/>
  <c r="Y20" i="1"/>
  <c r="Y5" i="1"/>
  <c r="Y13" i="1"/>
  <c r="Y21" i="1"/>
  <c r="Y6" i="1"/>
  <c r="Y14" i="1"/>
  <c r="Y22" i="1"/>
  <c r="Y2" i="1"/>
  <c r="Y3" i="1"/>
  <c r="Y19" i="1"/>
  <c r="Y7" i="1"/>
  <c r="Y15" i="1"/>
  <c r="Y23" i="1"/>
  <c r="Y8" i="1"/>
  <c r="Y16" i="1"/>
  <c r="Y24" i="1"/>
  <c r="Y9" i="1"/>
  <c r="Y17" i="1"/>
  <c r="Y25" i="1"/>
  <c r="Y10" i="1"/>
  <c r="Y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D9" authorId="0" shapeId="0" xr:uid="{00000000-0006-0000-0100-000001000000}">
      <text>
        <r>
          <rPr>
            <sz val="9"/>
            <color indexed="81"/>
            <rFont val="Tahoma"/>
            <family val="2"/>
          </rPr>
          <t>Ingrese cero</t>
        </r>
      </text>
    </comment>
  </commentList>
</comments>
</file>

<file path=xl/sharedStrings.xml><?xml version="1.0" encoding="utf-8"?>
<sst xmlns="http://schemas.openxmlformats.org/spreadsheetml/2006/main" count="167" uniqueCount="106">
  <si>
    <t>Shape_Leng</t>
  </si>
  <si>
    <t>HydroID</t>
  </si>
  <si>
    <t>Slp</t>
  </si>
  <si>
    <t>ElevUP</t>
  </si>
  <si>
    <t>ElevDS</t>
  </si>
  <si>
    <t>RivLen</t>
  </si>
  <si>
    <t>Name</t>
  </si>
  <si>
    <t>CX</t>
  </si>
  <si>
    <t>CY</t>
  </si>
  <si>
    <t>CZ</t>
  </si>
  <si>
    <t>FeatureID</t>
  </si>
  <si>
    <t>DownElemID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</si>
  <si>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</si>
  <si>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</si>
  <si>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</si>
  <si>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</si>
  <si>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</si>
  <si>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</si>
  <si>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</si>
  <si>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</si>
  <si>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</si>
  <si>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</si>
  <si>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</si>
  <si>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</si>
  <si>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</si>
  <si>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</si>
  <si>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</si>
  <si>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</si>
  <si>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</si>
  <si>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</si>
  <si>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</si>
  <si>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</si>
  <si>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</si>
  <si>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</si>
  <si>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</si>
  <si>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</si>
  <si>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</si>
  <si>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</si>
  <si>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ADIMENSIONAL</t>
  </si>
  <si>
    <t>VALOR MINIMO</t>
  </si>
  <si>
    <t>VALOR MAXIMO</t>
  </si>
  <si>
    <t>PNAME</t>
  </si>
  <si>
    <t>x</t>
  </si>
  <si>
    <t>y</t>
  </si>
  <si>
    <t>clase_punt</t>
  </si>
  <si>
    <t>QMedNatCen</t>
  </si>
  <si>
    <t>QMedNatTur</t>
  </si>
  <si>
    <t>E422</t>
  </si>
  <si>
    <t>ECI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</si>
  <si>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</si>
  <si>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</si>
  <si>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</si>
  <si>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</si>
  <si>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</si>
  <si>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</si>
  <si>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</si>
  <si>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</si>
  <si>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</si>
  <si>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</si>
  <si>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</si>
  <si>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</si>
  <si>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</si>
  <si>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</si>
  <si>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</si>
  <si>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</si>
  <si>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</si>
  <si>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</si>
  <si>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Drummond</t>
  </si>
  <si>
    <t>D24</t>
  </si>
  <si>
    <t>D7</t>
  </si>
  <si>
    <t>QmP</t>
  </si>
  <si>
    <t>L_entre_nodos</t>
  </si>
  <si>
    <t>L_Suavizado_Peak_2000m</t>
  </si>
  <si>
    <t>IndiceSinuosidad1</t>
  </si>
  <si>
    <t>IndiceSinuosidad2</t>
  </si>
  <si>
    <t>Lm</t>
  </si>
  <si>
    <t>α</t>
  </si>
  <si>
    <t>αSem</t>
  </si>
  <si>
    <t>αVal</t>
  </si>
  <si>
    <t>αGrados</t>
  </si>
  <si>
    <t>n</t>
  </si>
  <si>
    <t>h</t>
  </si>
  <si>
    <t>Lc (m)</t>
  </si>
  <si>
    <t>Lr (m)</t>
  </si>
  <si>
    <t>B (m)</t>
  </si>
  <si>
    <t>Longitud de la llanura</t>
  </si>
  <si>
    <t>Amplitud de onda</t>
  </si>
  <si>
    <t>Número de repeticiones</t>
  </si>
  <si>
    <t>FUNCION OBJETIVO PARA RESOLVER ALPHA</t>
  </si>
  <si>
    <t>Definir la celda = 0</t>
  </si>
  <si>
    <t>Cambiando la celda</t>
  </si>
  <si>
    <t>Angulo de apertura</t>
  </si>
  <si>
    <t>Hipotenusa</t>
  </si>
  <si>
    <t>Longitud de onda</t>
  </si>
  <si>
    <t>Verificación Lr (m)</t>
  </si>
  <si>
    <t>Diseño Sinuoso</t>
  </si>
  <si>
    <t>Parámetros</t>
  </si>
  <si>
    <t>RESULTADOS</t>
  </si>
  <si>
    <t>Proyecto:</t>
  </si>
  <si>
    <t>Realineamiento definitivo Arroyo El Zorro</t>
  </si>
  <si>
    <t>Descripción:</t>
  </si>
  <si>
    <t>DISEÑO HIDRÁULICO del eje de realineamiento definitivo del Arroyo El Zorro usando radio de curvatura de 1.9km sin sinuosidad</t>
  </si>
  <si>
    <t>Modelo:</t>
  </si>
  <si>
    <t>Factor de Sinuosidad</t>
  </si>
  <si>
    <t>s</t>
  </si>
  <si>
    <t>Longitud del río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</si>
</sst>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0000000"/>
    <numFmt numFmtId="165" formatCode="0.00000000"/>
    <numFmt numFmtId="166" formatCode="0.000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sz val="12"/>
      <color theme="1"/>
      <name val="Symbol"/>
      <family val="1"/>
      <charset val="2"/>
    </font>
    <font>
      <sz val="9"/>
      <color indexed="81"/>
      <name val="Tahoma"/>
      <family val="2"/>
    </font>
    <font>
      <sz val="10"/>
      <color theme="1"/>
      <name val="Calibri Light"/>
      <family val="2"/>
    </font>
    <font>
      <sz val="10"/>
      <color rgb="FF0070C0"/>
      <name val="Calibri Light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5">
    <xf numFmtId="0" fontId="0" fillId="0" borderId="0" xfId="0"/>
    <xf numFmtId="1" fontId="0" fillId="0" borderId="0" xfId="0" applyNumberFormat="1"/>
    <xf numFmtId="164" fontId="0" fillId="0" borderId="0" xfId="0" applyNumberFormat="1"/>
    <xf numFmtId="1" fontId="0" fillId="33" borderId="0" xfId="0" applyNumberForma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0" fillId="34" borderId="0" xfId="0" applyNumberFormat="1" applyFill="1"/>
    <xf numFmtId="167" fontId="0" fillId="34" borderId="0" xfId="0" applyNumberFormat="1" applyFill="1"/>
    <xf numFmtId="2" fontId="0" fillId="35" borderId="0" xfId="0" applyNumberFormat="1" applyFill="1" applyAlignment="1">
      <alignment horizontal="center"/>
    </xf>
    <xf numFmtId="9" fontId="0" fillId="0" borderId="0" xfId="2" applyFont="1"/>
    <xf numFmtId="164" fontId="0" fillId="33" borderId="0" xfId="0" applyNumberFormat="1" applyFill="1"/>
    <xf numFmtId="43" fontId="0" fillId="0" borderId="0" xfId="1" applyFont="1"/>
    <xf numFmtId="1" fontId="18" fillId="0" borderId="0" xfId="0" applyNumberFormat="1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36" borderId="18" xfId="0" applyFill="1" applyBorder="1" applyAlignment="1">
      <alignment vertical="center" wrapText="1"/>
    </xf>
    <xf numFmtId="0" fontId="19" fillId="38" borderId="19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/>
    </xf>
    <xf numFmtId="0" fontId="20" fillId="38" borderId="19" xfId="0" applyFont="1" applyFill="1" applyBorder="1" applyAlignment="1">
      <alignment horizontal="left" vertical="center" wrapText="1"/>
    </xf>
    <xf numFmtId="1" fontId="0" fillId="36" borderId="0" xfId="0" applyNumberFormat="1" applyFill="1"/>
    <xf numFmtId="164" fontId="0" fillId="36" borderId="0" xfId="0" applyNumberFormat="1" applyFill="1"/>
    <xf numFmtId="165" fontId="0" fillId="36" borderId="0" xfId="0" applyNumberFormat="1" applyFill="1"/>
    <xf numFmtId="2" fontId="0" fillId="36" borderId="0" xfId="0" applyNumberFormat="1" applyFill="1" applyAlignment="1">
      <alignment horizontal="center"/>
    </xf>
    <xf numFmtId="0" fontId="0" fillId="36" borderId="0" xfId="0" applyFill="1"/>
    <xf numFmtId="0" fontId="23" fillId="0" borderId="0" xfId="0" applyFont="1" applyAlignment="1">
      <alignment vertical="center"/>
    </xf>
    <xf numFmtId="0" fontId="23" fillId="36" borderId="11" xfId="0" applyFont="1" applyFill="1" applyBorder="1" applyAlignment="1">
      <alignment vertical="center"/>
    </xf>
    <xf numFmtId="1" fontId="24" fillId="0" borderId="11" xfId="0" applyNumberFormat="1" applyFont="1" applyBorder="1" applyAlignment="1">
      <alignment horizontal="center" vertical="center"/>
    </xf>
    <xf numFmtId="0" fontId="23" fillId="0" borderId="12" xfId="0" applyFont="1" applyBorder="1" applyAlignment="1">
      <alignment vertical="center"/>
    </xf>
    <xf numFmtId="166" fontId="24" fillId="0" borderId="0" xfId="0" applyNumberFormat="1" applyFont="1" applyBorder="1" applyAlignment="1">
      <alignment horizontal="center" vertical="center"/>
    </xf>
    <xf numFmtId="0" fontId="23" fillId="0" borderId="14" xfId="0" applyFont="1" applyBorder="1" applyAlignment="1">
      <alignment vertical="center"/>
    </xf>
    <xf numFmtId="0" fontId="23" fillId="36" borderId="0" xfId="0" applyFont="1" applyFill="1" applyBorder="1" applyAlignment="1">
      <alignment vertical="center"/>
    </xf>
    <xf numFmtId="1" fontId="24" fillId="0" borderId="0" xfId="0" applyNumberFormat="1" applyFont="1" applyBorder="1" applyAlignment="1">
      <alignment horizontal="center" vertical="center"/>
    </xf>
    <xf numFmtId="0" fontId="23" fillId="36" borderId="16" xfId="0" applyFont="1" applyFill="1" applyBorder="1" applyAlignment="1">
      <alignment vertical="center"/>
    </xf>
    <xf numFmtId="0" fontId="24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166" fontId="23" fillId="0" borderId="11" xfId="0" applyNumberFormat="1" applyFont="1" applyBorder="1" applyAlignment="1">
      <alignment horizontal="center" vertical="center"/>
    </xf>
    <xf numFmtId="166" fontId="23" fillId="0" borderId="16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7" fontId="23" fillId="0" borderId="0" xfId="0" applyNumberFormat="1" applyFont="1" applyBorder="1" applyAlignment="1">
      <alignment horizontal="center" vertical="center"/>
    </xf>
    <xf numFmtId="167" fontId="23" fillId="0" borderId="16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36" borderId="0" xfId="0" applyFont="1" applyFill="1" applyBorder="1" applyAlignment="1">
      <alignment vertical="center" wrapText="1"/>
    </xf>
    <xf numFmtId="0" fontId="23" fillId="37" borderId="10" xfId="0" applyFont="1" applyFill="1" applyBorder="1" applyAlignment="1">
      <alignment horizontal="center" vertical="center" wrapText="1"/>
    </xf>
    <xf numFmtId="0" fontId="23" fillId="37" borderId="13" xfId="0" applyFont="1" applyFill="1" applyBorder="1" applyAlignment="1">
      <alignment horizontal="center" vertical="center" wrapText="1"/>
    </xf>
    <xf numFmtId="0" fontId="23" fillId="37" borderId="15" xfId="0" applyFont="1" applyFill="1" applyBorder="1" applyAlignment="1">
      <alignment horizontal="center" vertical="center" wrapText="1"/>
    </xf>
    <xf numFmtId="0" fontId="23" fillId="36" borderId="10" xfId="0" applyFont="1" applyFill="1" applyBorder="1" applyAlignment="1">
      <alignment horizontal="center" vertical="center"/>
    </xf>
    <xf numFmtId="0" fontId="23" fillId="36" borderId="11" xfId="0" applyFont="1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23" fillId="37" borderId="13" xfId="0" applyFont="1" applyFill="1" applyBorder="1" applyAlignment="1">
      <alignment horizontal="center" vertical="center"/>
    </xf>
    <xf numFmtId="0" fontId="23" fillId="37" borderId="15" xfId="0" applyFont="1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Indice</a:t>
            </a:r>
            <a:r>
              <a:rPr lang="en-US" baseline="0"/>
              <a:t> de Sinuosidad1 Vs Longitud tramo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CALCULOSINUOSIDAD!$Y$1</c:f>
              <c:strCache>
                <c:ptCount val="1"/>
                <c:pt idx="0">
                  <c:v>QmP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CALCULOSINUOSIDAD!$C$2:$C$27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CALCULOSINUOSIDAD!$W$2:$W$28</c:f>
              <c:numCache>
                <c:formatCode>0.00</c:formatCode>
                <c:ptCount val="27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D-4719-840F-47BD15022989}"/>
            </c:ext>
          </c:extLst>
        </c:ser>
        <c:ser>
          <c:idx val="0"/>
          <c:order val="1"/>
          <c:tx>
            <c:strRef>
              <c:f>CALCULOSINUOSIDAD!$Y$1</c:f>
              <c:strCache>
                <c:ptCount val="1"/>
                <c:pt idx="0">
                  <c:v>QmP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4.2224358318846508E-2"/>
                  <c:y val="0.32781954927237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CALCULOSINUOSIDAD!$C$2:$C$27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CALCULOSINUOSIDAD!$W$2:$W$27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D-4719-840F-47BD150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64720"/>
        <c:axId val="-38257648"/>
      </c:scatterChart>
      <c:valAx>
        <c:axId val="-3826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57648"/>
        <c:crosses val="autoZero"/>
        <c:crossBetween val="midCat"/>
      </c:valAx>
      <c:valAx>
        <c:axId val="-3825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Indice</a:t>
            </a:r>
            <a:r>
              <a:rPr lang="en-US" baseline="0"/>
              <a:t> de Sinuosidad2 Vs Longitud tramo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CALCULOSINUOSIDAD!$Y$1</c:f>
              <c:strCache>
                <c:ptCount val="1"/>
                <c:pt idx="0">
                  <c:v>QmP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4.2224358318846508E-2"/>
                  <c:y val="0.32781954927237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CALCULOSINUOSIDAD!$C$2:$C$27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CALCULOSINUOSIDAD!$X$2:$X$27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D-422B-8F2B-0A7617046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53840"/>
        <c:axId val="-38262000"/>
      </c:scatterChart>
      <c:valAx>
        <c:axId val="-3825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2000"/>
        <c:crosses val="autoZero"/>
        <c:crossBetween val="midCat"/>
      </c:valAx>
      <c:valAx>
        <c:axId val="-3826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5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Indice</a:t>
            </a:r>
            <a:r>
              <a:rPr lang="en-US" baseline="0"/>
              <a:t> de Sinuosidad2 Vs Qm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CALCULOSINUOSIDAD!$Y$1</c:f>
              <c:strCache>
                <c:ptCount val="1"/>
                <c:pt idx="0">
                  <c:v>QmP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4.2224358318846508E-2"/>
                  <c:y val="0.32781954927237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CALCULOSINUOSIDAD!$R$2:$R$27</c:f>
              <c:numCache>
                <c:formatCode>0.00000000000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CALCULOSINUOSIDAD!$X$2:$X$27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3-4579-8273-5C957B243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68528"/>
        <c:axId val="-38267984"/>
      </c:scatterChart>
      <c:valAx>
        <c:axId val="-382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7984"/>
        <c:crosses val="autoZero"/>
        <c:crossBetween val="midCat"/>
      </c:valAx>
      <c:valAx>
        <c:axId val="-38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Hoja2!$C$3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Hoja2!$C$4:$C$24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90-4776-8CD4-876125752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66352"/>
        <c:axId val="-38265264"/>
      </c:scatterChart>
      <c:valAx>
        <c:axId val="-382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5264"/>
        <c:crosses val="autoZero"/>
        <c:crossBetween val="midCat"/>
      </c:valAx>
      <c:valAx>
        <c:axId val="-3826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3826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561975</xdr:colOff>
      <xdr:row>5</xdr:row>
      <xdr:rowOff>142875</xdr:rowOff>
    </xdr:from>
    <xdr:to>
      <xdr:col>8</xdr:col>
      <xdr:colOff>590261</xdr:colOff>
      <xdr:row>14</xdr:row>
      <xdr:rowOff>142693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0" y="904875"/>
          <a:ext cx="2314286" cy="1457143"/>
        </a:xfrm>
        <a:prstGeom prst="rect">
          <a:avLst/>
        </a:prstGeom>
      </xdr:spPr>
    </xdr:pic>
    <xdr:clientData/>
  </xdr:twoCellAnchor>
  <xdr:twoCellAnchor>
    <xdr:from>
      <xdr:col>2</xdr:col>
      <xdr:colOff>390525</xdr:colOff>
      <xdr:row>18</xdr:row>
      <xdr:rowOff>0</xdr:rowOff>
    </xdr:from>
    <xdr:to>
      <xdr:col>3</xdr:col>
      <xdr:colOff>619125</xdr:colOff>
      <xdr:row>19</xdr:row>
      <xdr:rowOff>104775</xdr:rowOff>
    </xdr:to>
    <xdr:sp macro="[0]!FUNCIONOBJ_ALPHA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838325" y="2952750"/>
          <a:ext cx="1743075" cy="266700"/>
        </a:xfrm>
        <a:prstGeom prst="rect">
          <a:avLst/>
        </a:prstGeom>
        <a:solidFill>
          <a:schemeClr val="bg1">
            <a:lumMod val="85000"/>
          </a:schemeClr>
        </a:solidFill>
        <a:ln w="15875" cap="rnd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latin typeface="+mj-lt"/>
            </a:rPr>
            <a:t>CALCULAR ALPHA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502585</xdr:colOff>
      <xdr:row>31</xdr:row>
      <xdr:rowOff>35258</xdr:rowOff>
    </xdr:from>
    <xdr:to>
      <xdr:col>7</xdr:col>
      <xdr:colOff>629211</xdr:colOff>
      <xdr:row>50</xdr:row>
      <xdr:rowOff>173371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564776</xdr:colOff>
      <xdr:row>30</xdr:row>
      <xdr:rowOff>175933</xdr:rowOff>
    </xdr:from>
    <xdr:to>
      <xdr:col>13</xdr:col>
      <xdr:colOff>487935</xdr:colOff>
      <xdr:row>50</xdr:row>
      <xdr:rowOff>123546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336176</xdr:colOff>
      <xdr:row>31</xdr:row>
      <xdr:rowOff>11206</xdr:rowOff>
    </xdr:from>
    <xdr:to>
      <xdr:col>20</xdr:col>
      <xdr:colOff>113659</xdr:colOff>
      <xdr:row>50</xdr:row>
      <xdr:rowOff>149319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3</xdr:row>
      <xdr:rowOff>52386</xdr:rowOff>
    </xdr:from>
    <xdr:to>
      <xdr:col>8</xdr:col>
      <xdr:colOff>619125</xdr:colOff>
      <xdr:row>24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workbookViewId="0">
      <selection activeCell="C4" sqref="C4"/>
    </sheetView>
  </sheetViews>
  <sheetFormatPr defaultColWidth="11.3984375" defaultRowHeight="14.25" x14ac:dyDescent="0.45"/>
  <cols>
    <col min="1" max="1" width="5.59765625" style="16" customWidth="1"/>
    <col min="2" max="2" width="14.59765625" style="16" customWidth="1"/>
    <col min="3" max="3" width="55.59765625" style="16" customWidth="1"/>
    <col min="4" max="4" width="4" style="20" customWidth="1"/>
    <col min="5" max="5" width="28.3984375" style="16" customWidth="1"/>
    <col min="6" max="6" width="26.59765625" style="17" customWidth="1"/>
    <col min="7" max="7" width="27" style="17" customWidth="1"/>
    <col min="8" max="8" width="11.3984375" style="17"/>
    <col min="9" max="16384" width="11.3984375" style="16"/>
  </cols>
  <sheetData>
    <row r="2" spans="2:3" x14ac:dyDescent="0.45">
      <c r="B2" s="18" t="s">
        <v>98</v>
      </c>
      <c r="C2" s="19" t="s">
        <v>99</v>
      </c>
    </row>
    <row r="3" spans="2:3" ht="54" x14ac:dyDescent="0.45">
      <c r="B3" s="18" t="s">
        <v>100</v>
      </c>
      <c r="C3" s="21" t="s">
        <v>101</v>
      </c>
    </row>
    <row r="4" spans="2:3" x14ac:dyDescent="0.45">
      <c r="B4" s="18" t="s">
        <v>102</v>
      </c>
      <c r="C4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3:E17"/>
  <sheetViews>
    <sheetView showGridLines="0" workbookViewId="0">
      <selection activeCell="D39" sqref="D39"/>
    </sheetView>
  </sheetViews>
  <sheetFormatPr defaultColWidth="11.3984375" defaultRowHeight="13.15" x14ac:dyDescent="0.45"/>
  <cols>
    <col min="1" max="1" width="6.3984375" style="27" customWidth="1"/>
    <col min="2" max="2" width="15.265625" style="27" customWidth="1"/>
    <col min="3" max="3" width="22.73046875" style="27" customWidth="1"/>
    <col min="4" max="4" width="11.3984375" style="44"/>
    <col min="5" max="5" width="23" style="27" customWidth="1"/>
    <col min="6" max="16384" width="11.3984375" style="27"/>
  </cols>
  <sheetData>
    <row r="3" spans="2:5" x14ac:dyDescent="0.45">
      <c r="B3" s="49" t="s">
        <v>95</v>
      </c>
      <c r="C3" s="50"/>
      <c r="D3" s="50"/>
      <c r="E3" s="51"/>
    </row>
    <row r="4" spans="2:5" x14ac:dyDescent="0.45">
      <c r="B4" s="52" t="s">
        <v>96</v>
      </c>
      <c r="C4" s="28" t="s">
        <v>82</v>
      </c>
      <c r="D4" s="29">
        <v>24027</v>
      </c>
      <c r="E4" s="30" t="s">
        <v>85</v>
      </c>
    </row>
    <row r="5" spans="2:5" ht="15" x14ac:dyDescent="0.45">
      <c r="B5" s="53"/>
      <c r="C5" s="45" t="s">
        <v>104</v>
      </c>
      <c r="D5" s="31">
        <f>1.2747*D4^-0.046</f>
        <v>0.80148575250044629</v>
      </c>
      <c r="E5" s="32" t="s">
        <v>103</v>
      </c>
    </row>
    <row r="6" spans="2:5" x14ac:dyDescent="0.45">
      <c r="B6" s="53"/>
      <c r="C6" s="33" t="s">
        <v>83</v>
      </c>
      <c r="D6" s="34">
        <f>D4/D5</f>
        <v>29978.075000137473</v>
      </c>
      <c r="E6" s="32" t="s">
        <v>105</v>
      </c>
    </row>
    <row r="7" spans="2:5" x14ac:dyDescent="0.45">
      <c r="B7" s="54"/>
      <c r="C7" s="35" t="s">
        <v>84</v>
      </c>
      <c r="D7" s="36">
        <v>205</v>
      </c>
      <c r="E7" s="37" t="s">
        <v>86</v>
      </c>
    </row>
    <row r="8" spans="2:5" x14ac:dyDescent="0.45">
      <c r="B8" s="46" t="s">
        <v>88</v>
      </c>
      <c r="C8" s="28" t="s">
        <v>76</v>
      </c>
      <c r="D8" s="38">
        <f>2*ATAN(D4/(D6*COS(D9/2)))</f>
        <v>1.8583816049286193</v>
      </c>
      <c r="E8" s="30"/>
    </row>
    <row r="9" spans="2:5" x14ac:dyDescent="0.45">
      <c r="B9" s="47"/>
      <c r="C9" s="33" t="s">
        <v>77</v>
      </c>
      <c r="D9" s="31">
        <v>1.857729088921495</v>
      </c>
      <c r="E9" s="32" t="s">
        <v>90</v>
      </c>
    </row>
    <row r="10" spans="2:5" x14ac:dyDescent="0.45">
      <c r="B10" s="48"/>
      <c r="C10" s="35" t="s">
        <v>78</v>
      </c>
      <c r="D10" s="39">
        <f>D8-D9</f>
        <v>6.5251600712423752E-4</v>
      </c>
      <c r="E10" s="37" t="s">
        <v>89</v>
      </c>
    </row>
    <row r="11" spans="2:5" x14ac:dyDescent="0.45">
      <c r="B11" s="52" t="s">
        <v>97</v>
      </c>
      <c r="C11" s="33" t="s">
        <v>79</v>
      </c>
      <c r="D11" s="40">
        <f>+D8*180/PI()</f>
        <v>106.47742268715824</v>
      </c>
      <c r="E11" s="32" t="s">
        <v>91</v>
      </c>
    </row>
    <row r="12" spans="2:5" x14ac:dyDescent="0.45">
      <c r="B12" s="53"/>
      <c r="C12" s="33" t="s">
        <v>80</v>
      </c>
      <c r="D12" s="41">
        <f>(D6*COS(D8/2))/(2*D7)</f>
        <v>43.759394959108242</v>
      </c>
      <c r="E12" s="32" t="s">
        <v>87</v>
      </c>
    </row>
    <row r="13" spans="2:5" x14ac:dyDescent="0.45">
      <c r="B13" s="53"/>
      <c r="C13" s="33" t="s">
        <v>81</v>
      </c>
      <c r="D13" s="42">
        <f>D6/(2*D12)</f>
        <v>342.53301523194079</v>
      </c>
      <c r="E13" s="32" t="s">
        <v>92</v>
      </c>
    </row>
    <row r="14" spans="2:5" x14ac:dyDescent="0.45">
      <c r="B14" s="53"/>
      <c r="C14" s="33" t="s">
        <v>81</v>
      </c>
      <c r="D14" s="42">
        <f>D7/COS(D8/2)</f>
        <v>342.53301523194079</v>
      </c>
      <c r="E14" s="32"/>
    </row>
    <row r="15" spans="2:5" x14ac:dyDescent="0.45">
      <c r="B15" s="53"/>
      <c r="C15" s="33" t="s">
        <v>75</v>
      </c>
      <c r="D15" s="42">
        <f>D4/D12</f>
        <v>549.07066293883781</v>
      </c>
      <c r="E15" s="32" t="s">
        <v>93</v>
      </c>
    </row>
    <row r="16" spans="2:5" x14ac:dyDescent="0.45">
      <c r="B16" s="53"/>
      <c r="C16" s="33" t="s">
        <v>75</v>
      </c>
      <c r="D16" s="42">
        <f>2*D7*TAN(D8/2)</f>
        <v>548.83099957595323</v>
      </c>
      <c r="E16" s="32"/>
    </row>
    <row r="17" spans="2:5" x14ac:dyDescent="0.45">
      <c r="B17" s="54"/>
      <c r="C17" s="35" t="s">
        <v>94</v>
      </c>
      <c r="D17" s="43">
        <f>D12*(2*D13)</f>
        <v>29978.075000137473</v>
      </c>
      <c r="E17" s="37"/>
    </row>
  </sheetData>
  <mergeCells count="4">
    <mergeCell ref="B8:B10"/>
    <mergeCell ref="B3:E3"/>
    <mergeCell ref="B4:B7"/>
    <mergeCell ref="B11:B17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B7"/>
  <sheetViews>
    <sheetView workbookViewId="0">
      <selection activeCell="H10" sqref="H10"/>
    </sheetView>
  </sheetViews>
  <sheetFormatPr defaultColWidth="10.6640625" defaultRowHeight="14.25" x14ac:dyDescent="0.45"/>
  <cols>
    <col min="1" max="1" width="5.59765625" customWidth="1"/>
    <col min="2" max="2" width="5.73046875" customWidth="1"/>
  </cols>
  <sheetData>
    <row r="4" spans="2:2" x14ac:dyDescent="0.45">
      <c r="B4">
        <v>1</v>
      </c>
    </row>
    <row r="5" spans="2:2" x14ac:dyDescent="0.45">
      <c r="B5">
        <v>2</v>
      </c>
    </row>
    <row r="6" spans="2:2" x14ac:dyDescent="0.45">
      <c r="B6">
        <v>3</v>
      </c>
    </row>
    <row r="7" spans="2:2" x14ac:dyDescent="0.45">
      <c r="B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Y38"/>
  <sheetViews>
    <sheetView showGridLines="0" zoomScale="85" zoomScaleNormal="85" workbookViewId="0">
      <pane xSplit="3" topLeftCell="D1" activePane="topRight" state="frozen"/>
      <selection pane="topRight" activeCell="K13" sqref="K13"/>
    </sheetView>
  </sheetViews>
  <sheetFormatPr defaultColWidth="7.73046875" defaultRowHeight="14.25" x14ac:dyDescent="0.45"/>
  <cols>
    <col min="1" max="1" width="9.265625" style="3" bestFit="1" customWidth="1"/>
    <col min="2" max="2" width="11" style="3" bestFit="1" customWidth="1"/>
    <col min="3" max="3" width="14.73046875" style="7" bestFit="1" customWidth="1"/>
    <col min="4" max="4" width="10.73046875" style="4" bestFit="1" customWidth="1"/>
    <col min="5" max="6" width="18" style="2" bestFit="1" customWidth="1"/>
    <col min="7" max="9" width="9.73046875" style="2" bestFit="1" customWidth="1"/>
    <col min="10" max="10" width="5.86328125" style="2" bestFit="1" customWidth="1"/>
    <col min="11" max="11" width="17.265625" style="7" bestFit="1" customWidth="1"/>
    <col min="12" max="12" width="12.86328125" style="1" bestFit="1" customWidth="1"/>
    <col min="13" max="13" width="15.59765625" style="1" bestFit="1" customWidth="1"/>
    <col min="14" max="14" width="10" bestFit="1" customWidth="1"/>
    <col min="15" max="16" width="8.1328125" bestFit="1" customWidth="1"/>
    <col min="17" max="17" width="13.86328125" bestFit="1" customWidth="1"/>
    <col min="18" max="18" width="15.73046875" bestFit="1" customWidth="1"/>
    <col min="19" max="19" width="15.265625" bestFit="1" customWidth="1"/>
    <col min="20" max="20" width="11" bestFit="1" customWidth="1"/>
    <col min="21" max="21" width="9.265625" bestFit="1" customWidth="1"/>
    <col min="22" max="22" width="24.73046875" bestFit="1" customWidth="1"/>
    <col min="23" max="24" width="18.3984375" style="9" bestFit="1" customWidth="1"/>
    <col min="25" max="25" width="12.265625" bestFit="1" customWidth="1"/>
    <col min="26" max="26" width="16.73046875" bestFit="1" customWidth="1"/>
  </cols>
  <sheetData>
    <row r="1" spans="1:25" s="26" customFormat="1" x14ac:dyDescent="0.45">
      <c r="A1" s="22" t="s">
        <v>6</v>
      </c>
      <c r="B1" s="22" t="s">
        <v>1</v>
      </c>
      <c r="C1" s="23" t="s">
        <v>0</v>
      </c>
      <c r="D1" s="24" t="s">
        <v>2</v>
      </c>
      <c r="E1" s="23" t="s">
        <v>3</v>
      </c>
      <c r="F1" s="23" t="s">
        <v>4</v>
      </c>
      <c r="G1" s="23" t="s">
        <v>5</v>
      </c>
      <c r="H1" s="23" t="s">
        <v>7</v>
      </c>
      <c r="I1" s="23" t="s">
        <v>8</v>
      </c>
      <c r="J1" s="23" t="s">
        <v>9</v>
      </c>
      <c r="K1" s="23" t="s">
        <v>71</v>
      </c>
      <c r="L1" s="22" t="s">
        <v>10</v>
      </c>
      <c r="M1" s="22" t="s">
        <v>11</v>
      </c>
      <c r="N1" s="22" t="s">
        <v>41</v>
      </c>
      <c r="O1" s="23" t="s">
        <v>42</v>
      </c>
      <c r="P1" s="23" t="s">
        <v>43</v>
      </c>
      <c r="Q1" s="22" t="s">
        <v>44</v>
      </c>
      <c r="R1" s="23" t="s">
        <v>45</v>
      </c>
      <c r="S1" s="23" t="s">
        <v>46</v>
      </c>
      <c r="T1" s="22" t="s">
        <v>1</v>
      </c>
      <c r="U1" s="22" t="s">
        <v>6</v>
      </c>
      <c r="V1" s="22" t="s">
        <v>72</v>
      </c>
      <c r="W1" s="25" t="s">
        <v>73</v>
      </c>
      <c r="X1" s="25" t="s">
        <v>74</v>
      </c>
      <c r="Y1" s="26" t="s">
        <v>70</v>
      </c>
    </row>
    <row r="2" spans="1:25" x14ac:dyDescent="0.45">
      <c r="A2" s="3" t="s">
        <v>12</v>
      </c>
      <c r="B2" s="3">
        <v>1863</v>
      </c>
      <c r="C2" s="8">
        <v>11515.182765400001</v>
      </c>
      <c r="D2" s="4">
        <v>1.21578617424E-3</v>
      </c>
      <c r="E2" s="6">
        <v>73</v>
      </c>
      <c r="F2" s="6">
        <v>59</v>
      </c>
      <c r="G2" s="6">
        <v>11515.182765400001</v>
      </c>
      <c r="H2" s="6">
        <v>1075861.6004999999</v>
      </c>
      <c r="I2" s="6">
        <v>1576890.5456999999</v>
      </c>
      <c r="J2" s="6">
        <v>65.665008544900004</v>
      </c>
      <c r="K2" s="8">
        <v>9192.9411006699993</v>
      </c>
      <c r="L2" s="1">
        <v>1863</v>
      </c>
      <c r="M2" s="1">
        <v>4743</v>
      </c>
      <c r="N2" s="1" t="s">
        <v>47</v>
      </c>
      <c r="O2" s="1">
        <v>1071530</v>
      </c>
      <c r="P2" s="1">
        <v>1575500</v>
      </c>
      <c r="Q2" s="1" t="s">
        <v>48</v>
      </c>
      <c r="R2" s="11">
        <v>0.39746400713899999</v>
      </c>
      <c r="S2" s="11">
        <v>0.212243005633</v>
      </c>
      <c r="T2" s="3">
        <v>1863</v>
      </c>
      <c r="U2" s="3" t="s">
        <v>12</v>
      </c>
      <c r="V2" s="11">
        <v>9637.8710358299995</v>
      </c>
      <c r="W2" s="9">
        <f t="shared" ref="W2:W27" si="0">K2/C2</f>
        <v>0.79833219219865903</v>
      </c>
      <c r="X2" s="9">
        <f>V2/C2</f>
        <v>0.83697073960381996</v>
      </c>
      <c r="Y2">
        <f>(R2/$R$28)</f>
        <v>7.143853230809144E-2</v>
      </c>
    </row>
    <row r="3" spans="1:25" x14ac:dyDescent="0.45">
      <c r="A3" s="3" t="s">
        <v>13</v>
      </c>
      <c r="B3" s="3">
        <v>1871</v>
      </c>
      <c r="C3" s="8">
        <v>724.19690746599997</v>
      </c>
      <c r="D3" s="4">
        <v>1E-3</v>
      </c>
      <c r="E3" s="6">
        <v>72</v>
      </c>
      <c r="F3" s="6">
        <v>76</v>
      </c>
      <c r="G3" s="6">
        <v>724.19690746599997</v>
      </c>
      <c r="H3" s="6">
        <v>1084458.8296000001</v>
      </c>
      <c r="I3" s="6">
        <v>1574265.5436</v>
      </c>
      <c r="J3" s="6">
        <v>73</v>
      </c>
      <c r="K3" s="8">
        <v>667.24565321099999</v>
      </c>
      <c r="L3" s="1">
        <v>1871</v>
      </c>
      <c r="M3" s="1">
        <v>4723</v>
      </c>
      <c r="N3" s="1" t="s">
        <v>49</v>
      </c>
      <c r="O3" s="1">
        <v>1084140</v>
      </c>
      <c r="P3" s="1">
        <v>1574280</v>
      </c>
      <c r="Q3" s="1" t="s">
        <v>48</v>
      </c>
      <c r="R3" s="11">
        <v>1.9762699604</v>
      </c>
      <c r="S3" s="11">
        <v>1.3838000297499999</v>
      </c>
      <c r="T3" s="3">
        <v>1871</v>
      </c>
      <c r="U3" s="3" t="s">
        <v>13</v>
      </c>
      <c r="V3" s="11">
        <v>693.21260211599997</v>
      </c>
      <c r="W3" s="9">
        <f t="shared" si="0"/>
        <v>0.92135943461250724</v>
      </c>
      <c r="X3" s="9">
        <f t="shared" ref="X3:X27" si="1">V3/C3</f>
        <v>0.95721563426939282</v>
      </c>
      <c r="Y3">
        <f t="shared" ref="Y3:Y27" si="2">(R3/$R$28)</f>
        <v>0.35520656683303725</v>
      </c>
    </row>
    <row r="4" spans="1:25" x14ac:dyDescent="0.45">
      <c r="A4" s="3" t="s">
        <v>14</v>
      </c>
      <c r="B4" s="3">
        <v>1872</v>
      </c>
      <c r="C4" s="8">
        <v>1147.6039319399999</v>
      </c>
      <c r="D4" s="4">
        <v>1E-3</v>
      </c>
      <c r="E4" s="6">
        <v>72</v>
      </c>
      <c r="F4" s="6">
        <v>72</v>
      </c>
      <c r="G4" s="6">
        <v>1147.6039319399999</v>
      </c>
      <c r="H4" s="6">
        <v>1085333.8303</v>
      </c>
      <c r="I4" s="6">
        <v>1574307.2102999999</v>
      </c>
      <c r="J4" s="6">
        <v>73</v>
      </c>
      <c r="K4" s="8">
        <v>1057.0173784200001</v>
      </c>
      <c r="L4" s="1">
        <v>1872</v>
      </c>
      <c r="M4" s="1">
        <v>4726</v>
      </c>
      <c r="N4" s="1" t="s">
        <v>50</v>
      </c>
      <c r="O4" s="1">
        <v>1084810</v>
      </c>
      <c r="P4" s="1">
        <v>1574310</v>
      </c>
      <c r="Q4" s="1" t="s">
        <v>48</v>
      </c>
      <c r="R4" s="11">
        <v>1.77485001087</v>
      </c>
      <c r="S4" s="11">
        <v>1.27044999599</v>
      </c>
      <c r="T4" s="3">
        <v>1872</v>
      </c>
      <c r="U4" s="3" t="s">
        <v>14</v>
      </c>
      <c r="V4" s="11">
        <v>1069.93624363</v>
      </c>
      <c r="W4" s="9">
        <f t="shared" si="0"/>
        <v>0.92106461907387749</v>
      </c>
      <c r="X4" s="9">
        <f t="shared" si="1"/>
        <v>0.93232186981208376</v>
      </c>
      <c r="Y4">
        <f t="shared" si="2"/>
        <v>0.31900418041931372</v>
      </c>
    </row>
    <row r="5" spans="1:25" x14ac:dyDescent="0.45">
      <c r="A5" s="3" t="s">
        <v>15</v>
      </c>
      <c r="B5" s="3">
        <v>1873</v>
      </c>
      <c r="C5" s="8">
        <v>305.55579999999998</v>
      </c>
      <c r="D5" s="4">
        <v>9.8181739636400006E-3</v>
      </c>
      <c r="E5" s="6">
        <v>75</v>
      </c>
      <c r="F5" s="6">
        <v>72</v>
      </c>
      <c r="G5" s="6">
        <v>305.55579999999998</v>
      </c>
      <c r="H5" s="6">
        <v>1086014.3864</v>
      </c>
      <c r="I5" s="6">
        <v>1574251.6547000001</v>
      </c>
      <c r="J5" s="6">
        <v>73</v>
      </c>
      <c r="K5" s="8">
        <v>305.55579999999998</v>
      </c>
      <c r="L5" s="1">
        <v>1873</v>
      </c>
      <c r="M5" s="1">
        <v>4716</v>
      </c>
      <c r="N5" s="1" t="s">
        <v>51</v>
      </c>
      <c r="O5" s="1">
        <v>1085860</v>
      </c>
      <c r="P5" s="1">
        <v>1574250</v>
      </c>
      <c r="Q5" s="1" t="s">
        <v>48</v>
      </c>
      <c r="R5" s="11">
        <v>1.21992003918</v>
      </c>
      <c r="S5" s="11">
        <v>0.84997302293800003</v>
      </c>
      <c r="T5" s="3">
        <v>1873</v>
      </c>
      <c r="U5" s="3" t="s">
        <v>15</v>
      </c>
      <c r="V5" s="11">
        <v>305.55579999999998</v>
      </c>
      <c r="W5" s="9">
        <f t="shared" si="0"/>
        <v>1</v>
      </c>
      <c r="X5" s="9">
        <f t="shared" si="1"/>
        <v>1</v>
      </c>
      <c r="Y5">
        <f t="shared" si="2"/>
        <v>0.21926336867471624</v>
      </c>
    </row>
    <row r="6" spans="1:25" x14ac:dyDescent="0.45">
      <c r="A6" s="3" t="s">
        <v>16</v>
      </c>
      <c r="B6" s="3">
        <v>1874</v>
      </c>
      <c r="C6" s="8">
        <v>1234.8855468700001</v>
      </c>
      <c r="D6" s="4">
        <v>4.8587498778400002E-3</v>
      </c>
      <c r="E6" s="6">
        <v>81</v>
      </c>
      <c r="F6" s="6">
        <v>75</v>
      </c>
      <c r="G6" s="6">
        <v>1234.8855468700001</v>
      </c>
      <c r="H6" s="6">
        <v>1086646.3314</v>
      </c>
      <c r="I6" s="6">
        <v>1574383.5992999999</v>
      </c>
      <c r="J6" s="6">
        <v>78</v>
      </c>
      <c r="K6" s="8">
        <v>1011.12718241</v>
      </c>
      <c r="L6" s="1">
        <v>1874</v>
      </c>
      <c r="M6" s="1">
        <v>4709</v>
      </c>
      <c r="N6" s="1" t="s">
        <v>52</v>
      </c>
      <c r="O6" s="1">
        <v>1086170</v>
      </c>
      <c r="P6" s="1">
        <v>1574250</v>
      </c>
      <c r="Q6" s="1" t="s">
        <v>48</v>
      </c>
      <c r="R6" s="11">
        <v>1.1562299728400001</v>
      </c>
      <c r="S6" s="11">
        <v>0.814208984375</v>
      </c>
      <c r="T6" s="3">
        <v>1874</v>
      </c>
      <c r="U6" s="3" t="s">
        <v>16</v>
      </c>
      <c r="V6" s="11">
        <v>1104.58623059</v>
      </c>
      <c r="W6" s="9">
        <f t="shared" si="0"/>
        <v>0.8188023456690795</v>
      </c>
      <c r="X6" s="9">
        <f t="shared" si="1"/>
        <v>0.89448470215700315</v>
      </c>
      <c r="Y6">
        <f t="shared" si="2"/>
        <v>0.20781598028177584</v>
      </c>
    </row>
    <row r="7" spans="1:25" x14ac:dyDescent="0.45">
      <c r="A7" s="3" t="s">
        <v>17</v>
      </c>
      <c r="B7" s="3">
        <v>1876</v>
      </c>
      <c r="C7" s="8">
        <v>4093.54584062</v>
      </c>
      <c r="D7" s="4">
        <v>4.8857398399099997E-4</v>
      </c>
      <c r="E7" s="6">
        <v>59</v>
      </c>
      <c r="F7" s="6">
        <v>57</v>
      </c>
      <c r="G7" s="6">
        <v>4093.54584062</v>
      </c>
      <c r="H7" s="6">
        <v>1069778.2623000001</v>
      </c>
      <c r="I7" s="6">
        <v>1575279.4332999999</v>
      </c>
      <c r="J7" s="6">
        <v>55.660377502400003</v>
      </c>
      <c r="K7" s="8">
        <v>3291.9916004699999</v>
      </c>
      <c r="L7" s="1">
        <v>1876</v>
      </c>
      <c r="M7" s="1">
        <v>4749</v>
      </c>
      <c r="N7" s="1" t="s">
        <v>53</v>
      </c>
      <c r="O7" s="1">
        <v>1068610</v>
      </c>
      <c r="P7" s="1">
        <v>1574030</v>
      </c>
      <c r="Q7" s="1" t="s">
        <v>48</v>
      </c>
      <c r="R7" s="11">
        <v>0.61550897359800005</v>
      </c>
      <c r="S7" s="11">
        <v>0.32557201385500001</v>
      </c>
      <c r="T7" s="3">
        <v>1876</v>
      </c>
      <c r="U7" s="3" t="s">
        <v>17</v>
      </c>
      <c r="V7" s="11">
        <v>3695.84302437</v>
      </c>
      <c r="W7" s="9">
        <f t="shared" si="0"/>
        <v>0.8041907257526647</v>
      </c>
      <c r="X7" s="9">
        <f t="shared" si="1"/>
        <v>0.90284637531022127</v>
      </c>
      <c r="Y7">
        <f t="shared" si="2"/>
        <v>0.11062903031852012</v>
      </c>
    </row>
    <row r="8" spans="1:25" x14ac:dyDescent="0.45">
      <c r="A8" s="3" t="s">
        <v>18</v>
      </c>
      <c r="B8" s="3">
        <v>1879</v>
      </c>
      <c r="C8" s="8">
        <v>1560.66142031</v>
      </c>
      <c r="D8" s="4">
        <v>1E-3</v>
      </c>
      <c r="E8" s="6">
        <v>69</v>
      </c>
      <c r="F8" s="6">
        <v>75</v>
      </c>
      <c r="G8" s="6">
        <v>1560.66142031</v>
      </c>
      <c r="H8" s="6">
        <v>1079868.5482000001</v>
      </c>
      <c r="I8" s="6">
        <v>1573439.1540999999</v>
      </c>
      <c r="J8" s="6">
        <v>76.133247375500005</v>
      </c>
      <c r="K8" s="8">
        <v>1194.7683540099999</v>
      </c>
      <c r="L8" s="1">
        <v>1879</v>
      </c>
      <c r="M8" s="1">
        <v>4682</v>
      </c>
      <c r="N8" s="1" t="s">
        <v>54</v>
      </c>
      <c r="O8" s="1">
        <v>1079310</v>
      </c>
      <c r="P8" s="1">
        <v>1573400</v>
      </c>
      <c r="Q8" s="1" t="s">
        <v>48</v>
      </c>
      <c r="R8" s="11">
        <v>2.8408699035599998</v>
      </c>
      <c r="S8" s="11">
        <v>1.8976800441699999</v>
      </c>
      <c r="T8" s="3">
        <v>1879</v>
      </c>
      <c r="U8" s="3" t="s">
        <v>18</v>
      </c>
      <c r="V8" s="11">
        <v>1408.14403335</v>
      </c>
      <c r="W8" s="9">
        <f t="shared" si="0"/>
        <v>0.76555256538133598</v>
      </c>
      <c r="X8" s="9">
        <f t="shared" si="1"/>
        <v>0.90227387889827826</v>
      </c>
      <c r="Y8">
        <f t="shared" si="2"/>
        <v>0.51060617500789551</v>
      </c>
    </row>
    <row r="9" spans="1:25" x14ac:dyDescent="0.45">
      <c r="A9" s="3" t="s">
        <v>19</v>
      </c>
      <c r="B9" s="3">
        <v>1880</v>
      </c>
      <c r="C9" s="8">
        <v>1230.11962986</v>
      </c>
      <c r="D9" s="4">
        <v>1.6258581291300001E-3</v>
      </c>
      <c r="E9" s="6">
        <v>57</v>
      </c>
      <c r="F9" s="6">
        <v>55</v>
      </c>
      <c r="G9" s="6">
        <v>1230.11962986</v>
      </c>
      <c r="H9" s="6">
        <v>1068250.4833</v>
      </c>
      <c r="I9" s="6">
        <v>1573584.9875</v>
      </c>
      <c r="J9" s="6">
        <v>54</v>
      </c>
      <c r="K9" s="8">
        <v>1100.64603364</v>
      </c>
      <c r="L9" s="1">
        <v>1880</v>
      </c>
      <c r="M9" s="1">
        <v>4706</v>
      </c>
      <c r="N9" s="1" t="s">
        <v>55</v>
      </c>
      <c r="O9" s="1">
        <v>1067780</v>
      </c>
      <c r="P9" s="1">
        <v>1573280</v>
      </c>
      <c r="Q9" s="1" t="s">
        <v>48</v>
      </c>
      <c r="R9" s="11">
        <v>3.9305400848400001</v>
      </c>
      <c r="S9" s="11">
        <v>2.4770998954799999</v>
      </c>
      <c r="T9" s="3">
        <v>1880</v>
      </c>
      <c r="U9" s="3" t="s">
        <v>19</v>
      </c>
      <c r="V9" s="11">
        <v>1128.2738463200001</v>
      </c>
      <c r="W9" s="9">
        <f t="shared" si="0"/>
        <v>0.89474715053954923</v>
      </c>
      <c r="X9" s="9">
        <f t="shared" si="1"/>
        <v>0.91720660245736341</v>
      </c>
      <c r="Y9">
        <f t="shared" si="2"/>
        <v>0.70645897438681293</v>
      </c>
    </row>
    <row r="10" spans="1:25" x14ac:dyDescent="0.45">
      <c r="A10" s="3" t="s">
        <v>20</v>
      </c>
      <c r="B10" s="3">
        <v>1881</v>
      </c>
      <c r="C10" s="8">
        <v>5501.0205098799997</v>
      </c>
      <c r="D10" s="4">
        <v>2.1814134265499999E-3</v>
      </c>
      <c r="E10" s="6">
        <v>75</v>
      </c>
      <c r="F10" s="6">
        <v>63</v>
      </c>
      <c r="G10" s="6">
        <v>5501.0205098799997</v>
      </c>
      <c r="H10" s="6">
        <v>1076931.0458</v>
      </c>
      <c r="I10" s="6">
        <v>1573793.321</v>
      </c>
      <c r="J10" s="6">
        <v>67.665191650400004</v>
      </c>
      <c r="K10" s="8">
        <v>4282.1981151700002</v>
      </c>
      <c r="L10" s="1">
        <v>1881</v>
      </c>
      <c r="M10" s="1">
        <v>4697</v>
      </c>
      <c r="N10" s="1" t="s">
        <v>56</v>
      </c>
      <c r="O10" s="1">
        <v>1075030</v>
      </c>
      <c r="P10" s="1">
        <v>1573170</v>
      </c>
      <c r="Q10" s="1" t="s">
        <v>48</v>
      </c>
      <c r="R10" s="11">
        <v>3.2136399745899999</v>
      </c>
      <c r="S10" s="11">
        <v>2.1009199619299999</v>
      </c>
      <c r="T10" s="3">
        <v>1881</v>
      </c>
      <c r="U10" s="3" t="s">
        <v>20</v>
      </c>
      <c r="V10" s="11">
        <v>4506.2848614000004</v>
      </c>
      <c r="W10" s="9">
        <f t="shared" si="0"/>
        <v>0.77843703863293046</v>
      </c>
      <c r="X10" s="9">
        <f t="shared" si="1"/>
        <v>0.81917252504450333</v>
      </c>
      <c r="Y10">
        <f t="shared" si="2"/>
        <v>0.57760632164872883</v>
      </c>
    </row>
    <row r="11" spans="1:25" x14ac:dyDescent="0.45">
      <c r="A11" s="3" t="s">
        <v>21</v>
      </c>
      <c r="B11" s="3">
        <v>1882</v>
      </c>
      <c r="C11" s="8">
        <v>2134.4633862800001</v>
      </c>
      <c r="D11" s="4">
        <v>1E-3</v>
      </c>
      <c r="E11" s="6">
        <v>76</v>
      </c>
      <c r="F11" s="6">
        <v>77</v>
      </c>
      <c r="G11" s="6">
        <v>2134.4633862800001</v>
      </c>
      <c r="H11" s="6">
        <v>1083382.4399000001</v>
      </c>
      <c r="I11" s="6">
        <v>1573716.9321000001</v>
      </c>
      <c r="J11" s="6">
        <v>72</v>
      </c>
      <c r="K11" s="8">
        <v>1878.4448430499999</v>
      </c>
      <c r="L11" s="1">
        <v>1882</v>
      </c>
      <c r="M11" s="1">
        <v>4685</v>
      </c>
      <c r="N11" s="1" t="s">
        <v>57</v>
      </c>
      <c r="O11" s="1">
        <v>1082670</v>
      </c>
      <c r="P11" s="1">
        <v>1573090</v>
      </c>
      <c r="Q11" s="1" t="s">
        <v>48</v>
      </c>
      <c r="R11" s="11">
        <v>2.3293600082400001</v>
      </c>
      <c r="S11" s="11">
        <v>1.5946799516700001</v>
      </c>
      <c r="T11" s="3">
        <v>1882</v>
      </c>
      <c r="U11" s="3" t="s">
        <v>21</v>
      </c>
      <c r="V11" s="11">
        <v>1952.16024823</v>
      </c>
      <c r="W11" s="9">
        <f t="shared" si="0"/>
        <v>0.8800548442874927</v>
      </c>
      <c r="X11" s="9">
        <f t="shared" si="1"/>
        <v>0.91459064642578713</v>
      </c>
      <c r="Y11">
        <f t="shared" si="2"/>
        <v>0.41866950772132266</v>
      </c>
    </row>
    <row r="12" spans="1:25" x14ac:dyDescent="0.45">
      <c r="A12" s="3" t="s">
        <v>37</v>
      </c>
      <c r="B12" s="3">
        <v>1883</v>
      </c>
      <c r="C12" s="8">
        <v>2970.9278991199999</v>
      </c>
      <c r="D12" s="4">
        <v>3.36595176307E-4</v>
      </c>
      <c r="E12" s="6">
        <v>76</v>
      </c>
      <c r="F12" s="6">
        <v>75</v>
      </c>
      <c r="G12" s="6">
        <v>2970.9278991199999</v>
      </c>
      <c r="H12" s="6">
        <v>1087472.7209000001</v>
      </c>
      <c r="I12" s="6">
        <v>1573807.2098999999</v>
      </c>
      <c r="J12" s="6">
        <v>75</v>
      </c>
      <c r="K12" s="8">
        <v>2553.4431970400001</v>
      </c>
      <c r="L12" s="1">
        <v>1883</v>
      </c>
      <c r="M12" s="1">
        <v>4709</v>
      </c>
      <c r="N12" s="1" t="s">
        <v>52</v>
      </c>
      <c r="O12" s="1">
        <v>1086170</v>
      </c>
      <c r="P12" s="1">
        <v>1574250</v>
      </c>
      <c r="Q12" s="1" t="s">
        <v>48</v>
      </c>
      <c r="R12" s="11">
        <v>1.1562299728400001</v>
      </c>
      <c r="S12" s="11">
        <v>0.814208984375</v>
      </c>
      <c r="T12" s="3">
        <v>1883</v>
      </c>
      <c r="U12" s="3" t="s">
        <v>37</v>
      </c>
      <c r="V12" s="11">
        <v>2695.6828228300001</v>
      </c>
      <c r="W12" s="9">
        <f t="shared" si="0"/>
        <v>0.8594766630978623</v>
      </c>
      <c r="X12" s="9">
        <f t="shared" si="1"/>
        <v>0.90735383501850431</v>
      </c>
      <c r="Y12">
        <f t="shared" si="2"/>
        <v>0.20781598028177584</v>
      </c>
    </row>
    <row r="13" spans="1:25" x14ac:dyDescent="0.45">
      <c r="A13" s="3" t="s">
        <v>22</v>
      </c>
      <c r="B13" s="3">
        <v>1885</v>
      </c>
      <c r="C13" s="8">
        <v>8733.9335492900009</v>
      </c>
      <c r="D13" s="4">
        <v>9.1596758263100004E-4</v>
      </c>
      <c r="E13" s="6">
        <v>63</v>
      </c>
      <c r="F13" s="6">
        <v>55</v>
      </c>
      <c r="G13" s="6">
        <v>8733.9335492900009</v>
      </c>
      <c r="H13" s="6">
        <v>1071333.8191</v>
      </c>
      <c r="I13" s="6">
        <v>1573779.4321000001</v>
      </c>
      <c r="J13" s="6">
        <v>57.667308807399998</v>
      </c>
      <c r="K13" s="8">
        <v>7250.8571768299998</v>
      </c>
      <c r="L13" s="1">
        <v>1885</v>
      </c>
      <c r="M13" s="1">
        <v>4706</v>
      </c>
      <c r="N13" s="1" t="s">
        <v>55</v>
      </c>
      <c r="O13" s="1">
        <v>1067780</v>
      </c>
      <c r="P13" s="1">
        <v>1573280</v>
      </c>
      <c r="Q13" s="1" t="s">
        <v>48</v>
      </c>
      <c r="R13" s="11">
        <v>3.9305400848400001</v>
      </c>
      <c r="S13" s="11">
        <v>2.4770998954799999</v>
      </c>
      <c r="T13" s="3">
        <v>1885</v>
      </c>
      <c r="U13" s="3" t="s">
        <v>22</v>
      </c>
      <c r="V13" s="11">
        <v>7478.5120660499997</v>
      </c>
      <c r="W13" s="9">
        <f t="shared" si="0"/>
        <v>0.83019376503264519</v>
      </c>
      <c r="X13" s="9">
        <f t="shared" si="1"/>
        <v>0.85625932735175703</v>
      </c>
      <c r="Y13">
        <f t="shared" si="2"/>
        <v>0.70645897438681293</v>
      </c>
    </row>
    <row r="14" spans="1:25" x14ac:dyDescent="0.45">
      <c r="A14" s="3" t="s">
        <v>23</v>
      </c>
      <c r="B14" s="3">
        <v>1886</v>
      </c>
      <c r="C14" s="8">
        <v>3038.8071427</v>
      </c>
      <c r="D14" s="4">
        <v>2.6326119507799998E-3</v>
      </c>
      <c r="E14" s="6">
        <v>77</v>
      </c>
      <c r="F14" s="6">
        <v>69</v>
      </c>
      <c r="G14" s="6">
        <v>3038.8071427</v>
      </c>
      <c r="H14" s="6">
        <v>1081278.2715</v>
      </c>
      <c r="I14" s="6">
        <v>1572807.2091000001</v>
      </c>
      <c r="J14" s="6">
        <v>74</v>
      </c>
      <c r="K14" s="8">
        <v>2184.4021087800002</v>
      </c>
      <c r="L14" s="1">
        <v>1886</v>
      </c>
      <c r="M14" s="1">
        <v>4660</v>
      </c>
      <c r="N14" s="1" t="s">
        <v>58</v>
      </c>
      <c r="O14" s="1">
        <v>1080530</v>
      </c>
      <c r="P14" s="1">
        <v>1573390</v>
      </c>
      <c r="Q14" s="1" t="s">
        <v>48</v>
      </c>
      <c r="R14" s="11">
        <v>2.8180799484299999</v>
      </c>
      <c r="S14" s="11">
        <v>1.8853600025199999</v>
      </c>
      <c r="T14" s="3">
        <v>1886</v>
      </c>
      <c r="U14" s="3" t="s">
        <v>23</v>
      </c>
      <c r="V14" s="11">
        <v>2766.27718577</v>
      </c>
      <c r="W14" s="9">
        <f t="shared" si="0"/>
        <v>0.71883538711151795</v>
      </c>
      <c r="X14" s="9">
        <f t="shared" si="1"/>
        <v>0.91031679730492687</v>
      </c>
      <c r="Y14">
        <f t="shared" si="2"/>
        <v>0.50651000298574533</v>
      </c>
    </row>
    <row r="15" spans="1:25" x14ac:dyDescent="0.45">
      <c r="A15" s="3" t="s">
        <v>24</v>
      </c>
      <c r="B15" s="3">
        <v>1887</v>
      </c>
      <c r="C15" s="8">
        <v>1667.8244053799999</v>
      </c>
      <c r="D15" s="4">
        <v>1E-3</v>
      </c>
      <c r="E15" s="6">
        <v>55</v>
      </c>
      <c r="F15" s="6">
        <v>56</v>
      </c>
      <c r="G15" s="6">
        <v>1667.8244053799999</v>
      </c>
      <c r="H15" s="6">
        <v>1067208.8158</v>
      </c>
      <c r="I15" s="6">
        <v>1572862.7646999999</v>
      </c>
      <c r="J15" s="6">
        <v>52.829547882100002</v>
      </c>
      <c r="K15" s="8">
        <v>1394.9877303799999</v>
      </c>
      <c r="L15" s="1">
        <v>1887</v>
      </c>
      <c r="M15" s="1">
        <v>4679</v>
      </c>
      <c r="N15" s="1" t="s">
        <v>59</v>
      </c>
      <c r="O15" s="1">
        <v>1066640</v>
      </c>
      <c r="P15" s="1">
        <v>1572450</v>
      </c>
      <c r="Q15" s="1" t="s">
        <v>48</v>
      </c>
      <c r="R15" s="11">
        <v>4.6260800361600003</v>
      </c>
      <c r="S15" s="11">
        <v>2.8387699127200001</v>
      </c>
      <c r="T15" s="3">
        <v>1887</v>
      </c>
      <c r="U15" s="3" t="s">
        <v>24</v>
      </c>
      <c r="V15" s="11">
        <v>1480.5706924399999</v>
      </c>
      <c r="W15" s="9">
        <f t="shared" si="0"/>
        <v>0.83641163055301593</v>
      </c>
      <c r="X15" s="9">
        <f t="shared" si="1"/>
        <v>0.8877257627745675</v>
      </c>
      <c r="Y15">
        <f t="shared" si="2"/>
        <v>0.83147244074218363</v>
      </c>
    </row>
    <row r="16" spans="1:25" x14ac:dyDescent="0.45">
      <c r="A16" s="3" t="s">
        <v>25</v>
      </c>
      <c r="B16" s="3">
        <v>1889</v>
      </c>
      <c r="C16" s="8">
        <v>1524.16948837</v>
      </c>
      <c r="D16" s="4">
        <v>2.6243800512600001E-3</v>
      </c>
      <c r="E16" s="6">
        <v>80</v>
      </c>
      <c r="F16" s="6">
        <v>76</v>
      </c>
      <c r="G16" s="6">
        <v>1524.16948837</v>
      </c>
      <c r="H16" s="6">
        <v>1088889.3887</v>
      </c>
      <c r="I16" s="6">
        <v>1572584.9867</v>
      </c>
      <c r="J16" s="6">
        <v>75</v>
      </c>
      <c r="K16" s="8">
        <v>1223.4851757599999</v>
      </c>
      <c r="L16" s="1">
        <v>1889</v>
      </c>
      <c r="M16" s="1">
        <v>4690</v>
      </c>
      <c r="N16" s="1" t="s">
        <v>60</v>
      </c>
      <c r="O16" s="1">
        <v>1088470</v>
      </c>
      <c r="P16" s="1">
        <v>1572970</v>
      </c>
      <c r="Q16" s="1" t="s">
        <v>48</v>
      </c>
      <c r="R16" s="11">
        <v>0.987866997719</v>
      </c>
      <c r="S16" s="11">
        <v>0.71818500757199999</v>
      </c>
      <c r="T16" s="3">
        <v>1889</v>
      </c>
      <c r="U16" s="3" t="s">
        <v>25</v>
      </c>
      <c r="V16" s="11">
        <v>1355.2499831499999</v>
      </c>
      <c r="W16" s="9">
        <f t="shared" si="0"/>
        <v>0.80272252206573014</v>
      </c>
      <c r="X16" s="9">
        <f t="shared" si="1"/>
        <v>0.88917275505846238</v>
      </c>
      <c r="Y16">
        <f t="shared" si="2"/>
        <v>0.17755511735674198</v>
      </c>
    </row>
    <row r="17" spans="1:25" x14ac:dyDescent="0.45">
      <c r="A17" s="3" t="s">
        <v>26</v>
      </c>
      <c r="B17" s="3">
        <v>1894</v>
      </c>
      <c r="C17" s="8">
        <v>4047.52207464</v>
      </c>
      <c r="D17" s="4">
        <v>1E-3</v>
      </c>
      <c r="E17" s="6">
        <v>58</v>
      </c>
      <c r="F17" s="6">
        <v>63</v>
      </c>
      <c r="G17" s="6">
        <v>4047.52207464</v>
      </c>
      <c r="H17" s="6">
        <v>1076500.4898999999</v>
      </c>
      <c r="I17" s="6">
        <v>1572557.2089</v>
      </c>
      <c r="J17" s="6">
        <v>67.683654785200005</v>
      </c>
      <c r="K17" s="8">
        <v>2956.60723332</v>
      </c>
      <c r="L17" s="1">
        <v>1894</v>
      </c>
      <c r="M17" s="1">
        <v>4697</v>
      </c>
      <c r="N17" s="1" t="s">
        <v>56</v>
      </c>
      <c r="O17" s="1">
        <v>1075030</v>
      </c>
      <c r="P17" s="1">
        <v>1573170</v>
      </c>
      <c r="Q17" s="1" t="s">
        <v>48</v>
      </c>
      <c r="R17" s="11">
        <v>3.2136399745899999</v>
      </c>
      <c r="S17" s="11">
        <v>2.1009199619299999</v>
      </c>
      <c r="T17" s="3">
        <v>1894</v>
      </c>
      <c r="U17" s="3" t="s">
        <v>26</v>
      </c>
      <c r="V17" s="11">
        <v>3280.8368989000001</v>
      </c>
      <c r="W17" s="9">
        <f t="shared" si="0"/>
        <v>0.73047340540643513</v>
      </c>
      <c r="X17" s="9">
        <f t="shared" si="1"/>
        <v>0.81057912431319068</v>
      </c>
      <c r="Y17">
        <f t="shared" si="2"/>
        <v>0.57760632164872883</v>
      </c>
    </row>
    <row r="18" spans="1:25" x14ac:dyDescent="0.45">
      <c r="A18" s="3" t="s">
        <v>27</v>
      </c>
      <c r="B18" s="3">
        <v>1895</v>
      </c>
      <c r="C18" s="8">
        <v>4389.5698065899996</v>
      </c>
      <c r="D18" s="4">
        <v>1.13906378536E-3</v>
      </c>
      <c r="E18" s="6">
        <v>61</v>
      </c>
      <c r="F18" s="6">
        <v>56</v>
      </c>
      <c r="G18" s="6">
        <v>4389.5698065899996</v>
      </c>
      <c r="H18" s="6">
        <v>1068403.2612000001</v>
      </c>
      <c r="I18" s="6">
        <v>1572001.6529000001</v>
      </c>
      <c r="J18" s="6">
        <v>54.163673400900002</v>
      </c>
      <c r="K18" s="8">
        <v>3585.1660529400001</v>
      </c>
      <c r="L18" s="1">
        <v>1895</v>
      </c>
      <c r="M18" s="1">
        <v>4679</v>
      </c>
      <c r="N18" s="1" t="s">
        <v>59</v>
      </c>
      <c r="O18" s="1">
        <v>1066640</v>
      </c>
      <c r="P18" s="1">
        <v>1572450</v>
      </c>
      <c r="Q18" s="1" t="s">
        <v>48</v>
      </c>
      <c r="R18" s="11">
        <v>4.6260800361600003</v>
      </c>
      <c r="S18" s="11">
        <v>2.8387699127200001</v>
      </c>
      <c r="T18" s="3">
        <v>1895</v>
      </c>
      <c r="U18" s="3" t="s">
        <v>27</v>
      </c>
      <c r="V18" s="11">
        <v>3699.5186592700002</v>
      </c>
      <c r="W18" s="9">
        <f t="shared" si="0"/>
        <v>0.81674656308179461</v>
      </c>
      <c r="X18" s="9">
        <f t="shared" si="1"/>
        <v>0.84279754560821984</v>
      </c>
      <c r="Y18">
        <f t="shared" si="2"/>
        <v>0.83147244074218363</v>
      </c>
    </row>
    <row r="19" spans="1:25" x14ac:dyDescent="0.45">
      <c r="A19" s="3" t="s">
        <v>28</v>
      </c>
      <c r="B19" s="3">
        <v>1898</v>
      </c>
      <c r="C19" s="8">
        <v>855.52818090100004</v>
      </c>
      <c r="D19" s="4">
        <v>1E-3</v>
      </c>
      <c r="E19" s="6">
        <v>49</v>
      </c>
      <c r="F19" s="6">
        <v>61</v>
      </c>
      <c r="G19" s="6">
        <v>855.52818090100004</v>
      </c>
      <c r="H19" s="6">
        <v>1070500.4850999999</v>
      </c>
      <c r="I19" s="6">
        <v>1571751.6527</v>
      </c>
      <c r="J19" s="6">
        <v>56.427665710399999</v>
      </c>
      <c r="K19" s="8">
        <v>720.61845266499995</v>
      </c>
      <c r="L19" s="1">
        <v>1898</v>
      </c>
      <c r="M19" s="1">
        <v>4663</v>
      </c>
      <c r="N19" s="1" t="s">
        <v>61</v>
      </c>
      <c r="O19" s="1">
        <v>1070190</v>
      </c>
      <c r="P19" s="1">
        <v>1571840</v>
      </c>
      <c r="Q19" s="1" t="s">
        <v>48</v>
      </c>
      <c r="R19" s="11">
        <v>0.61273598670999996</v>
      </c>
      <c r="S19" s="11">
        <v>0.32110199332200001</v>
      </c>
      <c r="T19" s="3">
        <v>1898</v>
      </c>
      <c r="U19" s="3" t="s">
        <v>28</v>
      </c>
      <c r="V19" s="11">
        <v>786.46272456700001</v>
      </c>
      <c r="W19" s="9">
        <f t="shared" si="0"/>
        <v>0.84230825909916862</v>
      </c>
      <c r="X19" s="9">
        <f t="shared" si="1"/>
        <v>0.9192715589318593</v>
      </c>
      <c r="Y19">
        <f t="shared" si="2"/>
        <v>0.11013062515520924</v>
      </c>
    </row>
    <row r="20" spans="1:25" x14ac:dyDescent="0.45">
      <c r="A20" s="3" t="s">
        <v>29</v>
      </c>
      <c r="B20" s="3">
        <v>1903</v>
      </c>
      <c r="C20" s="8">
        <v>3420.1386161400001</v>
      </c>
      <c r="D20" s="4">
        <v>1E-3</v>
      </c>
      <c r="E20" s="6">
        <v>56</v>
      </c>
      <c r="F20" s="6">
        <v>57</v>
      </c>
      <c r="G20" s="6">
        <v>3420.1386161400001</v>
      </c>
      <c r="H20" s="6">
        <v>1066278.2594999999</v>
      </c>
      <c r="I20" s="6">
        <v>1571223.8744999999</v>
      </c>
      <c r="J20" s="6">
        <v>51.155326843300003</v>
      </c>
      <c r="K20" s="8">
        <v>2528.3902273899998</v>
      </c>
      <c r="L20" s="1">
        <v>1903</v>
      </c>
      <c r="M20" s="1">
        <v>4643</v>
      </c>
      <c r="N20" s="1" t="s">
        <v>62</v>
      </c>
      <c r="O20" s="1">
        <v>1065170</v>
      </c>
      <c r="P20" s="1">
        <v>1570400</v>
      </c>
      <c r="Q20" s="1" t="s">
        <v>48</v>
      </c>
      <c r="R20" s="11">
        <v>4.8513298034699996</v>
      </c>
      <c r="S20" s="11">
        <v>2.9491500854499999</v>
      </c>
      <c r="T20" s="3">
        <v>1903</v>
      </c>
      <c r="U20" s="3" t="s">
        <v>29</v>
      </c>
      <c r="V20" s="11">
        <v>2809.8867406700001</v>
      </c>
      <c r="W20" s="9">
        <f t="shared" si="0"/>
        <v>0.73926542493285385</v>
      </c>
      <c r="X20" s="9">
        <f t="shared" si="1"/>
        <v>0.82157101101395247</v>
      </c>
      <c r="Y20">
        <f t="shared" si="2"/>
        <v>0.87195789977832217</v>
      </c>
    </row>
    <row r="21" spans="1:25" x14ac:dyDescent="0.45">
      <c r="A21" s="3" t="s">
        <v>30</v>
      </c>
      <c r="B21" s="3">
        <v>1907</v>
      </c>
      <c r="C21" s="8">
        <v>2208.2649522500001</v>
      </c>
      <c r="D21" s="4">
        <v>1E-3</v>
      </c>
      <c r="E21" s="6">
        <v>39</v>
      </c>
      <c r="F21" s="6">
        <v>43</v>
      </c>
      <c r="G21" s="6">
        <v>2208.2649522500001</v>
      </c>
      <c r="H21" s="6">
        <v>1060250.4768999999</v>
      </c>
      <c r="I21" s="6">
        <v>1570223.8737000001</v>
      </c>
      <c r="J21" s="6">
        <v>47.235168457</v>
      </c>
      <c r="K21" s="8">
        <v>1645.23386007</v>
      </c>
      <c r="L21" s="1">
        <v>1907</v>
      </c>
      <c r="M21" s="1">
        <v>4640</v>
      </c>
      <c r="N21" s="1" t="s">
        <v>63</v>
      </c>
      <c r="O21" s="1">
        <v>1059500</v>
      </c>
      <c r="P21" s="1">
        <v>1570330</v>
      </c>
      <c r="Q21" s="1" t="s">
        <v>48</v>
      </c>
      <c r="R21" s="11">
        <v>5.5006399154699999</v>
      </c>
      <c r="S21" s="11">
        <v>3.2609701156600002</v>
      </c>
      <c r="T21" s="3">
        <v>1907</v>
      </c>
      <c r="U21" s="3" t="s">
        <v>30</v>
      </c>
      <c r="V21" s="11">
        <v>1929.6512252099999</v>
      </c>
      <c r="W21" s="9">
        <f t="shared" si="0"/>
        <v>0.7450346292883343</v>
      </c>
      <c r="X21" s="9">
        <f t="shared" si="1"/>
        <v>0.8738313866023546</v>
      </c>
      <c r="Y21">
        <f t="shared" si="2"/>
        <v>0.98866220653548864</v>
      </c>
    </row>
    <row r="22" spans="1:25" x14ac:dyDescent="0.45">
      <c r="A22" s="3" t="s">
        <v>35</v>
      </c>
      <c r="B22" s="3">
        <v>1910</v>
      </c>
      <c r="C22" s="8">
        <v>1630.51477135</v>
      </c>
      <c r="D22" s="4">
        <v>6.1330324482300001E-3</v>
      </c>
      <c r="E22" s="6">
        <v>49</v>
      </c>
      <c r="F22" s="6">
        <v>39</v>
      </c>
      <c r="G22" s="6">
        <v>1630.51477135</v>
      </c>
      <c r="H22" s="6">
        <v>1061861.5893000001</v>
      </c>
      <c r="I22" s="6">
        <v>1570334.9849</v>
      </c>
      <c r="J22" s="6">
        <v>48.527557373</v>
      </c>
      <c r="K22" s="8">
        <v>1372.4032453699999</v>
      </c>
      <c r="L22" s="1">
        <v>1910</v>
      </c>
      <c r="M22" s="1">
        <v>4648</v>
      </c>
      <c r="N22" s="1" t="s">
        <v>64</v>
      </c>
      <c r="O22" s="1">
        <v>1061110</v>
      </c>
      <c r="P22" s="1">
        <v>1570650</v>
      </c>
      <c r="Q22" s="1" t="s">
        <v>48</v>
      </c>
      <c r="R22" s="11">
        <v>5.4903798103300003</v>
      </c>
      <c r="S22" s="11">
        <v>3.25608992577</v>
      </c>
      <c r="T22" s="3">
        <v>1910</v>
      </c>
      <c r="U22" s="3" t="s">
        <v>35</v>
      </c>
      <c r="V22" s="11">
        <v>1521.51661184</v>
      </c>
      <c r="W22" s="9">
        <f t="shared" si="0"/>
        <v>0.84169936359037445</v>
      </c>
      <c r="X22" s="9">
        <f t="shared" si="1"/>
        <v>0.93315107509283468</v>
      </c>
      <c r="Y22">
        <f t="shared" si="2"/>
        <v>0.9868180977876192</v>
      </c>
    </row>
    <row r="23" spans="1:25" x14ac:dyDescent="0.45">
      <c r="A23" s="3" t="s">
        <v>31</v>
      </c>
      <c r="B23" s="3">
        <v>1911</v>
      </c>
      <c r="C23" s="8">
        <v>3563.7935331499998</v>
      </c>
      <c r="D23" s="4">
        <v>3.9283981717199998E-3</v>
      </c>
      <c r="E23" s="6">
        <v>57</v>
      </c>
      <c r="F23" s="6">
        <v>43</v>
      </c>
      <c r="G23" s="6">
        <v>3563.7935331499998</v>
      </c>
      <c r="H23" s="6">
        <v>1064139.3688999999</v>
      </c>
      <c r="I23" s="6">
        <v>1569751.6510999999</v>
      </c>
      <c r="J23" s="6">
        <v>49.486228942899999</v>
      </c>
      <c r="K23" s="8">
        <v>2802.8061734100002</v>
      </c>
      <c r="L23" s="1">
        <v>1911</v>
      </c>
      <c r="M23" s="1">
        <v>4622</v>
      </c>
      <c r="N23" s="1" t="s">
        <v>65</v>
      </c>
      <c r="O23" s="1">
        <v>1062590</v>
      </c>
      <c r="P23" s="1">
        <v>1569480</v>
      </c>
      <c r="Q23" s="1" t="s">
        <v>48</v>
      </c>
      <c r="R23" s="11">
        <v>5.17547988892</v>
      </c>
      <c r="S23" s="11">
        <v>3.1074199676499998</v>
      </c>
      <c r="T23" s="3">
        <v>1911</v>
      </c>
      <c r="U23" s="3" t="s">
        <v>31</v>
      </c>
      <c r="V23" s="11">
        <v>3179.5725446800002</v>
      </c>
      <c r="W23" s="9">
        <f t="shared" si="0"/>
        <v>0.78646704623559638</v>
      </c>
      <c r="X23" s="9">
        <f t="shared" si="1"/>
        <v>0.89218764081139379</v>
      </c>
      <c r="Y23">
        <f t="shared" si="2"/>
        <v>0.9302192918444272</v>
      </c>
    </row>
    <row r="24" spans="1:25" x14ac:dyDescent="0.45">
      <c r="A24" s="3" t="s">
        <v>32</v>
      </c>
      <c r="B24" s="3">
        <v>1912</v>
      </c>
      <c r="C24" s="8">
        <v>9751.7013164599994</v>
      </c>
      <c r="D24" s="4">
        <v>2.1534703861899999E-3</v>
      </c>
      <c r="E24" s="6">
        <v>90</v>
      </c>
      <c r="F24" s="6">
        <v>69</v>
      </c>
      <c r="G24" s="6">
        <v>9751.7013164599994</v>
      </c>
      <c r="H24" s="6">
        <v>1083444.9399000001</v>
      </c>
      <c r="I24" s="6">
        <v>1570890.5408999999</v>
      </c>
      <c r="J24" s="6">
        <v>79</v>
      </c>
      <c r="K24" s="8">
        <v>7716.5308499399998</v>
      </c>
      <c r="L24" s="1">
        <v>1912</v>
      </c>
      <c r="M24" s="1">
        <v>4660</v>
      </c>
      <c r="N24" s="1" t="s">
        <v>58</v>
      </c>
      <c r="O24" s="1">
        <v>1080530</v>
      </c>
      <c r="P24" s="1">
        <v>1573390</v>
      </c>
      <c r="Q24" s="1" t="s">
        <v>48</v>
      </c>
      <c r="R24" s="11">
        <v>2.8180799484299999</v>
      </c>
      <c r="S24" s="11">
        <v>1.8853600025199999</v>
      </c>
      <c r="T24" s="3">
        <v>1912</v>
      </c>
      <c r="U24" s="3" t="s">
        <v>32</v>
      </c>
      <c r="V24" s="11">
        <v>8045.8635310400005</v>
      </c>
      <c r="W24" s="9">
        <f t="shared" si="0"/>
        <v>0.79130098426160633</v>
      </c>
      <c r="X24" s="9">
        <f t="shared" si="1"/>
        <v>0.8250728021642032</v>
      </c>
      <c r="Y24">
        <f t="shared" si="2"/>
        <v>0.50651000298574533</v>
      </c>
    </row>
    <row r="25" spans="1:25" x14ac:dyDescent="0.45">
      <c r="A25" s="3" t="s">
        <v>33</v>
      </c>
      <c r="B25" s="3">
        <v>1989</v>
      </c>
      <c r="C25" s="8">
        <v>1915.85049792</v>
      </c>
      <c r="D25" s="4">
        <v>3.1317683746800002E-3</v>
      </c>
      <c r="E25" s="6">
        <v>43</v>
      </c>
      <c r="F25" s="6">
        <v>37</v>
      </c>
      <c r="G25" s="6">
        <v>1915.85049792</v>
      </c>
      <c r="H25" s="6">
        <v>1058611.5867000001</v>
      </c>
      <c r="I25" s="6">
        <v>1570196.0959000001</v>
      </c>
      <c r="J25" s="6">
        <v>46</v>
      </c>
      <c r="K25" s="8">
        <v>1778.6470444300001</v>
      </c>
      <c r="L25" s="1">
        <v>1989</v>
      </c>
      <c r="M25" s="1">
        <v>4609</v>
      </c>
      <c r="N25" s="1" t="s">
        <v>66</v>
      </c>
      <c r="O25" s="1">
        <v>1057740</v>
      </c>
      <c r="P25" s="1">
        <v>1570200</v>
      </c>
      <c r="Q25" s="1" t="s">
        <v>67</v>
      </c>
      <c r="R25" s="11">
        <v>5.5637202262900001</v>
      </c>
      <c r="S25" s="11">
        <v>3.2902300357800001</v>
      </c>
      <c r="T25" s="3">
        <v>1989</v>
      </c>
      <c r="U25" s="3" t="s">
        <v>33</v>
      </c>
      <c r="V25" s="11">
        <v>1807.5510200199999</v>
      </c>
      <c r="W25" s="9">
        <f t="shared" si="0"/>
        <v>0.9283850939105327</v>
      </c>
      <c r="X25" s="9">
        <f t="shared" si="1"/>
        <v>0.94347185335307815</v>
      </c>
      <c r="Y25">
        <f t="shared" si="2"/>
        <v>1</v>
      </c>
    </row>
    <row r="26" spans="1:25" x14ac:dyDescent="0.45">
      <c r="A26" s="3" t="s">
        <v>34</v>
      </c>
      <c r="B26" s="3">
        <v>1993</v>
      </c>
      <c r="C26" s="8">
        <v>515.454556422</v>
      </c>
      <c r="D26" s="4">
        <v>1E-3</v>
      </c>
      <c r="E26" s="6">
        <v>43</v>
      </c>
      <c r="F26" s="6">
        <v>49</v>
      </c>
      <c r="G26" s="6">
        <v>515.454556422</v>
      </c>
      <c r="H26" s="6">
        <v>1062354.6453</v>
      </c>
      <c r="I26" s="6">
        <v>1569647.4844</v>
      </c>
      <c r="J26" s="6">
        <v>48.327697753899997</v>
      </c>
      <c r="K26" s="8">
        <v>494.569668288</v>
      </c>
      <c r="L26" s="1">
        <v>1993</v>
      </c>
      <c r="M26" s="1">
        <v>4610</v>
      </c>
      <c r="N26" s="1" t="s">
        <v>68</v>
      </c>
      <c r="O26" s="1">
        <v>1062220</v>
      </c>
      <c r="P26" s="1">
        <v>1569900</v>
      </c>
      <c r="Q26" s="1" t="s">
        <v>67</v>
      </c>
      <c r="R26" s="11">
        <v>5.1854500770599996</v>
      </c>
      <c r="S26" s="11">
        <v>3.1121299266800002</v>
      </c>
      <c r="T26" s="3">
        <v>1993</v>
      </c>
      <c r="U26" s="3" t="s">
        <v>34</v>
      </c>
      <c r="V26" s="11">
        <v>505.46410226699999</v>
      </c>
      <c r="W26" s="9">
        <f t="shared" si="0"/>
        <v>0.95948258120178176</v>
      </c>
      <c r="X26" s="9">
        <f t="shared" si="1"/>
        <v>0.98061816695472015</v>
      </c>
      <c r="Y26">
        <f t="shared" si="2"/>
        <v>0.93201129211304024</v>
      </c>
    </row>
    <row r="27" spans="1:25" x14ac:dyDescent="0.45">
      <c r="A27" s="3" t="s">
        <v>36</v>
      </c>
      <c r="B27" s="3">
        <v>1998</v>
      </c>
      <c r="C27" s="8">
        <v>122.61714149300001</v>
      </c>
      <c r="D27" s="4">
        <v>1E-3</v>
      </c>
      <c r="E27" s="6">
        <v>76</v>
      </c>
      <c r="F27" s="6">
        <v>76</v>
      </c>
      <c r="G27" s="6">
        <v>122.61714149300001</v>
      </c>
      <c r="H27" s="6">
        <v>1088410.2217000001</v>
      </c>
      <c r="I27" s="6">
        <v>1572966.9314999999</v>
      </c>
      <c r="J27" s="6">
        <v>78</v>
      </c>
      <c r="K27" s="8">
        <v>114.530803447</v>
      </c>
      <c r="L27" s="1">
        <v>1998</v>
      </c>
      <c r="M27" s="1">
        <v>4611</v>
      </c>
      <c r="N27" s="1" t="s">
        <v>69</v>
      </c>
      <c r="O27" s="1">
        <v>1088360</v>
      </c>
      <c r="P27" s="1">
        <v>1572980</v>
      </c>
      <c r="Q27" s="1" t="s">
        <v>67</v>
      </c>
      <c r="R27" s="11">
        <v>0.98973298072799998</v>
      </c>
      <c r="S27" s="11">
        <v>0.719223976135</v>
      </c>
      <c r="T27" s="3">
        <v>1998</v>
      </c>
      <c r="U27" s="3" t="s">
        <v>36</v>
      </c>
      <c r="V27" s="11">
        <v>119.980647097</v>
      </c>
      <c r="W27" s="9">
        <f t="shared" si="0"/>
        <v>0.93405214028365158</v>
      </c>
      <c r="X27" s="9">
        <f t="shared" si="1"/>
        <v>0.97849815805606166</v>
      </c>
      <c r="Y27">
        <f t="shared" si="2"/>
        <v>0.17789050140430474</v>
      </c>
    </row>
    <row r="28" spans="1:25" x14ac:dyDescent="0.45">
      <c r="R28" s="2">
        <f>MAX(R2:R27)</f>
        <v>5.5637202262900001</v>
      </c>
    </row>
    <row r="29" spans="1:25" x14ac:dyDescent="0.45">
      <c r="E29" s="2">
        <v>24027</v>
      </c>
      <c r="L29" s="1">
        <v>24027</v>
      </c>
      <c r="M29" s="2"/>
      <c r="P29" s="1"/>
      <c r="R29" s="14"/>
      <c r="S29" s="14"/>
    </row>
    <row r="30" spans="1:25" ht="18" x14ac:dyDescent="0.55000000000000004">
      <c r="E30" s="2">
        <f>1.2799*E29^-0.057</f>
        <v>0.72023822163815965</v>
      </c>
      <c r="F30" s="2">
        <f>E29/E30</f>
        <v>33359.795798328123</v>
      </c>
      <c r="L30" s="5">
        <f>1.2747*L29^-0.046</f>
        <v>0.80148575250044629</v>
      </c>
      <c r="M30" s="13">
        <f>L29/L30</f>
        <v>29978.075000137473</v>
      </c>
      <c r="R30" s="15"/>
      <c r="S30" s="15"/>
    </row>
    <row r="38" spans="22:22" x14ac:dyDescent="0.45">
      <c r="V38" s="12"/>
    </row>
  </sheetData>
  <autoFilter ref="A1:U27" xr:uid="{00000000-0009-0000-0000-000003000000}"/>
  <sortState xmlns:xlrd2="http://schemas.microsoft.com/office/spreadsheetml/2017/richdata2" ref="A2:O28">
    <sortCondition ref="B2:B28"/>
  </sortState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3:C24"/>
  <sheetViews>
    <sheetView workbookViewId="0">
      <selection activeCell="F23" sqref="F23"/>
    </sheetView>
  </sheetViews>
  <sheetFormatPr defaultColWidth="10.6640625" defaultRowHeight="14.25" x14ac:dyDescent="0.45"/>
  <sheetData>
    <row r="3" spans="2:3" x14ac:dyDescent="0.45">
      <c r="B3" t="s">
        <v>42</v>
      </c>
      <c r="C3" t="s">
        <v>43</v>
      </c>
    </row>
    <row r="4" spans="2:3" x14ac:dyDescent="0.45">
      <c r="B4">
        <v>0</v>
      </c>
      <c r="C4">
        <f>SIN(B4)</f>
        <v>0</v>
      </c>
    </row>
    <row r="5" spans="2:3" x14ac:dyDescent="0.45">
      <c r="B5">
        <v>0.5</v>
      </c>
      <c r="C5">
        <f t="shared" ref="C5:C24" si="0">SIN(B5)</f>
        <v>0.47942553860420301</v>
      </c>
    </row>
    <row r="6" spans="2:3" x14ac:dyDescent="0.45">
      <c r="B6">
        <v>1</v>
      </c>
      <c r="C6">
        <f t="shared" si="0"/>
        <v>0.8414709848078965</v>
      </c>
    </row>
    <row r="7" spans="2:3" x14ac:dyDescent="0.45">
      <c r="B7">
        <v>1.5</v>
      </c>
      <c r="C7">
        <f t="shared" si="0"/>
        <v>0.99749498660405445</v>
      </c>
    </row>
    <row r="8" spans="2:3" x14ac:dyDescent="0.45">
      <c r="B8">
        <v>2</v>
      </c>
      <c r="C8">
        <f t="shared" si="0"/>
        <v>0.90929742682568171</v>
      </c>
    </row>
    <row r="9" spans="2:3" x14ac:dyDescent="0.45">
      <c r="B9">
        <v>2.5</v>
      </c>
      <c r="C9">
        <f t="shared" si="0"/>
        <v>0.59847214410395655</v>
      </c>
    </row>
    <row r="10" spans="2:3" x14ac:dyDescent="0.45">
      <c r="B10">
        <v>3</v>
      </c>
      <c r="C10">
        <f t="shared" si="0"/>
        <v>0.14112000805986721</v>
      </c>
    </row>
    <row r="11" spans="2:3" x14ac:dyDescent="0.45">
      <c r="B11">
        <v>3.5</v>
      </c>
      <c r="C11">
        <f t="shared" si="0"/>
        <v>-0.35078322768961984</v>
      </c>
    </row>
    <row r="12" spans="2:3" x14ac:dyDescent="0.45">
      <c r="B12">
        <v>4</v>
      </c>
      <c r="C12">
        <f t="shared" si="0"/>
        <v>-0.7568024953079282</v>
      </c>
    </row>
    <row r="13" spans="2:3" x14ac:dyDescent="0.45">
      <c r="B13">
        <v>4.5</v>
      </c>
      <c r="C13">
        <f t="shared" si="0"/>
        <v>-0.97753011766509701</v>
      </c>
    </row>
    <row r="14" spans="2:3" x14ac:dyDescent="0.45">
      <c r="B14">
        <v>5</v>
      </c>
      <c r="C14">
        <f t="shared" si="0"/>
        <v>-0.95892427466313845</v>
      </c>
    </row>
    <row r="15" spans="2:3" x14ac:dyDescent="0.45">
      <c r="B15">
        <v>5.5</v>
      </c>
      <c r="C15">
        <f t="shared" si="0"/>
        <v>-0.70554032557039192</v>
      </c>
    </row>
    <row r="16" spans="2:3" x14ac:dyDescent="0.45">
      <c r="B16">
        <v>6</v>
      </c>
      <c r="C16">
        <f t="shared" si="0"/>
        <v>-0.27941549819892586</v>
      </c>
    </row>
    <row r="17" spans="2:3" x14ac:dyDescent="0.45">
      <c r="B17">
        <v>6.5</v>
      </c>
      <c r="C17">
        <f t="shared" si="0"/>
        <v>0.21511998808781552</v>
      </c>
    </row>
    <row r="18" spans="2:3" x14ac:dyDescent="0.45">
      <c r="B18">
        <v>7</v>
      </c>
      <c r="C18">
        <f t="shared" si="0"/>
        <v>0.65698659871878906</v>
      </c>
    </row>
    <row r="19" spans="2:3" x14ac:dyDescent="0.45">
      <c r="B19">
        <v>7.5</v>
      </c>
      <c r="C19">
        <f t="shared" si="0"/>
        <v>0.9379999767747389</v>
      </c>
    </row>
    <row r="20" spans="2:3" x14ac:dyDescent="0.45">
      <c r="B20">
        <v>8</v>
      </c>
      <c r="C20">
        <f t="shared" si="0"/>
        <v>0.98935824662338179</v>
      </c>
    </row>
    <row r="21" spans="2:3" x14ac:dyDescent="0.45">
      <c r="B21">
        <v>8.5</v>
      </c>
      <c r="C21">
        <f t="shared" si="0"/>
        <v>0.79848711262349026</v>
      </c>
    </row>
    <row r="22" spans="2:3" x14ac:dyDescent="0.45">
      <c r="B22">
        <v>9</v>
      </c>
      <c r="C22">
        <f t="shared" si="0"/>
        <v>0.41211848524175659</v>
      </c>
    </row>
    <row r="23" spans="2:3" x14ac:dyDescent="0.45">
      <c r="B23">
        <v>9.5</v>
      </c>
      <c r="C23">
        <f t="shared" si="0"/>
        <v>-7.5151120461809301E-2</v>
      </c>
    </row>
    <row r="24" spans="2:3" x14ac:dyDescent="0.45">
      <c r="B24">
        <v>10</v>
      </c>
      <c r="C24">
        <f t="shared" si="0"/>
        <v>-0.54402111088936977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3:D6"/>
  <sheetViews>
    <sheetView tabSelected="1" workbookViewId="0">
      <selection activeCell="C6" sqref="C6"/>
    </sheetView>
  </sheetViews>
  <sheetFormatPr defaultColWidth="10.6640625" defaultRowHeight="14.25" x14ac:dyDescent="0.45"/>
  <cols>
    <col min="2" max="2" width="14.86328125" bestFit="1" customWidth="1"/>
    <col min="4" max="4" width="38" style="10" customWidth="1"/>
  </cols>
  <sheetData>
    <row r="3" spans="2:4" x14ac:dyDescent="0.45">
      <c r="B3" t="s">
        <v>38</v>
      </c>
    </row>
    <row r="5" spans="2:4" x14ac:dyDescent="0.45">
      <c r="B5" t="s">
        <v>39</v>
      </c>
      <c r="C5">
        <v>0.39746400713899999</v>
      </c>
      <c r="D5" s="10">
        <f>+C5/C6</f>
        <v>7.1438535213669982E-2</v>
      </c>
    </row>
    <row r="6" spans="2:4" x14ac:dyDescent="0.45">
      <c r="B6" t="s">
        <v>40</v>
      </c>
      <c r="C6">
        <v>5.56372</v>
      </c>
      <c r="D6" s="10">
        <f>C6/C6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INICIO</vt:lpstr>
      <vt:lpstr>DiseñoSinuoso</vt:lpstr>
      <vt:lpstr>ProcedimientoARCGIS</vt:lpstr>
      <vt:lpstr>CALCULOSINUOSIDAD</vt:lpstr>
      <vt:lpstr>Hoja2</vt:lpstr>
      <vt:lpstr>Hoja1</vt:lpstr>
      <vt:lpstr>alphaSemilla</vt:lpstr>
      <vt:lpstr>alphaVal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2022-07-25T16:03:32Z</dcterms:modified>
</cp:coreProperties>
</file>