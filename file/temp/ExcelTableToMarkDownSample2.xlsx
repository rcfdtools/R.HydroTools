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.HydroTools\file\temp\"/>
    </mc:Choice>
  </mc:AlternateContent>
  <xr:revisionPtr revIDLastSave="0" documentId="13_ncr:1_{87420776-12CE-4D45-BAAB-5BDBB8F828A6}" xr6:coauthVersionLast="47" xr6:coauthVersionMax="47" xr10:uidLastSave="{00000000-0000-0000-0000-000000000000}"/>
  <bookViews>
    <workbookView xWindow="-98" yWindow="-98" windowWidth="23236" windowHeight="13875" xr2:uid="{D94F812B-BC61-4A22-9692-634766FE0D40}"/>
  </bookViews>
  <sheets>
    <sheet name="Sample" sheetId="1" r:id="rId1"/>
  </sheets>
  <definedNames>
    <definedName name="_Toc107986980" localSheetId="0">Sample!$B$9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03" i="1" l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3" i="1"/>
  <c r="U4" i="1"/>
  <c r="U3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5" i="1"/>
  <c r="P4" i="1"/>
  <c r="S3" i="1"/>
  <c r="R3" i="1"/>
  <c r="S4" i="1"/>
  <c r="R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5" i="1"/>
  <c r="R5" i="1"/>
  <c r="Q4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Q3" i="1"/>
  <c r="P5" i="1"/>
  <c r="P7" i="1"/>
  <c r="Q7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6" i="1"/>
  <c r="P3" i="1"/>
</calcChain>
</file>

<file path=xl/sharedStrings.xml><?xml version="1.0" encoding="utf-8"?>
<sst xmlns="http://schemas.openxmlformats.org/spreadsheetml/2006/main" count="395" uniqueCount="95">
  <si>
    <t>Creación de tablas en formato .md</t>
  </si>
  <si>
    <t>Texto para dos columnas</t>
  </si>
  <si>
    <t>Texto para tres columnas</t>
  </si>
  <si>
    <t>Texto para cuatro columnas</t>
  </si>
  <si>
    <t>---</t>
  </si>
  <si>
    <t>Texto para cinco columnas</t>
  </si>
  <si>
    <t>Texto para 13 columnas</t>
  </si>
  <si>
    <t>CNCode</t>
  </si>
  <si>
    <t>Zone</t>
  </si>
  <si>
    <t>CoverType</t>
  </si>
  <si>
    <t>Treatment</t>
  </si>
  <si>
    <t>HydroCond</t>
  </si>
  <si>
    <t>HydroDesc</t>
  </si>
  <si>
    <t>CNA</t>
  </si>
  <si>
    <t>CNB</t>
  </si>
  <si>
    <t>CNC</t>
  </si>
  <si>
    <t>CND</t>
  </si>
  <si>
    <t>Urban area</t>
  </si>
  <si>
    <t>Fully developed urban areas - Open space (lawns, parks, golf courses, cemeteries, etc.)</t>
  </si>
  <si>
    <t>Poor condition (grass cover &lt; 50%)</t>
  </si>
  <si>
    <t>Unique</t>
  </si>
  <si>
    <t>CN's shown are equivalent to those of pasture. Composite CN's may be computed for other combinations of open space cover type.</t>
  </si>
  <si>
    <t>Fair condition (grass cover 50% to 75%)</t>
  </si>
  <si>
    <t>Good condition (grass cover &gt; 75%)</t>
  </si>
  <si>
    <t>Fully developed urban areas - Impervious areas</t>
  </si>
  <si>
    <t>Paved parking lots, roofs, driveways, etc</t>
  </si>
  <si>
    <t>Fully developed urban areas - Streets and roads</t>
  </si>
  <si>
    <t>Paved; curbs and storm sewers</t>
  </si>
  <si>
    <t>Paved; open ditches (including right-of-way)</t>
  </si>
  <si>
    <t>Gravel (including right-of-way)</t>
  </si>
  <si>
    <t>Dirt (including right-of-way)</t>
  </si>
  <si>
    <t>Fully developed urban areas - Western desert urban areas</t>
  </si>
  <si>
    <t>Natural desert landscaping (pervious areas only)</t>
  </si>
  <si>
    <t>Composite CN's for natural desert landscaping should be computed using figures 2-3 or 2-4 based on the impervious area percentage (CN = 98) and the pervious area CN. The pervious area CN's are assumed equivalent to desert shrub in poor hydrologic condition.</t>
  </si>
  <si>
    <t>Artificial desert landscaping (impervious weed barrier, desert shrub with 1- to 2-inch sand or gravel mulch and basin borders)</t>
  </si>
  <si>
    <t>Fully developed urban areas - Urban districts</t>
  </si>
  <si>
    <t>Commercial and business. Average percent impervious area: 85</t>
  </si>
  <si>
    <t>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</t>
  </si>
  <si>
    <t>Industrial. Average percent impervious area: 72</t>
  </si>
  <si>
    <t>Fully developed urban areas - Residential districts by average lot size</t>
  </si>
  <si>
    <t>1/8 acre or less (town houses). Average percent impervious area: 65</t>
  </si>
  <si>
    <t>1/4 acre. Average percent impervious area: 38</t>
  </si>
  <si>
    <t>1/3 acre. Average percent impervious area: 30</t>
  </si>
  <si>
    <t>1/2 acre. Average percent impervious area: 25</t>
  </si>
  <si>
    <t>1 acre. Average percent impervious area: 20</t>
  </si>
  <si>
    <t>2 acre. Average percent impervious area: 12</t>
  </si>
  <si>
    <t>Developing urban areas</t>
  </si>
  <si>
    <t>Newly graded areas (pervious areas only, no vegetation)</t>
  </si>
  <si>
    <t>Composite CN's to use for the design of temporary measures during grading and construction should be computed using figure 2-3 or 2-4, based on the degree of development (imperviousness area percentage) and the CN's for the newly graded pervious areas.</t>
  </si>
  <si>
    <t>Cultivated agricultural lands</t>
  </si>
  <si>
    <t>Fallow</t>
  </si>
  <si>
    <t>Bare soil</t>
  </si>
  <si>
    <t>Crop residue cover (CR)</t>
  </si>
  <si>
    <t>Poor</t>
  </si>
  <si>
    <t>Factors impair infiltration and tend to increase runoff.</t>
  </si>
  <si>
    <t>Good</t>
  </si>
  <si>
    <t>Factors encourage average and better than average infiltration and tend to decrease runoff.</t>
  </si>
  <si>
    <t>Row crops</t>
  </si>
  <si>
    <t>Straight row (SR)</t>
  </si>
  <si>
    <t>Straight row (SR) + Crop residue cover (CR)</t>
  </si>
  <si>
    <t>Contoured (C)</t>
  </si>
  <si>
    <t>Contoured (C) + Crop residue cover (CR)</t>
  </si>
  <si>
    <t>Contoured &amp; terraced (C &amp; T)</t>
  </si>
  <si>
    <t>Contoured &amp; terraced (C &amp; T) + Crop residue cover (CR)</t>
  </si>
  <si>
    <t>Small grain</t>
  </si>
  <si>
    <t>Close-seeded or broadcast legumes or rotation meadow</t>
  </si>
  <si>
    <t>Other agricultural lands</t>
  </si>
  <si>
    <t>Pasture, grassland, or range – continuous forage for graving</t>
  </si>
  <si>
    <t>Fair</t>
  </si>
  <si>
    <t>50 to 75% ground cover and not heavily grazed.</t>
  </si>
  <si>
    <t>&gt;75% ground cover and lightly or only occasionally grazed.</t>
  </si>
  <si>
    <t>Meadow – continuous grass, protected from grazing and generally mowed for hay</t>
  </si>
  <si>
    <t>Brush – brush-weed mixture with brush the major element</t>
  </si>
  <si>
    <t>50 to 75% ground cover.</t>
  </si>
  <si>
    <t>&gt;75% ground cover. Actual curve number is less than 30; use CN=30 for runoff computations.</t>
  </si>
  <si>
    <t>Woods – grass combination (orchard or tree farm)</t>
  </si>
  <si>
    <t>CN's shown were computed for areas with 50% woods and 50% grass (pasture) cover. Other combinations of conditions may be computed from the CN's for woods and pasture.</t>
  </si>
  <si>
    <t>Woods</t>
  </si>
  <si>
    <t>Forest litter, small trees, and brush are destroyed by heavy grazing or regular burning.</t>
  </si>
  <si>
    <t>Woods are grazed but not burned, and some forest litter covers the soil.</t>
  </si>
  <si>
    <t>Woods are protected from grazing, and litter and brush adequately cover the soil. Actual curve number is less than 30; use CN=30 for runoff computations.</t>
  </si>
  <si>
    <t>Farmsteads – buildings, lanes, driveways, surrounding lots</t>
  </si>
  <si>
    <t>Arid and semiarid rangelands</t>
  </si>
  <si>
    <t>Herbaceous – mixture of grass, weeds, and low-growing brush, with brush the minor element</t>
  </si>
  <si>
    <t>30 to 70% ground cover. Curve numbers for group A have been developed only for desert shrub.</t>
  </si>
  <si>
    <t>&gt;70% ground cover.</t>
  </si>
  <si>
    <t>Oak-aspen – mountain brush mixture of oak brush, aspen, mountain mahogany, bitter brush, maple, and other brush</t>
  </si>
  <si>
    <t>&gt;70% ground cover. Curve numbers for group A have been developed only for desert shrub.</t>
  </si>
  <si>
    <t>Pinyon-juniper – pinyon, juniper, or both; grass understory</t>
  </si>
  <si>
    <t>Sagebrush with grass understory</t>
  </si>
  <si>
    <t>Desert shrub – major plants include saltbrush, greasewood, creosotebush, blackbrush, bursage, palo verde, mesquite, and cactus.</t>
  </si>
  <si>
    <t>Unclassified</t>
  </si>
  <si>
    <t>Water body</t>
  </si>
  <si>
    <t>rcfdtools</t>
  </si>
  <si>
    <t>Texto para 10 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</si>
</sst>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Segoe UI Light"/>
      <family val="2"/>
    </font>
    <font>
      <sz val="11"/>
      <color theme="1"/>
      <name val="Calibri"/>
      <family val="2"/>
      <scheme val="minor"/>
    </font>
    <font>
      <sz val="10"/>
      <color theme="0" tint="-0.249977111117893"/>
      <name val="Segoe UI Light"/>
      <family val="2"/>
    </font>
    <font>
      <sz val="10"/>
      <color rgb="FFC00000"/>
      <name val="Segoe UI Ligh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10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3" fillId="0" borderId="2" xfId="0" quotePrefix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D06E641-BF8A-45C3-B403-2D323D5F293E}"/>
    <cellStyle name="Note 2" xfId="42" xr:uid="{97716C7B-F92D-4DA8-BC18-20B1DF81F53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19A4-40DE-42A8-B3E2-A2516218588C}">
  <dimension ref="B2:U103"/>
  <sheetViews>
    <sheetView showGridLines="0" tabSelected="1" topLeftCell="S1" zoomScale="130" zoomScaleNormal="130" workbookViewId="0">
      <pane ySplit="4" topLeftCell="A84" activePane="bottomLeft" state="frozen"/>
      <selection pane="bottomLeft" activeCell="T3" sqref="T3:T86"/>
    </sheetView>
  </sheetViews>
  <sheetFormatPr defaultColWidth="9.140625" defaultRowHeight="15.4" x14ac:dyDescent="0.55000000000000004"/>
  <cols>
    <col min="1" max="1" width="2.7109375" style="1" customWidth="1"/>
    <col min="2" max="2" width="10.640625" style="1" customWidth="1"/>
    <col min="3" max="3" width="18.42578125" style="1" customWidth="1"/>
    <col min="4" max="4" width="24.5703125" style="1" customWidth="1"/>
    <col min="5" max="5" width="19.2109375" style="1" customWidth="1"/>
    <col min="6" max="6" width="18.28515625" style="1" customWidth="1"/>
    <col min="7" max="7" width="18.0703125" style="1" customWidth="1"/>
    <col min="8" max="14" width="3.42578125" style="1" customWidth="1"/>
    <col min="15" max="15" width="2.7109375" style="1" customWidth="1"/>
    <col min="16" max="19" width="74.140625" style="1" customWidth="1"/>
    <col min="20" max="20" width="79.35546875" style="1" customWidth="1"/>
    <col min="21" max="21" width="74.140625" style="1" customWidth="1"/>
    <col min="22" max="16384" width="9.140625" style="1"/>
  </cols>
  <sheetData>
    <row r="2" spans="2:21" x14ac:dyDescent="0.5500000000000000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 t="s">
        <v>1</v>
      </c>
      <c r="Q2" s="3" t="s">
        <v>2</v>
      </c>
      <c r="R2" s="3" t="s">
        <v>3</v>
      </c>
      <c r="S2" s="3" t="s">
        <v>5</v>
      </c>
      <c r="T2" s="3" t="s">
        <v>94</v>
      </c>
      <c r="U2" s="3" t="s">
        <v>6</v>
      </c>
    </row>
    <row r="3" spans="2:21" ht="30.75" x14ac:dyDescent="0.55000000000000004"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/>
      <c r="M3" s="4"/>
      <c r="N3" s="4"/>
      <c r="O3" s="4"/>
      <c r="P3" s="5" t="str">
        <f>_xlfn.CONCAT("| ",B3," | ",C3," |")</f>
        <v>| CNCode | Zone |</v>
      </c>
      <c r="Q3" s="5" t="str">
        <f>_xlfn.CONCAT("| ",B3," | ",C3," | ",D3," |")</f>
        <v>| CNCode | Zone | CoverType |</v>
      </c>
      <c r="R3" s="5" t="str">
        <f>_xlfn.CONCAT("| ",B3," | ",C3," | ",D3," | ",E3," |")</f>
        <v>| CNCode | Zone | CoverType | Treatment |</v>
      </c>
      <c r="S3" s="5" t="str">
        <f>_xlfn.CONCAT("| ",B3," | ",C3," | ",D3," | ",E3," |",F3," |")</f>
        <v>| CNCode | Zone | CoverType | Treatment |HydroCond |</v>
      </c>
      <c r="T3" s="5" t="str">
        <f>_xlfn.CONCAT("| ",B3," | ",C3," | ",D3," | ",E3," |",F3," |",G3," |",H3," |",I3," |",J3," |",K3," |")</f>
        <v>| CNCode | Zone | CoverType | Treatment |HydroCond |HydroDesc |CNA |CNB |CNC |CND |</v>
      </c>
      <c r="U3" s="5" t="str">
        <f>_xlfn.CONCAT("| ",B3," | ",C3," | ",D3," | ",E3," |",F3," |",G3," |",H3," |",I3," |",J3," |",K3," |",L3," |",M3," |",N3," |")</f>
        <v>| CNCode | Zone | CoverType | Treatment |HydroCond |HydroDesc |CNA |CNB |CNC |CND | | | |</v>
      </c>
    </row>
    <row r="4" spans="2:21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6" t="s">
        <v>4</v>
      </c>
      <c r="G4" s="6" t="s">
        <v>4</v>
      </c>
      <c r="H4" s="6" t="s">
        <v>4</v>
      </c>
      <c r="I4" s="6" t="s">
        <v>4</v>
      </c>
      <c r="J4" s="6" t="s">
        <v>4</v>
      </c>
      <c r="K4" s="6" t="s">
        <v>4</v>
      </c>
      <c r="L4" s="6" t="s">
        <v>4</v>
      </c>
      <c r="M4" s="6" t="s">
        <v>4</v>
      </c>
      <c r="N4" s="6" t="s">
        <v>4</v>
      </c>
      <c r="O4" s="7"/>
      <c r="P4" s="8" t="str">
        <f>_xlfn.CONCAT("|",B4,"|",C4,"|")</f>
        <v>|---|---|</v>
      </c>
      <c r="Q4" s="8" t="str">
        <f>_xlfn.CONCAT("|",B4,"|",C4,"|",D4,"|")</f>
        <v>|---|---|---|</v>
      </c>
      <c r="R4" s="8" t="str">
        <f>_xlfn.CONCAT("|",B4,"|",C4,"|",D4,"|",E4,"|")</f>
        <v>|---|---|---|---|</v>
      </c>
      <c r="S4" s="8" t="str">
        <f>_xlfn.CONCAT("|",B4,"|",C4,"|",D4,"|",E4,"|",F4,"|")</f>
        <v>|---|---|---|---|---|</v>
      </c>
      <c r="T4" s="5" t="str">
        <f t="shared" ref="T4:T67" si="0">_xlfn.CONCAT("| ",B4," | ",C4," | ",D4," | ",E4," |",F4," |",G4," |",H4," |",I4," |",J4," |",K4," |")</f>
        <v>| --- | --- | --- | --- |--- |--- |--- |--- |--- |--- |</v>
      </c>
      <c r="U4" s="5" t="str">
        <f>_xlfn.CONCAT("| ",B4," | ",C4," | ",D4," | ",E4," |",F4," |",G4," |",H4," |",I4," |",J4," |",K4," |",L4," |",M4," |",N4," |")</f>
        <v>| --- | --- | --- | --- |--- |--- |--- |--- |--- |--- |--- |--- |--- |</v>
      </c>
    </row>
    <row r="5" spans="2:21" ht="123" x14ac:dyDescent="0.55000000000000004">
      <c r="B5" s="5">
        <v>1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>
        <v>68</v>
      </c>
      <c r="I5" s="5">
        <v>79</v>
      </c>
      <c r="J5" s="5">
        <v>86</v>
      </c>
      <c r="K5" s="5">
        <v>89</v>
      </c>
      <c r="L5" s="5"/>
      <c r="M5" s="5"/>
      <c r="N5" s="5"/>
      <c r="O5" s="5"/>
      <c r="P5" s="5" t="str">
        <f>_xlfn.CONCAT("| ",B5," | ",C5," |")</f>
        <v>| 1 | Urban area |</v>
      </c>
      <c r="Q5" s="5" t="str">
        <f t="shared" ref="Q5:Q24" si="1">_xlfn.CONCAT("| ",B5," | ",C5," | ",D5," |")</f>
        <v>| 1 | Urban area | Fully developed urban areas - Open space (lawns, parks, golf courses, cemeteries, etc.) |</v>
      </c>
      <c r="R5" s="5" t="str">
        <f>_xlfn.CONCAT("| ",B5," | ",C5," | ",D5," | ",E5," |")</f>
        <v>| 1 | Urban area | Fully developed urban areas - Open space (lawns, parks, golf courses, cemeteries, etc.) | Poor condition (grass cover &lt; 50%) |</v>
      </c>
      <c r="S5" s="5" t="str">
        <f>_xlfn.CONCAT("| ",B5," | ",C5," | ",D5," | ",E5," |",F5," |")</f>
        <v>| 1 | Urban area | Fully developed urban areas - Open space (lawns, parks, golf courses, cemeteries, etc.) | Poor condition (grass cover &lt; 50%) |Unique |</v>
      </c>
      <c r="T5" s="5" t="str">
        <f t="shared" si="0"/>
        <v>| 1 | Urban area | Fully developed urban areas - Open space (lawns, parks, golf courses, cemeteries, etc.) | Poor condition (grass cover &lt; 50%) |Unique |CN's shown are equivalent to those of pasture. Composite CN's may be computed for other combinations of open space cover type. |68 |79 |86 |89 |</v>
      </c>
      <c r="U5" s="5" t="str">
        <f>_xlfn.CONCAT("| ",B5," | ",C5," | ",D5," | ",E5," |",F5," |",G5," |",H5," |",I5," |",J5," |",K5," |",L5," |",M5," |",N5," |")</f>
        <v>| 1 | Urban area | Fully developed urban areas - Open space (lawns, parks, golf courses, cemeteries, etc.) | Poor condition (grass cover &lt; 50%) |Unique |CN's shown are equivalent to those of pasture. Composite CN's may be computed for other combinations of open space cover type. |68 |79 |86 |89 | | | |</v>
      </c>
    </row>
    <row r="6" spans="2:21" ht="123" x14ac:dyDescent="0.55000000000000004">
      <c r="B6" s="5">
        <v>2</v>
      </c>
      <c r="C6" s="5" t="s">
        <v>17</v>
      </c>
      <c r="D6" s="5" t="s">
        <v>18</v>
      </c>
      <c r="E6" s="5" t="s">
        <v>22</v>
      </c>
      <c r="F6" s="5" t="s">
        <v>20</v>
      </c>
      <c r="G6" s="5" t="s">
        <v>21</v>
      </c>
      <c r="H6" s="5">
        <v>49</v>
      </c>
      <c r="I6" s="5">
        <v>69</v>
      </c>
      <c r="J6" s="5">
        <v>79</v>
      </c>
      <c r="K6" s="5">
        <v>84</v>
      </c>
      <c r="L6" s="5"/>
      <c r="M6" s="5"/>
      <c r="N6" s="5"/>
      <c r="O6" s="5"/>
      <c r="P6" s="5" t="str">
        <f t="shared" ref="P6:P24" si="2">_xlfn.CONCAT("| ",B6," | ",C6," |")</f>
        <v>| 2 | Urban area |</v>
      </c>
      <c r="Q6" s="5" t="str">
        <f t="shared" si="1"/>
        <v>| 2 | Urban area | Fully developed urban areas - Open space (lawns, parks, golf courses, cemeteries, etc.) |</v>
      </c>
      <c r="R6" s="5" t="str">
        <f t="shared" ref="R6:R67" si="3">_xlfn.CONCAT("| ",B6," | ",C6," | ",D6," | ",E6," |")</f>
        <v>| 2 | Urban area | Fully developed urban areas - Open space (lawns, parks, golf courses, cemeteries, etc.) | Fair condition (grass cover 50% to 75%) |</v>
      </c>
      <c r="S6" s="5" t="str">
        <f t="shared" ref="S6:S69" si="4">_xlfn.CONCAT("| ",B6," | ",C6," | ",D6," | ",E6," |",F6," |")</f>
        <v>| 2 | Urban area | Fully developed urban areas - Open space (lawns, parks, golf courses, cemeteries, etc.) | Fair condition (grass cover 50% to 75%) |Unique |</v>
      </c>
      <c r="T6" s="5" t="str">
        <f t="shared" si="0"/>
        <v>| 2 | Urban area | Fully developed urban areas - Open space (lawns, parks, golf courses, cemeteries, etc.) | Fair condition (grass cover 50% to 75%) |Unique |CN's shown are equivalent to those of pasture. Composite CN's may be computed for other combinations of open space cover type. |49 |69 |79 |84 |</v>
      </c>
      <c r="U6" s="5" t="str">
        <f t="shared" ref="T6:U69" si="5">_xlfn.CONCAT("| ",B6," | ",C6," | ",D6," | ",E6," |",F6," |",G6," |",H6," |",I6," |",J6," |",K6," |",L6," |",M6," |",N6," |")</f>
        <v>| 2 | Urban area | Fully developed urban areas - Open space (lawns, parks, golf courses, cemeteries, etc.) | Fair condition (grass cover 50% to 75%) |Unique |CN's shown are equivalent to those of pasture. Composite CN's may be computed for other combinations of open space cover type. |49 |69 |79 |84 | | | |</v>
      </c>
    </row>
    <row r="7" spans="2:21" ht="123" x14ac:dyDescent="0.55000000000000004">
      <c r="B7" s="5">
        <v>3</v>
      </c>
      <c r="C7" s="5" t="s">
        <v>17</v>
      </c>
      <c r="D7" s="5" t="s">
        <v>18</v>
      </c>
      <c r="E7" s="5" t="s">
        <v>23</v>
      </c>
      <c r="F7" s="5" t="s">
        <v>20</v>
      </c>
      <c r="G7" s="5" t="s">
        <v>21</v>
      </c>
      <c r="H7" s="5">
        <v>39</v>
      </c>
      <c r="I7" s="5">
        <v>61</v>
      </c>
      <c r="J7" s="5">
        <v>74</v>
      </c>
      <c r="K7" s="5">
        <v>80</v>
      </c>
      <c r="L7" s="5"/>
      <c r="M7" s="5"/>
      <c r="N7" s="5"/>
      <c r="O7" s="5"/>
      <c r="P7" s="5" t="str">
        <f t="shared" si="2"/>
        <v>| 3 | Urban area |</v>
      </c>
      <c r="Q7" s="5" t="str">
        <f t="shared" si="1"/>
        <v>| 3 | Urban area | Fully developed urban areas - Open space (lawns, parks, golf courses, cemeteries, etc.) |</v>
      </c>
      <c r="R7" s="5" t="str">
        <f t="shared" si="3"/>
        <v>| 3 | Urban area | Fully developed urban areas - Open space (lawns, parks, golf courses, cemeteries, etc.) | Good condition (grass cover &gt; 75%) |</v>
      </c>
      <c r="S7" s="5" t="str">
        <f t="shared" si="4"/>
        <v>| 3 | Urban area | Fully developed urban areas - Open space (lawns, parks, golf courses, cemeteries, etc.) | Good condition (grass cover &gt; 75%) |Unique |</v>
      </c>
      <c r="T7" s="5" t="str">
        <f t="shared" si="0"/>
        <v>| 3 | Urban area | Fully developed urban areas - Open space (lawns, parks, golf courses, cemeteries, etc.) | Good condition (grass cover &gt; 75%) |Unique |CN's shown are equivalent to those of pasture. Composite CN's may be computed for other combinations of open space cover type. |39 |61 |74 |80 |</v>
      </c>
      <c r="U7" s="5" t="str">
        <f t="shared" si="5"/>
        <v>| 3 | Urban area | Fully developed urban areas - Open space (lawns, parks, golf courses, cemeteries, etc.) | Good condition (grass cover &gt; 75%) |Unique |CN's shown are equivalent to those of pasture. Composite CN's may be computed for other combinations of open space cover type. |39 |61 |74 |80 | | | |</v>
      </c>
    </row>
    <row r="8" spans="2:21" ht="30.75" x14ac:dyDescent="0.55000000000000004">
      <c r="B8" s="5">
        <v>4</v>
      </c>
      <c r="C8" s="5" t="s">
        <v>17</v>
      </c>
      <c r="D8" s="5" t="s">
        <v>24</v>
      </c>
      <c r="E8" s="5" t="s">
        <v>25</v>
      </c>
      <c r="F8" s="5" t="s">
        <v>20</v>
      </c>
      <c r="G8" s="5"/>
      <c r="H8" s="5">
        <v>98</v>
      </c>
      <c r="I8" s="5">
        <v>98</v>
      </c>
      <c r="J8" s="5">
        <v>98</v>
      </c>
      <c r="K8" s="5">
        <v>98</v>
      </c>
      <c r="L8" s="5"/>
      <c r="M8" s="5"/>
      <c r="N8" s="5"/>
      <c r="O8" s="5"/>
      <c r="P8" s="5" t="str">
        <f t="shared" si="2"/>
        <v>| 4 | Urban area |</v>
      </c>
      <c r="Q8" s="5" t="str">
        <f t="shared" si="1"/>
        <v>| 4 | Urban area | Fully developed urban areas - Impervious areas |</v>
      </c>
      <c r="R8" s="5" t="str">
        <f t="shared" si="3"/>
        <v>| 4 | Urban area | Fully developed urban areas - Impervious areas | Paved parking lots, roofs, driveways, etc |</v>
      </c>
      <c r="S8" s="5" t="str">
        <f t="shared" si="4"/>
        <v>| 4 | Urban area | Fully developed urban areas - Impervious areas | Paved parking lots, roofs, driveways, etc |Unique |</v>
      </c>
      <c r="T8" s="5" t="str">
        <f t="shared" si="0"/>
        <v>| 4 | Urban area | Fully developed urban areas - Impervious areas | Paved parking lots, roofs, driveways, etc |Unique | |98 |98 |98 |98 |</v>
      </c>
      <c r="U8" s="5" t="str">
        <f t="shared" si="5"/>
        <v>| 4 | Urban area | Fully developed urban areas - Impervious areas | Paved parking lots, roofs, driveways, etc |Unique | |98 |98 |98 |98 | | | |</v>
      </c>
    </row>
    <row r="9" spans="2:21" ht="30.75" x14ac:dyDescent="0.55000000000000004">
      <c r="B9" s="5">
        <v>5</v>
      </c>
      <c r="C9" s="5" t="s">
        <v>17</v>
      </c>
      <c r="D9" s="5" t="s">
        <v>26</v>
      </c>
      <c r="E9" s="5" t="s">
        <v>27</v>
      </c>
      <c r="F9" s="5" t="s">
        <v>20</v>
      </c>
      <c r="G9" s="5"/>
      <c r="H9" s="5">
        <v>98</v>
      </c>
      <c r="I9" s="5">
        <v>98</v>
      </c>
      <c r="J9" s="5">
        <v>98</v>
      </c>
      <c r="K9" s="5">
        <v>98</v>
      </c>
      <c r="L9" s="5"/>
      <c r="M9" s="5"/>
      <c r="N9" s="5"/>
      <c r="O9" s="5"/>
      <c r="P9" s="5" t="str">
        <f t="shared" si="2"/>
        <v>| 5 | Urban area |</v>
      </c>
      <c r="Q9" s="5" t="str">
        <f t="shared" si="1"/>
        <v>| 5 | Urban area | Fully developed urban areas - Streets and roads |</v>
      </c>
      <c r="R9" s="5" t="str">
        <f t="shared" si="3"/>
        <v>| 5 | Urban area | Fully developed urban areas - Streets and roads | Paved; curbs and storm sewers |</v>
      </c>
      <c r="S9" s="5" t="str">
        <f t="shared" si="4"/>
        <v>| 5 | Urban area | Fully developed urban areas - Streets and roads | Paved; curbs and storm sewers |Unique |</v>
      </c>
      <c r="T9" s="5" t="str">
        <f t="shared" si="0"/>
        <v>| 5 | Urban area | Fully developed urban areas - Streets and roads | Paved; curbs and storm sewers |Unique | |98 |98 |98 |98 |</v>
      </c>
      <c r="U9" s="5" t="str">
        <f t="shared" si="5"/>
        <v>| 5 | Urban area | Fully developed urban areas - Streets and roads | Paved; curbs and storm sewers |Unique | |98 |98 |98 |98 | | | |</v>
      </c>
    </row>
    <row r="10" spans="2:21" ht="46.15" x14ac:dyDescent="0.55000000000000004">
      <c r="B10" s="5">
        <v>6</v>
      </c>
      <c r="C10" s="5" t="s">
        <v>17</v>
      </c>
      <c r="D10" s="5" t="s">
        <v>26</v>
      </c>
      <c r="E10" s="5" t="s">
        <v>28</v>
      </c>
      <c r="F10" s="5" t="s">
        <v>20</v>
      </c>
      <c r="G10" s="5"/>
      <c r="H10" s="5">
        <v>83</v>
      </c>
      <c r="I10" s="5">
        <v>89</v>
      </c>
      <c r="J10" s="5">
        <v>92</v>
      </c>
      <c r="K10" s="5">
        <v>93</v>
      </c>
      <c r="L10" s="5"/>
      <c r="M10" s="5"/>
      <c r="N10" s="5"/>
      <c r="O10" s="5"/>
      <c r="P10" s="5" t="str">
        <f t="shared" si="2"/>
        <v>| 6 | Urban area |</v>
      </c>
      <c r="Q10" s="5" t="str">
        <f t="shared" si="1"/>
        <v>| 6 | Urban area | Fully developed urban areas - Streets and roads |</v>
      </c>
      <c r="R10" s="5" t="str">
        <f t="shared" si="3"/>
        <v>| 6 | Urban area | Fully developed urban areas - Streets and roads | Paved; open ditches (including right-of-way) |</v>
      </c>
      <c r="S10" s="5" t="str">
        <f t="shared" si="4"/>
        <v>| 6 | Urban area | Fully developed urban areas - Streets and roads | Paved; open ditches (including right-of-way) |Unique |</v>
      </c>
      <c r="T10" s="5" t="str">
        <f t="shared" si="0"/>
        <v>| 6 | Urban area | Fully developed urban areas - Streets and roads | Paved; open ditches (including right-of-way) |Unique | |83 |89 |92 |93 |</v>
      </c>
      <c r="U10" s="5" t="str">
        <f t="shared" si="5"/>
        <v>| 6 | Urban area | Fully developed urban areas - Streets and roads | Paved; open ditches (including right-of-way) |Unique | |83 |89 |92 |93 | | | |</v>
      </c>
    </row>
    <row r="11" spans="2:21" ht="30.75" x14ac:dyDescent="0.55000000000000004">
      <c r="B11" s="5">
        <v>7</v>
      </c>
      <c r="C11" s="5" t="s">
        <v>17</v>
      </c>
      <c r="D11" s="5" t="s">
        <v>26</v>
      </c>
      <c r="E11" s="5" t="s">
        <v>29</v>
      </c>
      <c r="F11" s="5" t="s">
        <v>20</v>
      </c>
      <c r="G11" s="5"/>
      <c r="H11" s="5">
        <v>76</v>
      </c>
      <c r="I11" s="5">
        <v>85</v>
      </c>
      <c r="J11" s="5">
        <v>89</v>
      </c>
      <c r="K11" s="5">
        <v>91</v>
      </c>
      <c r="L11" s="5"/>
      <c r="M11" s="5"/>
      <c r="N11" s="5"/>
      <c r="O11" s="5"/>
      <c r="P11" s="5" t="str">
        <f t="shared" si="2"/>
        <v>| 7 | Urban area |</v>
      </c>
      <c r="Q11" s="5" t="str">
        <f t="shared" si="1"/>
        <v>| 7 | Urban area | Fully developed urban areas - Streets and roads |</v>
      </c>
      <c r="R11" s="5" t="str">
        <f t="shared" si="3"/>
        <v>| 7 | Urban area | Fully developed urban areas - Streets and roads | Gravel (including right-of-way) |</v>
      </c>
      <c r="S11" s="5" t="str">
        <f t="shared" si="4"/>
        <v>| 7 | Urban area | Fully developed urban areas - Streets and roads | Gravel (including right-of-way) |Unique |</v>
      </c>
      <c r="T11" s="5" t="str">
        <f t="shared" si="0"/>
        <v>| 7 | Urban area | Fully developed urban areas - Streets and roads | Gravel (including right-of-way) |Unique | |76 |85 |89 |91 |</v>
      </c>
      <c r="U11" s="5" t="str">
        <f t="shared" si="5"/>
        <v>| 7 | Urban area | Fully developed urban areas - Streets and roads | Gravel (including right-of-way) |Unique | |76 |85 |89 |91 | | | |</v>
      </c>
    </row>
    <row r="12" spans="2:21" ht="30.75" x14ac:dyDescent="0.55000000000000004">
      <c r="B12" s="5">
        <v>8</v>
      </c>
      <c r="C12" s="5" t="s">
        <v>17</v>
      </c>
      <c r="D12" s="5" t="s">
        <v>26</v>
      </c>
      <c r="E12" s="5" t="s">
        <v>30</v>
      </c>
      <c r="F12" s="5" t="s">
        <v>20</v>
      </c>
      <c r="G12" s="5"/>
      <c r="H12" s="5">
        <v>72</v>
      </c>
      <c r="I12" s="5">
        <v>82</v>
      </c>
      <c r="J12" s="5">
        <v>87</v>
      </c>
      <c r="K12" s="5">
        <v>89</v>
      </c>
      <c r="L12" s="5"/>
      <c r="M12" s="5"/>
      <c r="N12" s="5"/>
      <c r="O12" s="5"/>
      <c r="P12" s="5" t="str">
        <f t="shared" si="2"/>
        <v>| 8 | Urban area |</v>
      </c>
      <c r="Q12" s="5" t="str">
        <f t="shared" si="1"/>
        <v>| 8 | Urban area | Fully developed urban areas - Streets and roads |</v>
      </c>
      <c r="R12" s="5" t="str">
        <f t="shared" si="3"/>
        <v>| 8 | Urban area | Fully developed urban areas - Streets and roads | Dirt (including right-of-way) |</v>
      </c>
      <c r="S12" s="5" t="str">
        <f t="shared" si="4"/>
        <v>| 8 | Urban area | Fully developed urban areas - Streets and roads | Dirt (including right-of-way) |Unique |</v>
      </c>
      <c r="T12" s="5" t="str">
        <f t="shared" si="0"/>
        <v>| 8 | Urban area | Fully developed urban areas - Streets and roads | Dirt (including right-of-way) |Unique | |72 |82 |87 |89 |</v>
      </c>
      <c r="U12" s="5" t="str">
        <f t="shared" si="5"/>
        <v>| 8 | Urban area | Fully developed urban areas - Streets and roads | Dirt (including right-of-way) |Unique | |72 |82 |87 |89 | | | |</v>
      </c>
    </row>
    <row r="13" spans="2:21" ht="230.65" x14ac:dyDescent="0.55000000000000004">
      <c r="B13" s="5">
        <v>9</v>
      </c>
      <c r="C13" s="5" t="s">
        <v>17</v>
      </c>
      <c r="D13" s="5" t="s">
        <v>31</v>
      </c>
      <c r="E13" s="5" t="s">
        <v>32</v>
      </c>
      <c r="F13" s="5" t="s">
        <v>20</v>
      </c>
      <c r="G13" s="5" t="s">
        <v>33</v>
      </c>
      <c r="H13" s="5">
        <v>63</v>
      </c>
      <c r="I13" s="5">
        <v>77</v>
      </c>
      <c r="J13" s="5">
        <v>85</v>
      </c>
      <c r="K13" s="5">
        <v>88</v>
      </c>
      <c r="L13" s="5"/>
      <c r="M13" s="5"/>
      <c r="N13" s="5"/>
      <c r="O13" s="5"/>
      <c r="P13" s="5" t="str">
        <f t="shared" si="2"/>
        <v>| 9 | Urban area |</v>
      </c>
      <c r="Q13" s="5" t="str">
        <f t="shared" si="1"/>
        <v>| 9 | Urban area | Fully developed urban areas - Western desert urban areas |</v>
      </c>
      <c r="R13" s="5" t="str">
        <f t="shared" si="3"/>
        <v>| 9 | Urban area | Fully developed urban areas - Western desert urban areas | Natural desert landscaping (pervious areas only) |</v>
      </c>
      <c r="S13" s="5" t="str">
        <f t="shared" si="4"/>
        <v>| 9 | Urban area | Fully developed urban areas - Western desert urban areas | Natural desert landscaping (pervious areas only) |Unique |</v>
      </c>
      <c r="T13" s="5" t="str">
        <f t="shared" si="0"/>
        <v>| 9 | Urban area | Fully developed urban areas - Western desert urban areas | Natural desert landscaping (pervious areas only) |Unique |Composite CN's for natural desert landscaping should be computed using figures 2-3 or 2-4 based on the impervious area percentage (CN = 98) and the pervious area CN. The pervious area CN's are assumed equivalent to desert shrub in poor hydrologic condition. |63 |77 |85 |88 |</v>
      </c>
      <c r="U13" s="5" t="str">
        <f t="shared" si="5"/>
        <v>| 9 | Urban area | Fully developed urban areas - Western desert urban areas | Natural desert landscaping (pervious areas only) |Unique |Composite CN's for natural desert landscaping should be computed using figures 2-3 or 2-4 based on the impervious area percentage (CN = 98) and the pervious area CN. The pervious area CN's are assumed equivalent to desert shrub in poor hydrologic condition. |63 |77 |85 |88 | | | |</v>
      </c>
    </row>
    <row r="14" spans="2:21" ht="107.65" x14ac:dyDescent="0.55000000000000004">
      <c r="B14" s="5">
        <v>10</v>
      </c>
      <c r="C14" s="5" t="s">
        <v>17</v>
      </c>
      <c r="D14" s="5" t="s">
        <v>31</v>
      </c>
      <c r="E14" s="5" t="s">
        <v>34</v>
      </c>
      <c r="F14" s="5" t="s">
        <v>20</v>
      </c>
      <c r="G14" s="5"/>
      <c r="H14" s="5">
        <v>96</v>
      </c>
      <c r="I14" s="5">
        <v>96</v>
      </c>
      <c r="J14" s="5">
        <v>96</v>
      </c>
      <c r="K14" s="5">
        <v>96</v>
      </c>
      <c r="L14" s="5"/>
      <c r="M14" s="5"/>
      <c r="N14" s="5"/>
      <c r="O14" s="5"/>
      <c r="P14" s="5" t="str">
        <f t="shared" si="2"/>
        <v>| 10 | Urban area |</v>
      </c>
      <c r="Q14" s="5" t="str">
        <f t="shared" si="1"/>
        <v>| 10 | Urban area | Fully developed urban areas - Western desert urban areas |</v>
      </c>
      <c r="R14" s="5" t="str">
        <f t="shared" si="3"/>
        <v>| 10 | Urban area | Fully developed urban areas - Western desert urban areas | Artificial desert landscaping (impervious weed barrier, desert shrub with 1- to 2-inch sand or gravel mulch and basin borders) |</v>
      </c>
      <c r="S14" s="5" t="str">
        <f t="shared" si="4"/>
        <v>| 10 | Urban area | Fully developed urban areas - Western desert urban areas | Artificial desert landscaping (impervious weed barrier, desert shrub with 1- to 2-inch sand or gravel mulch and basin borders) |Unique |</v>
      </c>
      <c r="T14" s="5" t="str">
        <f t="shared" si="0"/>
        <v>| 10 | Urban area | Fully developed urban areas - Western desert urban areas | Artificial desert landscaping (impervious weed barrier, desert shrub with 1- to 2-inch sand or gravel mulch and basin borders) |Unique | |96 |96 |96 |96 |</v>
      </c>
      <c r="U14" s="5" t="str">
        <f t="shared" si="5"/>
        <v>| 10 | Urban area | Fully developed urban areas - Western desert urban areas | Artificial desert landscaping (impervious weed barrier, desert shrub with 1- to 2-inch sand or gravel mulch and basin borders) |Unique | |96 |96 |96 |96 | | | |</v>
      </c>
    </row>
    <row r="15" spans="2:21" ht="338.25" x14ac:dyDescent="0.55000000000000004">
      <c r="B15" s="5">
        <v>11</v>
      </c>
      <c r="C15" s="5" t="s">
        <v>17</v>
      </c>
      <c r="D15" s="5" t="s">
        <v>35</v>
      </c>
      <c r="E15" s="5" t="s">
        <v>36</v>
      </c>
      <c r="F15" s="5" t="s">
        <v>20</v>
      </c>
      <c r="G15" s="5" t="s">
        <v>37</v>
      </c>
      <c r="H15" s="5">
        <v>89</v>
      </c>
      <c r="I15" s="5">
        <v>92</v>
      </c>
      <c r="J15" s="5">
        <v>94</v>
      </c>
      <c r="K15" s="5">
        <v>95</v>
      </c>
      <c r="L15" s="5"/>
      <c r="M15" s="5"/>
      <c r="N15" s="5"/>
      <c r="O15" s="5"/>
      <c r="P15" s="5" t="str">
        <f t="shared" si="2"/>
        <v>| 11 | Urban area |</v>
      </c>
      <c r="Q15" s="5" t="str">
        <f t="shared" si="1"/>
        <v>| 11 | Urban area | Fully developed urban areas - Urban districts |</v>
      </c>
      <c r="R15" s="5" t="str">
        <f t="shared" si="3"/>
        <v>| 11 | Urban area | Fully developed urban areas - Urban districts | Commercial and business. Average percent impervious area: 85 |</v>
      </c>
      <c r="S15" s="5" t="str">
        <f t="shared" si="4"/>
        <v>| 11 | Urban area | Fully developed urban areas - Urban districts | Commercial and business. Average percent impervious area: 85 |Unique |</v>
      </c>
      <c r="T15" s="5" t="str">
        <f t="shared" si="0"/>
        <v>| 11 | Urban area | Fully developed urban areas - Urban districts | Commercial and business. Average percent impervious area: 85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|89 |92 |94 |95 |</v>
      </c>
      <c r="U15" s="5" t="str">
        <f t="shared" si="5"/>
        <v>| 11 | Urban area | Fully developed urban areas - Urban districts | Commercial and business. Average percent impervious area: 85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|89 |92 |94 |95 | | | |</v>
      </c>
    </row>
    <row r="16" spans="2:21" ht="338.25" x14ac:dyDescent="0.55000000000000004">
      <c r="B16" s="5">
        <v>12</v>
      </c>
      <c r="C16" s="5" t="s">
        <v>17</v>
      </c>
      <c r="D16" s="5" t="s">
        <v>35</v>
      </c>
      <c r="E16" s="5" t="s">
        <v>38</v>
      </c>
      <c r="F16" s="5" t="s">
        <v>20</v>
      </c>
      <c r="G16" s="5" t="s">
        <v>37</v>
      </c>
      <c r="H16" s="5">
        <v>81</v>
      </c>
      <c r="I16" s="5">
        <v>88</v>
      </c>
      <c r="J16" s="5">
        <v>91</v>
      </c>
      <c r="K16" s="5">
        <v>93</v>
      </c>
      <c r="L16" s="5"/>
      <c r="M16" s="5"/>
      <c r="N16" s="5"/>
      <c r="O16" s="5"/>
      <c r="P16" s="5" t="str">
        <f t="shared" si="2"/>
        <v>| 12 | Urban area |</v>
      </c>
      <c r="Q16" s="5" t="str">
        <f t="shared" si="1"/>
        <v>| 12 | Urban area | Fully developed urban areas - Urban districts |</v>
      </c>
      <c r="R16" s="5" t="str">
        <f t="shared" si="3"/>
        <v>| 12 | Urban area | Fully developed urban areas - Urban districts | Industrial. Average percent impervious area: 72 |</v>
      </c>
      <c r="S16" s="5" t="str">
        <f t="shared" si="4"/>
        <v>| 12 | Urban area | Fully developed urban areas - Urban districts | Industrial. Average percent impervious area: 72 |Unique |</v>
      </c>
      <c r="T16" s="5" t="str">
        <f t="shared" si="0"/>
        <v>| 12 | Urban area | Fully developed urban areas - Urban districts | Industrial. Average percent impervious area: 72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|81 |88 |91 |93 |</v>
      </c>
      <c r="U16" s="5" t="str">
        <f t="shared" si="5"/>
        <v>| 12 | Urban area | Fully developed urban areas - Urban districts | Industrial. Average percent impervious area: 72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|81 |88 |91 |93 | | | |</v>
      </c>
    </row>
    <row r="17" spans="2:21" ht="338.25" x14ac:dyDescent="0.55000000000000004">
      <c r="B17" s="5">
        <v>13</v>
      </c>
      <c r="C17" s="5" t="s">
        <v>17</v>
      </c>
      <c r="D17" s="5" t="s">
        <v>39</v>
      </c>
      <c r="E17" s="5" t="s">
        <v>40</v>
      </c>
      <c r="F17" s="5" t="s">
        <v>20</v>
      </c>
      <c r="G17" s="5" t="s">
        <v>37</v>
      </c>
      <c r="H17" s="5">
        <v>77</v>
      </c>
      <c r="I17" s="5">
        <v>85</v>
      </c>
      <c r="J17" s="5">
        <v>90</v>
      </c>
      <c r="K17" s="5">
        <v>92</v>
      </c>
      <c r="L17" s="5"/>
      <c r="M17" s="5"/>
      <c r="N17" s="5"/>
      <c r="O17" s="5"/>
      <c r="P17" s="5" t="str">
        <f t="shared" si="2"/>
        <v>| 13 | Urban area |</v>
      </c>
      <c r="Q17" s="5" t="str">
        <f t="shared" si="1"/>
        <v>| 13 | Urban area | Fully developed urban areas - Residential districts by average lot size |</v>
      </c>
      <c r="R17" s="5" t="str">
        <f t="shared" si="3"/>
        <v>| 13 | Urban area | Fully developed urban areas - Residential districts by average lot size | 1/8 acre or less (town houses). Average percent impervious area: 65 |</v>
      </c>
      <c r="S17" s="5" t="str">
        <f t="shared" si="4"/>
        <v>| 13 | Urban area | Fully developed urban areas - Residential districts by average lot size | 1/8 acre or less (town houses). Average percent impervious area: 65 |Unique |</v>
      </c>
      <c r="T17" s="5" t="str">
        <f t="shared" si="0"/>
        <v>| 13 | Urban area | Fully developed urban areas - Residential districts by average lot size | 1/8 acre or less (town houses). Average percent impervious area: 65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|77 |85 |90 |92 |</v>
      </c>
      <c r="U17" s="5" t="str">
        <f t="shared" si="5"/>
        <v>| 13 | Urban area | Fully developed urban areas - Residential districts by average lot size | 1/8 acre or less (town houses). Average percent impervious area: 65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|77 |85 |90 |92 | | | |</v>
      </c>
    </row>
    <row r="18" spans="2:21" ht="338.25" x14ac:dyDescent="0.55000000000000004">
      <c r="B18" s="5">
        <v>14</v>
      </c>
      <c r="C18" s="5" t="s">
        <v>17</v>
      </c>
      <c r="D18" s="5" t="s">
        <v>35</v>
      </c>
      <c r="E18" s="5" t="s">
        <v>41</v>
      </c>
      <c r="F18" s="5" t="s">
        <v>20</v>
      </c>
      <c r="G18" s="5" t="s">
        <v>37</v>
      </c>
      <c r="H18" s="5">
        <v>61</v>
      </c>
      <c r="I18" s="5">
        <v>75</v>
      </c>
      <c r="J18" s="5">
        <v>83</v>
      </c>
      <c r="K18" s="5">
        <v>87</v>
      </c>
      <c r="L18" s="5"/>
      <c r="M18" s="5"/>
      <c r="N18" s="5"/>
      <c r="O18" s="5"/>
      <c r="P18" s="5" t="str">
        <f t="shared" si="2"/>
        <v>| 14 | Urban area |</v>
      </c>
      <c r="Q18" s="5" t="str">
        <f t="shared" si="1"/>
        <v>| 14 | Urban area | Fully developed urban areas - Urban districts |</v>
      </c>
      <c r="R18" s="5" t="str">
        <f t="shared" si="3"/>
        <v>| 14 | Urban area | Fully developed urban areas - Urban districts | 1/4 acre. Average percent impervious area: 38 |</v>
      </c>
      <c r="S18" s="5" t="str">
        <f t="shared" si="4"/>
        <v>| 14 | Urban area | Fully developed urban areas - Urban districts | 1/4 acre. Average percent impervious area: 38 |Unique |</v>
      </c>
      <c r="T18" s="5" t="str">
        <f t="shared" si="0"/>
        <v>| 14 | Urban area | Fully developed urban areas - Urban districts | 1/4 acre. Average percent impervious area: 38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|61 |75 |83 |87 |</v>
      </c>
      <c r="U18" s="5" t="str">
        <f t="shared" si="5"/>
        <v>| 14 | Urban area | Fully developed urban areas - Urban districts | 1/4 acre. Average percent impervious area: 38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|61 |75 |83 |87 | | | |</v>
      </c>
    </row>
    <row r="19" spans="2:21" ht="338.25" x14ac:dyDescent="0.55000000000000004">
      <c r="B19" s="5">
        <v>15</v>
      </c>
      <c r="C19" s="5" t="s">
        <v>17</v>
      </c>
      <c r="D19" s="5" t="s">
        <v>35</v>
      </c>
      <c r="E19" s="5" t="s">
        <v>42</v>
      </c>
      <c r="F19" s="5" t="s">
        <v>20</v>
      </c>
      <c r="G19" s="5" t="s">
        <v>37</v>
      </c>
      <c r="H19" s="5">
        <v>57</v>
      </c>
      <c r="I19" s="5">
        <v>72</v>
      </c>
      <c r="J19" s="5">
        <v>81</v>
      </c>
      <c r="K19" s="5">
        <v>86</v>
      </c>
      <c r="L19" s="5"/>
      <c r="M19" s="5"/>
      <c r="N19" s="5"/>
      <c r="O19" s="5"/>
      <c r="P19" s="5" t="str">
        <f t="shared" si="2"/>
        <v>| 15 | Urban area |</v>
      </c>
      <c r="Q19" s="5" t="str">
        <f t="shared" si="1"/>
        <v>| 15 | Urban area | Fully developed urban areas - Urban districts |</v>
      </c>
      <c r="R19" s="5" t="str">
        <f t="shared" si="3"/>
        <v>| 15 | Urban area | Fully developed urban areas - Urban districts | 1/3 acre. Average percent impervious area: 30 |</v>
      </c>
      <c r="S19" s="5" t="str">
        <f t="shared" si="4"/>
        <v>| 15 | Urban area | Fully developed urban areas - Urban districts | 1/3 acre. Average percent impervious area: 30 |Unique |</v>
      </c>
      <c r="T19" s="5" t="str">
        <f t="shared" si="0"/>
        <v>| 15 | Urban area | Fully developed urban areas - Urban districts | 1/3 acre. Average percent impervious area: 30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|57 |72 |81 |86 |</v>
      </c>
      <c r="U19" s="5" t="str">
        <f t="shared" si="5"/>
        <v>| 15 | Urban area | Fully developed urban areas - Urban districts | 1/3 acre. Average percent impervious area: 30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|57 |72 |81 |86 | | | |</v>
      </c>
    </row>
    <row r="20" spans="2:21" ht="338.25" x14ac:dyDescent="0.55000000000000004">
      <c r="B20" s="5">
        <v>16</v>
      </c>
      <c r="C20" s="5" t="s">
        <v>17</v>
      </c>
      <c r="D20" s="5" t="s">
        <v>35</v>
      </c>
      <c r="E20" s="5" t="s">
        <v>43</v>
      </c>
      <c r="F20" s="5" t="s">
        <v>20</v>
      </c>
      <c r="G20" s="5" t="s">
        <v>37</v>
      </c>
      <c r="H20" s="5">
        <v>54</v>
      </c>
      <c r="I20" s="5">
        <v>70</v>
      </c>
      <c r="J20" s="5">
        <v>80</v>
      </c>
      <c r="K20" s="5">
        <v>85</v>
      </c>
      <c r="L20" s="5"/>
      <c r="M20" s="5"/>
      <c r="N20" s="5"/>
      <c r="O20" s="5"/>
      <c r="P20" s="5" t="str">
        <f t="shared" si="2"/>
        <v>| 16 | Urban area |</v>
      </c>
      <c r="Q20" s="5" t="str">
        <f t="shared" si="1"/>
        <v>| 16 | Urban area | Fully developed urban areas - Urban districts |</v>
      </c>
      <c r="R20" s="5" t="str">
        <f t="shared" si="3"/>
        <v>| 16 | Urban area | Fully developed urban areas - Urban districts | 1/2 acre. Average percent impervious area: 25 |</v>
      </c>
      <c r="S20" s="5" t="str">
        <f t="shared" si="4"/>
        <v>| 16 | Urban area | Fully developed urban areas - Urban districts | 1/2 acre. Average percent impervious area: 25 |Unique |</v>
      </c>
      <c r="T20" s="5" t="str">
        <f t="shared" si="0"/>
        <v>| 16 | Urban area | Fully developed urban areas - Urban districts | 1/2 acre. Average percent impervious area: 25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|54 |70 |80 |85 |</v>
      </c>
      <c r="U20" s="5" t="str">
        <f t="shared" si="5"/>
        <v>| 16 | Urban area | Fully developed urban areas - Urban districts | 1/2 acre. Average percent impervious area: 25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|54 |70 |80 |85 | | | |</v>
      </c>
    </row>
    <row r="21" spans="2:21" ht="338.25" x14ac:dyDescent="0.55000000000000004">
      <c r="B21" s="5">
        <v>17</v>
      </c>
      <c r="C21" s="5" t="s">
        <v>17</v>
      </c>
      <c r="D21" s="5" t="s">
        <v>35</v>
      </c>
      <c r="E21" s="5" t="s">
        <v>44</v>
      </c>
      <c r="F21" s="5" t="s">
        <v>20</v>
      </c>
      <c r="G21" s="5" t="s">
        <v>37</v>
      </c>
      <c r="H21" s="5">
        <v>51</v>
      </c>
      <c r="I21" s="5">
        <v>68</v>
      </c>
      <c r="J21" s="5">
        <v>79</v>
      </c>
      <c r="K21" s="5">
        <v>84</v>
      </c>
      <c r="L21" s="5"/>
      <c r="M21" s="5"/>
      <c r="N21" s="5"/>
      <c r="O21" s="5"/>
      <c r="P21" s="5" t="str">
        <f t="shared" si="2"/>
        <v>| 17 | Urban area |</v>
      </c>
      <c r="Q21" s="5" t="str">
        <f t="shared" si="1"/>
        <v>| 17 | Urban area | Fully developed urban areas - Urban districts |</v>
      </c>
      <c r="R21" s="5" t="str">
        <f t="shared" si="3"/>
        <v>| 17 | Urban area | Fully developed urban areas - Urban districts | 1 acre. Average percent impervious area: 20 |</v>
      </c>
      <c r="S21" s="5" t="str">
        <f t="shared" si="4"/>
        <v>| 17 | Urban area | Fully developed urban areas - Urban districts | 1 acre. Average percent impervious area: 20 |Unique |</v>
      </c>
      <c r="T21" s="5" t="str">
        <f t="shared" si="0"/>
        <v>| 17 | Urban area | Fully developed urban areas - Urban districts | 1 acre. Average percent impervious area: 20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|51 |68 |79 |84 |</v>
      </c>
      <c r="U21" s="5" t="str">
        <f t="shared" si="5"/>
        <v>| 17 | Urban area | Fully developed urban areas - Urban districts | 1 acre. Average percent impervious area: 20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|51 |68 |79 |84 | | | |</v>
      </c>
    </row>
    <row r="22" spans="2:21" ht="338.25" x14ac:dyDescent="0.55000000000000004">
      <c r="B22" s="5">
        <v>18</v>
      </c>
      <c r="C22" s="5" t="s">
        <v>17</v>
      </c>
      <c r="D22" s="5" t="s">
        <v>35</v>
      </c>
      <c r="E22" s="5" t="s">
        <v>45</v>
      </c>
      <c r="F22" s="5" t="s">
        <v>20</v>
      </c>
      <c r="G22" s="5" t="s">
        <v>37</v>
      </c>
      <c r="H22" s="5">
        <v>46</v>
      </c>
      <c r="I22" s="5">
        <v>65</v>
      </c>
      <c r="J22" s="5">
        <v>77</v>
      </c>
      <c r="K22" s="5">
        <v>82</v>
      </c>
      <c r="L22" s="5"/>
      <c r="M22" s="5"/>
      <c r="N22" s="5"/>
      <c r="O22" s="5"/>
      <c r="P22" s="5" t="str">
        <f t="shared" si="2"/>
        <v>| 18 | Urban area |</v>
      </c>
      <c r="Q22" s="5" t="str">
        <f t="shared" si="1"/>
        <v>| 18 | Urban area | Fully developed urban areas - Urban districts |</v>
      </c>
      <c r="R22" s="5" t="str">
        <f t="shared" si="3"/>
        <v>| 18 | Urban area | Fully developed urban areas - Urban districts | 2 acre. Average percent impervious area: 12 |</v>
      </c>
      <c r="S22" s="5" t="str">
        <f t="shared" si="4"/>
        <v>| 18 | Urban area | Fully developed urban areas - Urban districts | 2 acre. Average percent impervious area: 12 |Unique |</v>
      </c>
      <c r="T22" s="5" t="str">
        <f t="shared" si="0"/>
        <v>| 18 | Urban area | Fully developed urban areas - Urban districts | 2 acre. Average percent impervious area: 12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|46 |65 |77 |82 |</v>
      </c>
      <c r="U22" s="5" t="str">
        <f t="shared" si="5"/>
        <v>| 18 | Urban area | Fully developed urban areas - Urban districts | 2 acre. Average percent impervious area: 12 |Unique |The average percent impervious area shown was used to develop the composite CN's. Other assumptions are as follows: impervious areas are directly connected to the drainage system, impervious areas have a CN of 98, and pervious areas are considered equivalent to open space in good hydrologic condition. CN's for other combinations of conditions may be computed using figure 2-3 or 2-4. |46 |65 |77 |82 | | | |</v>
      </c>
    </row>
    <row r="23" spans="2:21" ht="215.25" x14ac:dyDescent="0.55000000000000004">
      <c r="B23" s="5">
        <v>19</v>
      </c>
      <c r="C23" s="5" t="s">
        <v>17</v>
      </c>
      <c r="D23" s="5" t="s">
        <v>46</v>
      </c>
      <c r="E23" s="5" t="s">
        <v>47</v>
      </c>
      <c r="F23" s="5" t="s">
        <v>20</v>
      </c>
      <c r="G23" s="5" t="s">
        <v>48</v>
      </c>
      <c r="H23" s="5">
        <v>77</v>
      </c>
      <c r="I23" s="5">
        <v>86</v>
      </c>
      <c r="J23" s="5">
        <v>91</v>
      </c>
      <c r="K23" s="5">
        <v>94</v>
      </c>
      <c r="L23" s="5"/>
      <c r="M23" s="5"/>
      <c r="N23" s="5"/>
      <c r="O23" s="5"/>
      <c r="P23" s="5" t="str">
        <f t="shared" si="2"/>
        <v>| 19 | Urban area |</v>
      </c>
      <c r="Q23" s="5" t="str">
        <f t="shared" si="1"/>
        <v>| 19 | Urban area | Developing urban areas |</v>
      </c>
      <c r="R23" s="5" t="str">
        <f t="shared" si="3"/>
        <v>| 19 | Urban area | Developing urban areas | Newly graded areas (pervious areas only, no vegetation) |</v>
      </c>
      <c r="S23" s="5" t="str">
        <f t="shared" si="4"/>
        <v>| 19 | Urban area | Developing urban areas | Newly graded areas (pervious areas only, no vegetation) |Unique |</v>
      </c>
      <c r="T23" s="5" t="str">
        <f t="shared" si="0"/>
        <v>| 19 | Urban area | Developing urban areas | Newly graded areas (pervious areas only, no vegetation) |Unique |Composite CN's to use for the design of temporary measures during grading and construction should be computed using figure 2-3 or 2-4, based on the degree of development (imperviousness area percentage) and the CN's for the newly graded pervious areas. |77 |86 |91 |94 |</v>
      </c>
      <c r="U23" s="5" t="str">
        <f t="shared" si="5"/>
        <v>| 19 | Urban area | Developing urban areas | Newly graded areas (pervious areas only, no vegetation) |Unique |Composite CN's to use for the design of temporary measures during grading and construction should be computed using figure 2-3 or 2-4, based on the degree of development (imperviousness area percentage) and the CN's for the newly graded pervious areas. |77 |86 |91 |94 | | | |</v>
      </c>
    </row>
    <row r="24" spans="2:21" ht="92.25" x14ac:dyDescent="0.55000000000000004">
      <c r="B24" s="5">
        <v>20</v>
      </c>
      <c r="C24" s="5" t="s">
        <v>49</v>
      </c>
      <c r="D24" s="5" t="s">
        <v>50</v>
      </c>
      <c r="E24" s="5" t="s">
        <v>51</v>
      </c>
      <c r="F24" s="5" t="s">
        <v>20</v>
      </c>
      <c r="G24" s="5"/>
      <c r="H24" s="5">
        <v>77</v>
      </c>
      <c r="I24" s="5">
        <v>86</v>
      </c>
      <c r="J24" s="5">
        <v>91</v>
      </c>
      <c r="K24" s="5">
        <v>94</v>
      </c>
      <c r="L24" s="5"/>
      <c r="M24" s="5"/>
      <c r="N24" s="5"/>
      <c r="O24" s="5"/>
      <c r="P24" s="5" t="str">
        <f t="shared" si="2"/>
        <v>| 20 | Cultivated agricultural lands |</v>
      </c>
      <c r="Q24" s="5" t="str">
        <f t="shared" si="1"/>
        <v>| 20 | Cultivated agricultural lands | Fallow |</v>
      </c>
      <c r="R24" s="5" t="str">
        <f t="shared" si="3"/>
        <v>| 20 | Cultivated agricultural lands | Fallow | Bare soil |</v>
      </c>
      <c r="S24" s="5" t="str">
        <f t="shared" si="4"/>
        <v>| 20 | Cultivated agricultural lands | Fallow | Bare soil |Unique |</v>
      </c>
      <c r="T24" s="5" t="str">
        <f t="shared" si="0"/>
        <v>| 20 | Cultivated agricultural lands | Fallow | Bare soil |Unique | |77 |86 |91 |94 |</v>
      </c>
      <c r="U24" s="5" t="str">
        <f t="shared" si="5"/>
        <v>| 20 | Cultivated agricultural lands | Fallow | Bare soil |Unique | |77 |86 |91 |94 | | | |</v>
      </c>
    </row>
    <row r="25" spans="2:21" ht="92.25" x14ac:dyDescent="0.55000000000000004">
      <c r="B25" s="5">
        <v>21</v>
      </c>
      <c r="C25" s="5" t="s">
        <v>49</v>
      </c>
      <c r="D25" s="5" t="s">
        <v>50</v>
      </c>
      <c r="E25" s="5" t="s">
        <v>52</v>
      </c>
      <c r="F25" s="5" t="s">
        <v>53</v>
      </c>
      <c r="G25" s="5" t="s">
        <v>54</v>
      </c>
      <c r="H25" s="5">
        <v>76</v>
      </c>
      <c r="I25" s="5">
        <v>85</v>
      </c>
      <c r="J25" s="5">
        <v>90</v>
      </c>
      <c r="K25" s="5">
        <v>93</v>
      </c>
      <c r="L25" s="5"/>
      <c r="M25" s="4"/>
      <c r="N25" s="4"/>
      <c r="O25" s="4"/>
      <c r="P25" s="5" t="str">
        <f t="shared" ref="P25:P88" si="6">_xlfn.CONCAT("| ",B25," | ",C25," |")</f>
        <v>| 21 | Cultivated agricultural lands |</v>
      </c>
      <c r="Q25" s="5" t="str">
        <f t="shared" ref="Q25:Q88" si="7">_xlfn.CONCAT("| ",B25," | ",C25," | ",D25," |")</f>
        <v>| 21 | Cultivated agricultural lands | Fallow |</v>
      </c>
      <c r="R25" s="5" t="str">
        <f t="shared" si="3"/>
        <v>| 21 | Cultivated agricultural lands | Fallow | Crop residue cover (CR) |</v>
      </c>
      <c r="S25" s="5" t="str">
        <f t="shared" si="4"/>
        <v>| 21 | Cultivated agricultural lands | Fallow | Crop residue cover (CR) |Poor |</v>
      </c>
      <c r="T25" s="5" t="str">
        <f t="shared" si="0"/>
        <v>| 21 | Cultivated agricultural lands | Fallow | Crop residue cover (CR) |Poor |Factors impair infiltration and tend to increase runoff. |76 |85 |90 |93 |</v>
      </c>
      <c r="U25" s="5" t="str">
        <f t="shared" si="5"/>
        <v>| 21 | Cultivated agricultural lands | Fallow | Crop residue cover (CR) |Poor |Factors impair infiltration and tend to increase runoff. |76 |85 |90 |93 | | | |</v>
      </c>
    </row>
    <row r="26" spans="2:21" ht="92.25" x14ac:dyDescent="0.55000000000000004">
      <c r="B26" s="4">
        <v>22</v>
      </c>
      <c r="C26" s="4" t="s">
        <v>49</v>
      </c>
      <c r="D26" s="4" t="s">
        <v>50</v>
      </c>
      <c r="E26" s="4" t="s">
        <v>52</v>
      </c>
      <c r="F26" s="4" t="s">
        <v>55</v>
      </c>
      <c r="G26" s="4" t="s">
        <v>56</v>
      </c>
      <c r="H26" s="4">
        <v>74</v>
      </c>
      <c r="I26" s="4">
        <v>83</v>
      </c>
      <c r="J26" s="4">
        <v>88</v>
      </c>
      <c r="K26" s="4">
        <v>90</v>
      </c>
      <c r="L26" s="5"/>
      <c r="M26" s="4"/>
      <c r="N26" s="4"/>
      <c r="O26" s="4"/>
      <c r="P26" s="5" t="str">
        <f t="shared" si="6"/>
        <v>| 22 | Cultivated agricultural lands |</v>
      </c>
      <c r="Q26" s="5" t="str">
        <f t="shared" si="7"/>
        <v>| 22 | Cultivated agricultural lands | Fallow |</v>
      </c>
      <c r="R26" s="5" t="str">
        <f t="shared" si="3"/>
        <v>| 22 | Cultivated agricultural lands | Fallow | Crop residue cover (CR) |</v>
      </c>
      <c r="S26" s="5" t="str">
        <f t="shared" si="4"/>
        <v>| 22 | Cultivated agricultural lands | Fallow | Crop residue cover (CR) |Good |</v>
      </c>
      <c r="T26" s="5" t="str">
        <f t="shared" si="0"/>
        <v>| 22 | Cultivated agricultural lands | Fallow | Crop residue cover (CR) |Good |Factors encourage average and better than average infiltration and tend to decrease runoff. |74 |83 |88 |90 |</v>
      </c>
      <c r="U26" s="5" t="str">
        <f t="shared" si="5"/>
        <v>| 22 | Cultivated agricultural lands | Fallow | Crop residue cover (CR) |Good |Factors encourage average and better than average infiltration and tend to decrease runoff. |74 |83 |88 |90 | | | |</v>
      </c>
    </row>
    <row r="27" spans="2:21" ht="92.25" x14ac:dyDescent="0.55000000000000004">
      <c r="B27" s="4">
        <v>23</v>
      </c>
      <c r="C27" s="4" t="s">
        <v>49</v>
      </c>
      <c r="D27" s="4" t="s">
        <v>57</v>
      </c>
      <c r="E27" s="4" t="s">
        <v>58</v>
      </c>
      <c r="F27" s="4" t="s">
        <v>53</v>
      </c>
      <c r="G27" s="4" t="s">
        <v>54</v>
      </c>
      <c r="H27" s="4">
        <v>72</v>
      </c>
      <c r="I27" s="4">
        <v>81</v>
      </c>
      <c r="J27" s="4">
        <v>88</v>
      </c>
      <c r="K27" s="4">
        <v>91</v>
      </c>
      <c r="L27" s="5"/>
      <c r="M27" s="4"/>
      <c r="N27" s="4"/>
      <c r="O27" s="4"/>
      <c r="P27" s="5" t="str">
        <f t="shared" si="6"/>
        <v>| 23 | Cultivated agricultural lands |</v>
      </c>
      <c r="Q27" s="5" t="str">
        <f t="shared" si="7"/>
        <v>| 23 | Cultivated agricultural lands | Row crops |</v>
      </c>
      <c r="R27" s="5" t="str">
        <f t="shared" si="3"/>
        <v>| 23 | Cultivated agricultural lands | Row crops | Straight row (SR) |</v>
      </c>
      <c r="S27" s="5" t="str">
        <f t="shared" si="4"/>
        <v>| 23 | Cultivated agricultural lands | Row crops | Straight row (SR) |Poor |</v>
      </c>
      <c r="T27" s="5" t="str">
        <f t="shared" si="0"/>
        <v>| 23 | Cultivated agricultural lands | Row crops | Straight row (SR) |Poor |Factors impair infiltration and tend to increase runoff. |72 |81 |88 |91 |</v>
      </c>
      <c r="U27" s="5" t="str">
        <f t="shared" si="5"/>
        <v>| 23 | Cultivated agricultural lands | Row crops | Straight row (SR) |Poor |Factors impair infiltration and tend to increase runoff. |72 |81 |88 |91 | | | |</v>
      </c>
    </row>
    <row r="28" spans="2:21" ht="92.25" x14ac:dyDescent="0.55000000000000004">
      <c r="B28" s="4">
        <v>24</v>
      </c>
      <c r="C28" s="4" t="s">
        <v>49</v>
      </c>
      <c r="D28" s="4" t="s">
        <v>57</v>
      </c>
      <c r="E28" s="4" t="s">
        <v>58</v>
      </c>
      <c r="F28" s="4" t="s">
        <v>55</v>
      </c>
      <c r="G28" s="4" t="s">
        <v>56</v>
      </c>
      <c r="H28" s="4">
        <v>67</v>
      </c>
      <c r="I28" s="4">
        <v>78</v>
      </c>
      <c r="J28" s="4">
        <v>85</v>
      </c>
      <c r="K28" s="4">
        <v>89</v>
      </c>
      <c r="L28" s="5"/>
      <c r="M28" s="4"/>
      <c r="N28" s="4"/>
      <c r="O28" s="4"/>
      <c r="P28" s="5" t="str">
        <f t="shared" si="6"/>
        <v>| 24 | Cultivated agricultural lands |</v>
      </c>
      <c r="Q28" s="5" t="str">
        <f t="shared" si="7"/>
        <v>| 24 | Cultivated agricultural lands | Row crops |</v>
      </c>
      <c r="R28" s="5" t="str">
        <f t="shared" si="3"/>
        <v>| 24 | Cultivated agricultural lands | Row crops | Straight row (SR) |</v>
      </c>
      <c r="S28" s="5" t="str">
        <f t="shared" si="4"/>
        <v>| 24 | Cultivated agricultural lands | Row crops | Straight row (SR) |Good |</v>
      </c>
      <c r="T28" s="5" t="str">
        <f t="shared" si="0"/>
        <v>| 24 | Cultivated agricultural lands | Row crops | Straight row (SR) |Good |Factors encourage average and better than average infiltration and tend to decrease runoff. |67 |78 |85 |89 |</v>
      </c>
      <c r="U28" s="5" t="str">
        <f t="shared" si="5"/>
        <v>| 24 | Cultivated agricultural lands | Row crops | Straight row (SR) |Good |Factors encourage average and better than average infiltration and tend to decrease runoff. |67 |78 |85 |89 | | | |</v>
      </c>
    </row>
    <row r="29" spans="2:21" ht="92.25" x14ac:dyDescent="0.55000000000000004">
      <c r="B29" s="4">
        <v>25</v>
      </c>
      <c r="C29" s="4" t="s">
        <v>49</v>
      </c>
      <c r="D29" s="4" t="s">
        <v>57</v>
      </c>
      <c r="E29" s="4" t="s">
        <v>59</v>
      </c>
      <c r="F29" s="4" t="s">
        <v>53</v>
      </c>
      <c r="G29" s="4" t="s">
        <v>54</v>
      </c>
      <c r="H29" s="4">
        <v>71</v>
      </c>
      <c r="I29" s="4">
        <v>80</v>
      </c>
      <c r="J29" s="4">
        <v>87</v>
      </c>
      <c r="K29" s="4">
        <v>90</v>
      </c>
      <c r="L29" s="5"/>
      <c r="M29" s="4"/>
      <c r="N29" s="4"/>
      <c r="O29" s="4"/>
      <c r="P29" s="5" t="str">
        <f t="shared" si="6"/>
        <v>| 25 | Cultivated agricultural lands |</v>
      </c>
      <c r="Q29" s="5" t="str">
        <f t="shared" si="7"/>
        <v>| 25 | Cultivated agricultural lands | Row crops |</v>
      </c>
      <c r="R29" s="5" t="str">
        <f t="shared" si="3"/>
        <v>| 25 | Cultivated agricultural lands | Row crops | Straight row (SR) + Crop residue cover (CR) |</v>
      </c>
      <c r="S29" s="5" t="str">
        <f t="shared" si="4"/>
        <v>| 25 | Cultivated agricultural lands | Row crops | Straight row (SR) + Crop residue cover (CR) |Poor |</v>
      </c>
      <c r="T29" s="5" t="str">
        <f t="shared" si="0"/>
        <v>| 25 | Cultivated agricultural lands | Row crops | Straight row (SR) + Crop residue cover (CR) |Poor |Factors impair infiltration and tend to increase runoff. |71 |80 |87 |90 |</v>
      </c>
      <c r="U29" s="5" t="str">
        <f t="shared" si="5"/>
        <v>| 25 | Cultivated agricultural lands | Row crops | Straight row (SR) + Crop residue cover (CR) |Poor |Factors impair infiltration and tend to increase runoff. |71 |80 |87 |90 | | | |</v>
      </c>
    </row>
    <row r="30" spans="2:21" ht="92.25" x14ac:dyDescent="0.55000000000000004">
      <c r="B30" s="4">
        <v>26</v>
      </c>
      <c r="C30" s="4" t="s">
        <v>49</v>
      </c>
      <c r="D30" s="4" t="s">
        <v>57</v>
      </c>
      <c r="E30" s="4" t="s">
        <v>59</v>
      </c>
      <c r="F30" s="4" t="s">
        <v>55</v>
      </c>
      <c r="G30" s="4" t="s">
        <v>56</v>
      </c>
      <c r="H30" s="4">
        <v>64</v>
      </c>
      <c r="I30" s="4">
        <v>75</v>
      </c>
      <c r="J30" s="4">
        <v>82</v>
      </c>
      <c r="K30" s="4">
        <v>85</v>
      </c>
      <c r="L30" s="5"/>
      <c r="M30" s="4"/>
      <c r="N30" s="4"/>
      <c r="O30" s="4"/>
      <c r="P30" s="5" t="str">
        <f t="shared" si="6"/>
        <v>| 26 | Cultivated agricultural lands |</v>
      </c>
      <c r="Q30" s="5" t="str">
        <f t="shared" si="7"/>
        <v>| 26 | Cultivated agricultural lands | Row crops |</v>
      </c>
      <c r="R30" s="5" t="str">
        <f t="shared" si="3"/>
        <v>| 26 | Cultivated agricultural lands | Row crops | Straight row (SR) + Crop residue cover (CR) |</v>
      </c>
      <c r="S30" s="5" t="str">
        <f t="shared" si="4"/>
        <v>| 26 | Cultivated agricultural lands | Row crops | Straight row (SR) + Crop residue cover (CR) |Good |</v>
      </c>
      <c r="T30" s="5" t="str">
        <f t="shared" si="0"/>
        <v>| 26 | Cultivated agricultural lands | Row crops | Straight row (SR) + Crop residue cover (CR) |Good |Factors encourage average and better than average infiltration and tend to decrease runoff. |64 |75 |82 |85 |</v>
      </c>
      <c r="U30" s="5" t="str">
        <f t="shared" si="5"/>
        <v>| 26 | Cultivated agricultural lands | Row crops | Straight row (SR) + Crop residue cover (CR) |Good |Factors encourage average and better than average infiltration and tend to decrease runoff. |64 |75 |82 |85 | | | |</v>
      </c>
    </row>
    <row r="31" spans="2:21" ht="92.25" x14ac:dyDescent="0.55000000000000004">
      <c r="B31" s="4">
        <v>27</v>
      </c>
      <c r="C31" s="4" t="s">
        <v>49</v>
      </c>
      <c r="D31" s="4" t="s">
        <v>57</v>
      </c>
      <c r="E31" s="4" t="s">
        <v>60</v>
      </c>
      <c r="F31" s="4" t="s">
        <v>53</v>
      </c>
      <c r="G31" s="4" t="s">
        <v>54</v>
      </c>
      <c r="H31" s="4">
        <v>70</v>
      </c>
      <c r="I31" s="4">
        <v>79</v>
      </c>
      <c r="J31" s="4">
        <v>84</v>
      </c>
      <c r="K31" s="4">
        <v>88</v>
      </c>
      <c r="L31" s="4"/>
      <c r="M31" s="5"/>
      <c r="N31" s="5"/>
      <c r="O31" s="4"/>
      <c r="P31" s="5" t="str">
        <f t="shared" si="6"/>
        <v>| 27 | Cultivated agricultural lands |</v>
      </c>
      <c r="Q31" s="5" t="str">
        <f t="shared" si="7"/>
        <v>| 27 | Cultivated agricultural lands | Row crops |</v>
      </c>
      <c r="R31" s="5" t="str">
        <f t="shared" si="3"/>
        <v>| 27 | Cultivated agricultural lands | Row crops | Contoured (C) |</v>
      </c>
      <c r="S31" s="5" t="str">
        <f t="shared" si="4"/>
        <v>| 27 | Cultivated agricultural lands | Row crops | Contoured (C) |Poor |</v>
      </c>
      <c r="T31" s="5" t="str">
        <f t="shared" si="0"/>
        <v>| 27 | Cultivated agricultural lands | Row crops | Contoured (C) |Poor |Factors impair infiltration and tend to increase runoff. |70 |79 |84 |88 |</v>
      </c>
      <c r="U31" s="5" t="str">
        <f t="shared" si="5"/>
        <v>| 27 | Cultivated agricultural lands | Row crops | Contoured (C) |Poor |Factors impair infiltration and tend to increase runoff. |70 |79 |84 |88 | | | |</v>
      </c>
    </row>
    <row r="32" spans="2:21" ht="92.25" x14ac:dyDescent="0.55000000000000004">
      <c r="B32" s="5">
        <v>28</v>
      </c>
      <c r="C32" s="4" t="s">
        <v>49</v>
      </c>
      <c r="D32" s="4" t="s">
        <v>57</v>
      </c>
      <c r="E32" s="4" t="s">
        <v>60</v>
      </c>
      <c r="F32" s="4" t="s">
        <v>55</v>
      </c>
      <c r="G32" s="4" t="s">
        <v>56</v>
      </c>
      <c r="H32" s="4">
        <v>65</v>
      </c>
      <c r="I32" s="4">
        <v>75</v>
      </c>
      <c r="J32" s="4">
        <v>82</v>
      </c>
      <c r="K32" s="4">
        <v>86</v>
      </c>
      <c r="L32" s="4"/>
      <c r="M32" s="5"/>
      <c r="N32" s="4"/>
      <c r="O32" s="4"/>
      <c r="P32" s="5" t="str">
        <f t="shared" si="6"/>
        <v>| 28 | Cultivated agricultural lands |</v>
      </c>
      <c r="Q32" s="5" t="str">
        <f t="shared" si="7"/>
        <v>| 28 | Cultivated agricultural lands | Row crops |</v>
      </c>
      <c r="R32" s="5" t="str">
        <f t="shared" si="3"/>
        <v>| 28 | Cultivated agricultural lands | Row crops | Contoured (C) |</v>
      </c>
      <c r="S32" s="5" t="str">
        <f t="shared" si="4"/>
        <v>| 28 | Cultivated agricultural lands | Row crops | Contoured (C) |Good |</v>
      </c>
      <c r="T32" s="5" t="str">
        <f t="shared" si="0"/>
        <v>| 28 | Cultivated agricultural lands | Row crops | Contoured (C) |Good |Factors encourage average and better than average infiltration and tend to decrease runoff. |65 |75 |82 |86 |</v>
      </c>
      <c r="U32" s="5" t="str">
        <f t="shared" si="5"/>
        <v>| 28 | Cultivated agricultural lands | Row crops | Contoured (C) |Good |Factors encourage average and better than average infiltration and tend to decrease runoff. |65 |75 |82 |86 | | | |</v>
      </c>
    </row>
    <row r="33" spans="2:21" ht="92.25" x14ac:dyDescent="0.55000000000000004">
      <c r="B33" s="5">
        <v>29</v>
      </c>
      <c r="C33" s="4" t="s">
        <v>49</v>
      </c>
      <c r="D33" s="4" t="s">
        <v>57</v>
      </c>
      <c r="E33" s="4" t="s">
        <v>61</v>
      </c>
      <c r="F33" s="4" t="s">
        <v>53</v>
      </c>
      <c r="G33" s="4" t="s">
        <v>54</v>
      </c>
      <c r="H33" s="4">
        <v>69</v>
      </c>
      <c r="I33" s="4">
        <v>78</v>
      </c>
      <c r="J33" s="4">
        <v>83</v>
      </c>
      <c r="K33" s="4">
        <v>87</v>
      </c>
      <c r="L33" s="4"/>
      <c r="M33" s="5"/>
      <c r="N33" s="4"/>
      <c r="O33" s="4"/>
      <c r="P33" s="5" t="str">
        <f t="shared" si="6"/>
        <v>| 29 | Cultivated agricultural lands |</v>
      </c>
      <c r="Q33" s="5" t="str">
        <f t="shared" si="7"/>
        <v>| 29 | Cultivated agricultural lands | Row crops |</v>
      </c>
      <c r="R33" s="5" t="str">
        <f t="shared" si="3"/>
        <v>| 29 | Cultivated agricultural lands | Row crops | Contoured (C) + Crop residue cover (CR) |</v>
      </c>
      <c r="S33" s="5" t="str">
        <f t="shared" si="4"/>
        <v>| 29 | Cultivated agricultural lands | Row crops | Contoured (C) + Crop residue cover (CR) |Poor |</v>
      </c>
      <c r="T33" s="5" t="str">
        <f t="shared" si="0"/>
        <v>| 29 | Cultivated agricultural lands | Row crops | Contoured (C) + Crop residue cover (CR) |Poor |Factors impair infiltration and tend to increase runoff. |69 |78 |83 |87 |</v>
      </c>
      <c r="U33" s="5" t="str">
        <f t="shared" si="5"/>
        <v>| 29 | Cultivated agricultural lands | Row crops | Contoured (C) + Crop residue cover (CR) |Poor |Factors impair infiltration and tend to increase runoff. |69 |78 |83 |87 | | | |</v>
      </c>
    </row>
    <row r="34" spans="2:21" ht="92.25" x14ac:dyDescent="0.55000000000000004">
      <c r="B34" s="4">
        <v>30</v>
      </c>
      <c r="C34" s="4" t="s">
        <v>49</v>
      </c>
      <c r="D34" s="4" t="s">
        <v>57</v>
      </c>
      <c r="E34" s="4" t="s">
        <v>61</v>
      </c>
      <c r="F34" s="4" t="s">
        <v>55</v>
      </c>
      <c r="G34" s="4" t="s">
        <v>56</v>
      </c>
      <c r="H34" s="4">
        <v>64</v>
      </c>
      <c r="I34" s="4">
        <v>74</v>
      </c>
      <c r="J34" s="4">
        <v>81</v>
      </c>
      <c r="K34" s="4">
        <v>85</v>
      </c>
      <c r="L34" s="4"/>
      <c r="M34" s="5"/>
      <c r="N34" s="5"/>
      <c r="O34" s="4"/>
      <c r="P34" s="5" t="str">
        <f t="shared" si="6"/>
        <v>| 30 | Cultivated agricultural lands |</v>
      </c>
      <c r="Q34" s="5" t="str">
        <f t="shared" si="7"/>
        <v>| 30 | Cultivated agricultural lands | Row crops |</v>
      </c>
      <c r="R34" s="5" t="str">
        <f t="shared" si="3"/>
        <v>| 30 | Cultivated agricultural lands | Row crops | Contoured (C) + Crop residue cover (CR) |</v>
      </c>
      <c r="S34" s="5" t="str">
        <f t="shared" si="4"/>
        <v>| 30 | Cultivated agricultural lands | Row crops | Contoured (C) + Crop residue cover (CR) |Good |</v>
      </c>
      <c r="T34" s="5" t="str">
        <f t="shared" si="0"/>
        <v>| 30 | Cultivated agricultural lands | Row crops | Contoured (C) + Crop residue cover (CR) |Good |Factors encourage average and better than average infiltration and tend to decrease runoff. |64 |74 |81 |85 |</v>
      </c>
      <c r="U34" s="5" t="str">
        <f t="shared" si="5"/>
        <v>| 30 | Cultivated agricultural lands | Row crops | Contoured (C) + Crop residue cover (CR) |Good |Factors encourage average and better than average infiltration and tend to decrease runoff. |64 |74 |81 |85 | | | |</v>
      </c>
    </row>
    <row r="35" spans="2:21" ht="92.25" x14ac:dyDescent="0.55000000000000004">
      <c r="B35" s="4">
        <v>31</v>
      </c>
      <c r="C35" s="4" t="s">
        <v>49</v>
      </c>
      <c r="D35" s="4" t="s">
        <v>57</v>
      </c>
      <c r="E35" s="4" t="s">
        <v>62</v>
      </c>
      <c r="F35" s="4" t="s">
        <v>53</v>
      </c>
      <c r="G35" s="4" t="s">
        <v>54</v>
      </c>
      <c r="H35" s="4">
        <v>66</v>
      </c>
      <c r="I35" s="4">
        <v>74</v>
      </c>
      <c r="J35" s="4">
        <v>80</v>
      </c>
      <c r="K35" s="4">
        <v>82</v>
      </c>
      <c r="L35" s="4"/>
      <c r="M35" s="5"/>
      <c r="N35" s="4"/>
      <c r="O35" s="4"/>
      <c r="P35" s="5" t="str">
        <f t="shared" si="6"/>
        <v>| 31 | Cultivated agricultural lands |</v>
      </c>
      <c r="Q35" s="5" t="str">
        <f t="shared" si="7"/>
        <v>| 31 | Cultivated agricultural lands | Row crops |</v>
      </c>
      <c r="R35" s="5" t="str">
        <f t="shared" si="3"/>
        <v>| 31 | Cultivated agricultural lands | Row crops | Contoured &amp; terraced (C &amp; T) |</v>
      </c>
      <c r="S35" s="5" t="str">
        <f t="shared" si="4"/>
        <v>| 31 | Cultivated agricultural lands | Row crops | Contoured &amp; terraced (C &amp; T) |Poor |</v>
      </c>
      <c r="T35" s="5" t="str">
        <f t="shared" si="0"/>
        <v>| 31 | Cultivated agricultural lands | Row crops | Contoured &amp; terraced (C &amp; T) |Poor |Factors impair infiltration and tend to increase runoff. |66 |74 |80 |82 |</v>
      </c>
      <c r="U35" s="5" t="str">
        <f t="shared" si="5"/>
        <v>| 31 | Cultivated agricultural lands | Row crops | Contoured &amp; terraced (C &amp; T) |Poor |Factors impair infiltration and tend to increase runoff. |66 |74 |80 |82 | | | |</v>
      </c>
    </row>
    <row r="36" spans="2:21" ht="92.25" x14ac:dyDescent="0.55000000000000004">
      <c r="B36" s="4">
        <v>32</v>
      </c>
      <c r="C36" s="4" t="s">
        <v>49</v>
      </c>
      <c r="D36" s="4" t="s">
        <v>57</v>
      </c>
      <c r="E36" s="4" t="s">
        <v>62</v>
      </c>
      <c r="F36" s="4" t="s">
        <v>55</v>
      </c>
      <c r="G36" s="4" t="s">
        <v>56</v>
      </c>
      <c r="H36" s="4">
        <v>62</v>
      </c>
      <c r="I36" s="4">
        <v>71</v>
      </c>
      <c r="J36" s="4">
        <v>78</v>
      </c>
      <c r="K36" s="4">
        <v>81</v>
      </c>
      <c r="L36" s="4"/>
      <c r="M36" s="5"/>
      <c r="N36" s="4"/>
      <c r="O36" s="4"/>
      <c r="P36" s="5" t="str">
        <f t="shared" si="6"/>
        <v>| 32 | Cultivated agricultural lands |</v>
      </c>
      <c r="Q36" s="5" t="str">
        <f t="shared" si="7"/>
        <v>| 32 | Cultivated agricultural lands | Row crops |</v>
      </c>
      <c r="R36" s="5" t="str">
        <f t="shared" si="3"/>
        <v>| 32 | Cultivated agricultural lands | Row crops | Contoured &amp; terraced (C &amp; T) |</v>
      </c>
      <c r="S36" s="5" t="str">
        <f t="shared" si="4"/>
        <v>| 32 | Cultivated agricultural lands | Row crops | Contoured &amp; terraced (C &amp; T) |Good |</v>
      </c>
      <c r="T36" s="5" t="str">
        <f t="shared" si="0"/>
        <v>| 32 | Cultivated agricultural lands | Row crops | Contoured &amp; terraced (C &amp; T) |Good |Factors encourage average and better than average infiltration and tend to decrease runoff. |62 |71 |78 |81 |</v>
      </c>
      <c r="U36" s="5" t="str">
        <f t="shared" si="5"/>
        <v>| 32 | Cultivated agricultural lands | Row crops | Contoured &amp; terraced (C &amp; T) |Good |Factors encourage average and better than average infiltration and tend to decrease runoff. |62 |71 |78 |81 | | | |</v>
      </c>
    </row>
    <row r="37" spans="2:21" ht="92.25" x14ac:dyDescent="0.55000000000000004">
      <c r="B37" s="5">
        <v>33</v>
      </c>
      <c r="C37" s="4" t="s">
        <v>49</v>
      </c>
      <c r="D37" s="4" t="s">
        <v>57</v>
      </c>
      <c r="E37" s="4" t="s">
        <v>63</v>
      </c>
      <c r="F37" s="4" t="s">
        <v>53</v>
      </c>
      <c r="G37" s="4" t="s">
        <v>54</v>
      </c>
      <c r="H37" s="4">
        <v>65</v>
      </c>
      <c r="I37" s="4">
        <v>73</v>
      </c>
      <c r="J37" s="4">
        <v>79</v>
      </c>
      <c r="K37" s="4">
        <v>81</v>
      </c>
      <c r="L37" s="4"/>
      <c r="M37" s="5"/>
      <c r="N37" s="4"/>
      <c r="O37" s="4"/>
      <c r="P37" s="5" t="str">
        <f t="shared" si="6"/>
        <v>| 33 | Cultivated agricultural lands |</v>
      </c>
      <c r="Q37" s="5" t="str">
        <f t="shared" si="7"/>
        <v>| 33 | Cultivated agricultural lands | Row crops |</v>
      </c>
      <c r="R37" s="5" t="str">
        <f t="shared" si="3"/>
        <v>| 33 | Cultivated agricultural lands | Row crops | Contoured &amp; terraced (C &amp; T) + Crop residue cover (CR) |</v>
      </c>
      <c r="S37" s="5" t="str">
        <f t="shared" si="4"/>
        <v>| 33 | Cultivated agricultural lands | Row crops | Contoured &amp; terraced (C &amp; T) + Crop residue cover (CR) |Poor |</v>
      </c>
      <c r="T37" s="5" t="str">
        <f t="shared" si="0"/>
        <v>| 33 | Cultivated agricultural lands | Row crops | Contoured &amp; terraced (C &amp; T) + Crop residue cover (CR) |Poor |Factors impair infiltration and tend to increase runoff. |65 |73 |79 |81 |</v>
      </c>
      <c r="U37" s="5" t="str">
        <f t="shared" si="5"/>
        <v>| 33 | Cultivated agricultural lands | Row crops | Contoured &amp; terraced (C &amp; T) + Crop residue cover (CR) |Poor |Factors impair infiltration and tend to increase runoff. |65 |73 |79 |81 | | | |</v>
      </c>
    </row>
    <row r="38" spans="2:21" ht="92.25" x14ac:dyDescent="0.55000000000000004">
      <c r="B38" s="5">
        <v>34</v>
      </c>
      <c r="C38" s="5" t="s">
        <v>49</v>
      </c>
      <c r="D38" s="4" t="s">
        <v>57</v>
      </c>
      <c r="E38" s="5" t="s">
        <v>63</v>
      </c>
      <c r="F38" s="4" t="s">
        <v>55</v>
      </c>
      <c r="G38" s="4" t="s">
        <v>56</v>
      </c>
      <c r="H38" s="4">
        <v>61</v>
      </c>
      <c r="I38" s="4">
        <v>70</v>
      </c>
      <c r="J38" s="4">
        <v>77</v>
      </c>
      <c r="K38" s="4">
        <v>80</v>
      </c>
      <c r="L38" s="4"/>
      <c r="M38" s="5"/>
      <c r="N38" s="5"/>
      <c r="O38" s="4"/>
      <c r="P38" s="5" t="str">
        <f t="shared" si="6"/>
        <v>| 34 | Cultivated agricultural lands |</v>
      </c>
      <c r="Q38" s="5" t="str">
        <f t="shared" si="7"/>
        <v>| 34 | Cultivated agricultural lands | Row crops |</v>
      </c>
      <c r="R38" s="5" t="str">
        <f t="shared" si="3"/>
        <v>| 34 | Cultivated agricultural lands | Row crops | Contoured &amp; terraced (C &amp; T) + Crop residue cover (CR) |</v>
      </c>
      <c r="S38" s="5" t="str">
        <f t="shared" si="4"/>
        <v>| 34 | Cultivated agricultural lands | Row crops | Contoured &amp; terraced (C &amp; T) + Crop residue cover (CR) |Good |</v>
      </c>
      <c r="T38" s="5" t="str">
        <f t="shared" si="0"/>
        <v>| 34 | Cultivated agricultural lands | Row crops | Contoured &amp; terraced (C &amp; T) + Crop residue cover (CR) |Good |Factors encourage average and better than average infiltration and tend to decrease runoff. |61 |70 |77 |80 |</v>
      </c>
      <c r="U38" s="5" t="str">
        <f t="shared" si="5"/>
        <v>| 34 | Cultivated agricultural lands | Row crops | Contoured &amp; terraced (C &amp; T) + Crop residue cover (CR) |Good |Factors encourage average and better than average infiltration and tend to decrease runoff. |61 |70 |77 |80 | | | |</v>
      </c>
    </row>
    <row r="39" spans="2:21" ht="92.25" x14ac:dyDescent="0.55000000000000004">
      <c r="B39" s="4">
        <v>35</v>
      </c>
      <c r="C39" s="4" t="s">
        <v>49</v>
      </c>
      <c r="D39" s="4" t="s">
        <v>64</v>
      </c>
      <c r="E39" s="4" t="s">
        <v>58</v>
      </c>
      <c r="F39" s="4" t="s">
        <v>53</v>
      </c>
      <c r="G39" s="4" t="s">
        <v>54</v>
      </c>
      <c r="H39" s="4">
        <v>65</v>
      </c>
      <c r="I39" s="4">
        <v>76</v>
      </c>
      <c r="J39" s="4">
        <v>84</v>
      </c>
      <c r="K39" s="4">
        <v>88</v>
      </c>
      <c r="L39" s="4"/>
      <c r="M39" s="5"/>
      <c r="N39" s="5"/>
      <c r="O39" s="4"/>
      <c r="P39" s="5" t="str">
        <f t="shared" si="6"/>
        <v>| 35 | Cultivated agricultural lands |</v>
      </c>
      <c r="Q39" s="5" t="str">
        <f t="shared" si="7"/>
        <v>| 35 | Cultivated agricultural lands | Small grain |</v>
      </c>
      <c r="R39" s="5" t="str">
        <f t="shared" si="3"/>
        <v>| 35 | Cultivated agricultural lands | Small grain | Straight row (SR) |</v>
      </c>
      <c r="S39" s="5" t="str">
        <f t="shared" si="4"/>
        <v>| 35 | Cultivated agricultural lands | Small grain | Straight row (SR) |Poor |</v>
      </c>
      <c r="T39" s="5" t="str">
        <f t="shared" si="0"/>
        <v>| 35 | Cultivated agricultural lands | Small grain | Straight row (SR) |Poor |Factors impair infiltration and tend to increase runoff. |65 |76 |84 |88 |</v>
      </c>
      <c r="U39" s="5" t="str">
        <f t="shared" si="5"/>
        <v>| 35 | Cultivated agricultural lands | Small grain | Straight row (SR) |Poor |Factors impair infiltration and tend to increase runoff. |65 |76 |84 |88 | | | |</v>
      </c>
    </row>
    <row r="40" spans="2:21" ht="92.25" x14ac:dyDescent="0.55000000000000004">
      <c r="B40" s="4">
        <v>36</v>
      </c>
      <c r="C40" s="4" t="s">
        <v>49</v>
      </c>
      <c r="D40" s="4" t="s">
        <v>64</v>
      </c>
      <c r="E40" s="4" t="s">
        <v>58</v>
      </c>
      <c r="F40" s="4" t="s">
        <v>55</v>
      </c>
      <c r="G40" s="4" t="s">
        <v>56</v>
      </c>
      <c r="H40" s="4">
        <v>63</v>
      </c>
      <c r="I40" s="4">
        <v>75</v>
      </c>
      <c r="J40" s="4">
        <v>83</v>
      </c>
      <c r="K40" s="4">
        <v>87</v>
      </c>
      <c r="L40" s="4"/>
      <c r="M40" s="4"/>
      <c r="N40" s="5"/>
      <c r="O40" s="4"/>
      <c r="P40" s="5" t="str">
        <f t="shared" si="6"/>
        <v>| 36 | Cultivated agricultural lands |</v>
      </c>
      <c r="Q40" s="5" t="str">
        <f t="shared" si="7"/>
        <v>| 36 | Cultivated agricultural lands | Small grain |</v>
      </c>
      <c r="R40" s="5" t="str">
        <f t="shared" si="3"/>
        <v>| 36 | Cultivated agricultural lands | Small grain | Straight row (SR) |</v>
      </c>
      <c r="S40" s="5" t="str">
        <f t="shared" si="4"/>
        <v>| 36 | Cultivated agricultural lands | Small grain | Straight row (SR) |Good |</v>
      </c>
      <c r="T40" s="5" t="str">
        <f t="shared" si="0"/>
        <v>| 36 | Cultivated agricultural lands | Small grain | Straight row (SR) |Good |Factors encourage average and better than average infiltration and tend to decrease runoff. |63 |75 |83 |87 |</v>
      </c>
      <c r="U40" s="5" t="str">
        <f t="shared" si="5"/>
        <v>| 36 | Cultivated agricultural lands | Small grain | Straight row (SR) |Good |Factors encourage average and better than average infiltration and tend to decrease runoff. |63 |75 |83 |87 | | | |</v>
      </c>
    </row>
    <row r="41" spans="2:21" ht="92.25" x14ac:dyDescent="0.55000000000000004">
      <c r="B41" s="4">
        <v>37</v>
      </c>
      <c r="C41" s="4" t="s">
        <v>49</v>
      </c>
      <c r="D41" s="4" t="s">
        <v>64</v>
      </c>
      <c r="E41" s="4" t="s">
        <v>59</v>
      </c>
      <c r="F41" s="4" t="s">
        <v>53</v>
      </c>
      <c r="G41" s="4" t="s">
        <v>54</v>
      </c>
      <c r="H41" s="4">
        <v>64</v>
      </c>
      <c r="I41" s="4">
        <v>75</v>
      </c>
      <c r="J41" s="4">
        <v>83</v>
      </c>
      <c r="K41" s="4">
        <v>86</v>
      </c>
      <c r="L41" s="4"/>
      <c r="M41" s="4"/>
      <c r="N41" s="5"/>
      <c r="O41" s="4"/>
      <c r="P41" s="5" t="str">
        <f t="shared" si="6"/>
        <v>| 37 | Cultivated agricultural lands |</v>
      </c>
      <c r="Q41" s="5" t="str">
        <f t="shared" si="7"/>
        <v>| 37 | Cultivated agricultural lands | Small grain |</v>
      </c>
      <c r="R41" s="5" t="str">
        <f t="shared" si="3"/>
        <v>| 37 | Cultivated agricultural lands | Small grain | Straight row (SR) + Crop residue cover (CR) |</v>
      </c>
      <c r="S41" s="5" t="str">
        <f t="shared" si="4"/>
        <v>| 37 | Cultivated agricultural lands | Small grain | Straight row (SR) + Crop residue cover (CR) |Poor |</v>
      </c>
      <c r="T41" s="5" t="str">
        <f t="shared" si="0"/>
        <v>| 37 | Cultivated agricultural lands | Small grain | Straight row (SR) + Crop residue cover (CR) |Poor |Factors impair infiltration and tend to increase runoff. |64 |75 |83 |86 |</v>
      </c>
      <c r="U41" s="5" t="str">
        <f t="shared" si="5"/>
        <v>| 37 | Cultivated agricultural lands | Small grain | Straight row (SR) + Crop residue cover (CR) |Poor |Factors impair infiltration and tend to increase runoff. |64 |75 |83 |86 | | | |</v>
      </c>
    </row>
    <row r="42" spans="2:21" ht="92.25" x14ac:dyDescent="0.55000000000000004">
      <c r="B42" s="4">
        <v>38</v>
      </c>
      <c r="C42" s="4" t="s">
        <v>49</v>
      </c>
      <c r="D42" s="4" t="s">
        <v>64</v>
      </c>
      <c r="E42" s="4" t="s">
        <v>59</v>
      </c>
      <c r="F42" s="4" t="s">
        <v>55</v>
      </c>
      <c r="G42" s="4" t="s">
        <v>56</v>
      </c>
      <c r="H42" s="4">
        <v>60</v>
      </c>
      <c r="I42" s="4">
        <v>72</v>
      </c>
      <c r="J42" s="4">
        <v>80</v>
      </c>
      <c r="K42" s="4">
        <v>84</v>
      </c>
      <c r="L42" s="4"/>
      <c r="M42" s="4"/>
      <c r="N42" s="4"/>
      <c r="O42" s="4"/>
      <c r="P42" s="5" t="str">
        <f t="shared" si="6"/>
        <v>| 38 | Cultivated agricultural lands |</v>
      </c>
      <c r="Q42" s="5" t="str">
        <f t="shared" si="7"/>
        <v>| 38 | Cultivated agricultural lands | Small grain |</v>
      </c>
      <c r="R42" s="5" t="str">
        <f t="shared" si="3"/>
        <v>| 38 | Cultivated agricultural lands | Small grain | Straight row (SR) + Crop residue cover (CR) |</v>
      </c>
      <c r="S42" s="5" t="str">
        <f t="shared" si="4"/>
        <v>| 38 | Cultivated agricultural lands | Small grain | Straight row (SR) + Crop residue cover (CR) |Good |</v>
      </c>
      <c r="T42" s="5" t="str">
        <f t="shared" si="0"/>
        <v>| 38 | Cultivated agricultural lands | Small grain | Straight row (SR) + Crop residue cover (CR) |Good |Factors encourage average and better than average infiltration and tend to decrease runoff. |60 |72 |80 |84 |</v>
      </c>
      <c r="U42" s="5" t="str">
        <f t="shared" si="5"/>
        <v>| 38 | Cultivated agricultural lands | Small grain | Straight row (SR) + Crop residue cover (CR) |Good |Factors encourage average and better than average infiltration and tend to decrease runoff. |60 |72 |80 |84 | | | |</v>
      </c>
    </row>
    <row r="43" spans="2:21" ht="92.25" x14ac:dyDescent="0.55000000000000004">
      <c r="B43" s="4">
        <v>39</v>
      </c>
      <c r="C43" s="4" t="s">
        <v>49</v>
      </c>
      <c r="D43" s="4" t="s">
        <v>64</v>
      </c>
      <c r="E43" s="4" t="s">
        <v>60</v>
      </c>
      <c r="F43" s="4" t="s">
        <v>53</v>
      </c>
      <c r="G43" s="4" t="s">
        <v>54</v>
      </c>
      <c r="H43" s="4">
        <v>63</v>
      </c>
      <c r="I43" s="4">
        <v>74</v>
      </c>
      <c r="J43" s="4">
        <v>82</v>
      </c>
      <c r="K43" s="4">
        <v>85</v>
      </c>
      <c r="L43" s="4"/>
      <c r="M43" s="4"/>
      <c r="N43" s="4"/>
      <c r="O43" s="4"/>
      <c r="P43" s="5" t="str">
        <f t="shared" si="6"/>
        <v>| 39 | Cultivated agricultural lands |</v>
      </c>
      <c r="Q43" s="5" t="str">
        <f t="shared" si="7"/>
        <v>| 39 | Cultivated agricultural lands | Small grain |</v>
      </c>
      <c r="R43" s="5" t="str">
        <f t="shared" si="3"/>
        <v>| 39 | Cultivated agricultural lands | Small grain | Contoured (C) |</v>
      </c>
      <c r="S43" s="5" t="str">
        <f t="shared" si="4"/>
        <v>| 39 | Cultivated agricultural lands | Small grain | Contoured (C) |Poor |</v>
      </c>
      <c r="T43" s="5" t="str">
        <f t="shared" si="0"/>
        <v>| 39 | Cultivated agricultural lands | Small grain | Contoured (C) |Poor |Factors impair infiltration and tend to increase runoff. |63 |74 |82 |85 |</v>
      </c>
      <c r="U43" s="5" t="str">
        <f t="shared" si="5"/>
        <v>| 39 | Cultivated agricultural lands | Small grain | Contoured (C) |Poor |Factors impair infiltration and tend to increase runoff. |63 |74 |82 |85 | | | |</v>
      </c>
    </row>
    <row r="44" spans="2:21" ht="92.25" x14ac:dyDescent="0.55000000000000004">
      <c r="B44" s="4">
        <v>40</v>
      </c>
      <c r="C44" s="4" t="s">
        <v>49</v>
      </c>
      <c r="D44" s="4" t="s">
        <v>64</v>
      </c>
      <c r="E44" s="4" t="s">
        <v>60</v>
      </c>
      <c r="F44" s="4" t="s">
        <v>55</v>
      </c>
      <c r="G44" s="4" t="s">
        <v>56</v>
      </c>
      <c r="H44" s="4">
        <v>61</v>
      </c>
      <c r="I44" s="4">
        <v>73</v>
      </c>
      <c r="J44" s="4">
        <v>81</v>
      </c>
      <c r="K44" s="4">
        <v>84</v>
      </c>
      <c r="L44" s="4"/>
      <c r="M44" s="4"/>
      <c r="N44" s="4"/>
      <c r="O44" s="4"/>
      <c r="P44" s="5" t="str">
        <f t="shared" si="6"/>
        <v>| 40 | Cultivated agricultural lands |</v>
      </c>
      <c r="Q44" s="5" t="str">
        <f t="shared" si="7"/>
        <v>| 40 | Cultivated agricultural lands | Small grain |</v>
      </c>
      <c r="R44" s="5" t="str">
        <f t="shared" si="3"/>
        <v>| 40 | Cultivated agricultural lands | Small grain | Contoured (C) |</v>
      </c>
      <c r="S44" s="5" t="str">
        <f t="shared" si="4"/>
        <v>| 40 | Cultivated agricultural lands | Small grain | Contoured (C) |Good |</v>
      </c>
      <c r="T44" s="5" t="str">
        <f t="shared" si="0"/>
        <v>| 40 | Cultivated agricultural lands | Small grain | Contoured (C) |Good |Factors encourage average and better than average infiltration and tend to decrease runoff. |61 |73 |81 |84 |</v>
      </c>
      <c r="U44" s="5" t="str">
        <f t="shared" si="5"/>
        <v>| 40 | Cultivated agricultural lands | Small grain | Contoured (C) |Good |Factors encourage average and better than average infiltration and tend to decrease runoff. |61 |73 |81 |84 | | | |</v>
      </c>
    </row>
    <row r="45" spans="2:21" ht="92.25" x14ac:dyDescent="0.55000000000000004">
      <c r="B45" s="4">
        <v>41</v>
      </c>
      <c r="C45" s="4" t="s">
        <v>49</v>
      </c>
      <c r="D45" s="4" t="s">
        <v>64</v>
      </c>
      <c r="E45" s="4" t="s">
        <v>61</v>
      </c>
      <c r="F45" s="4" t="s">
        <v>53</v>
      </c>
      <c r="G45" s="4" t="s">
        <v>54</v>
      </c>
      <c r="H45" s="4">
        <v>62</v>
      </c>
      <c r="I45" s="4">
        <v>73</v>
      </c>
      <c r="J45" s="4">
        <v>81</v>
      </c>
      <c r="K45" s="4">
        <v>84</v>
      </c>
      <c r="L45" s="4"/>
      <c r="M45" s="4"/>
      <c r="N45" s="4"/>
      <c r="O45" s="4"/>
      <c r="P45" s="5" t="str">
        <f t="shared" si="6"/>
        <v>| 41 | Cultivated agricultural lands |</v>
      </c>
      <c r="Q45" s="5" t="str">
        <f t="shared" si="7"/>
        <v>| 41 | Cultivated agricultural lands | Small grain |</v>
      </c>
      <c r="R45" s="5" t="str">
        <f t="shared" si="3"/>
        <v>| 41 | Cultivated agricultural lands | Small grain | Contoured (C) + Crop residue cover (CR) |</v>
      </c>
      <c r="S45" s="5" t="str">
        <f t="shared" si="4"/>
        <v>| 41 | Cultivated agricultural lands | Small grain | Contoured (C) + Crop residue cover (CR) |Poor |</v>
      </c>
      <c r="T45" s="5" t="str">
        <f t="shared" si="0"/>
        <v>| 41 | Cultivated agricultural lands | Small grain | Contoured (C) + Crop residue cover (CR) |Poor |Factors impair infiltration and tend to increase runoff. |62 |73 |81 |84 |</v>
      </c>
      <c r="U45" s="5" t="str">
        <f t="shared" si="5"/>
        <v>| 41 | Cultivated agricultural lands | Small grain | Contoured (C) + Crop residue cover (CR) |Poor |Factors impair infiltration and tend to increase runoff. |62 |73 |81 |84 | | | |</v>
      </c>
    </row>
    <row r="46" spans="2:21" ht="92.25" x14ac:dyDescent="0.55000000000000004">
      <c r="B46" s="4">
        <v>42</v>
      </c>
      <c r="C46" s="4" t="s">
        <v>49</v>
      </c>
      <c r="D46" s="4" t="s">
        <v>64</v>
      </c>
      <c r="E46" s="4" t="s">
        <v>61</v>
      </c>
      <c r="F46" s="4" t="s">
        <v>55</v>
      </c>
      <c r="G46" s="4" t="s">
        <v>56</v>
      </c>
      <c r="H46" s="4">
        <v>60</v>
      </c>
      <c r="I46" s="4">
        <v>72</v>
      </c>
      <c r="J46" s="4">
        <v>80</v>
      </c>
      <c r="K46" s="4">
        <v>83</v>
      </c>
      <c r="L46" s="4"/>
      <c r="M46" s="4"/>
      <c r="N46" s="4"/>
      <c r="O46" s="4"/>
      <c r="P46" s="5" t="str">
        <f t="shared" si="6"/>
        <v>| 42 | Cultivated agricultural lands |</v>
      </c>
      <c r="Q46" s="5" t="str">
        <f t="shared" si="7"/>
        <v>| 42 | Cultivated agricultural lands | Small grain |</v>
      </c>
      <c r="R46" s="5" t="str">
        <f t="shared" si="3"/>
        <v>| 42 | Cultivated agricultural lands | Small grain | Contoured (C) + Crop residue cover (CR) |</v>
      </c>
      <c r="S46" s="5" t="str">
        <f t="shared" si="4"/>
        <v>| 42 | Cultivated agricultural lands | Small grain | Contoured (C) + Crop residue cover (CR) |Good |</v>
      </c>
      <c r="T46" s="5" t="str">
        <f t="shared" si="0"/>
        <v>| 42 | Cultivated agricultural lands | Small grain | Contoured (C) + Crop residue cover (CR) |Good |Factors encourage average and better than average infiltration and tend to decrease runoff. |60 |72 |80 |83 |</v>
      </c>
      <c r="U46" s="5" t="str">
        <f t="shared" si="5"/>
        <v>| 42 | Cultivated agricultural lands | Small grain | Contoured (C) + Crop residue cover (CR) |Good |Factors encourage average and better than average infiltration and tend to decrease runoff. |60 |72 |80 |83 | | | |</v>
      </c>
    </row>
    <row r="47" spans="2:21" ht="92.25" x14ac:dyDescent="0.55000000000000004">
      <c r="B47" s="4">
        <v>43</v>
      </c>
      <c r="C47" s="4" t="s">
        <v>49</v>
      </c>
      <c r="D47" s="4" t="s">
        <v>64</v>
      </c>
      <c r="E47" s="4" t="s">
        <v>62</v>
      </c>
      <c r="F47" s="4" t="s">
        <v>53</v>
      </c>
      <c r="G47" s="4" t="s">
        <v>54</v>
      </c>
      <c r="H47" s="4">
        <v>61</v>
      </c>
      <c r="I47" s="4">
        <v>72</v>
      </c>
      <c r="J47" s="4">
        <v>79</v>
      </c>
      <c r="K47" s="4">
        <v>82</v>
      </c>
      <c r="L47" s="4"/>
      <c r="M47" s="4"/>
      <c r="N47" s="4"/>
      <c r="O47" s="4"/>
      <c r="P47" s="5" t="str">
        <f t="shared" si="6"/>
        <v>| 43 | Cultivated agricultural lands |</v>
      </c>
      <c r="Q47" s="5" t="str">
        <f t="shared" si="7"/>
        <v>| 43 | Cultivated agricultural lands | Small grain |</v>
      </c>
      <c r="R47" s="5" t="str">
        <f t="shared" si="3"/>
        <v>| 43 | Cultivated agricultural lands | Small grain | Contoured &amp; terraced (C &amp; T) |</v>
      </c>
      <c r="S47" s="5" t="str">
        <f t="shared" si="4"/>
        <v>| 43 | Cultivated agricultural lands | Small grain | Contoured &amp; terraced (C &amp; T) |Poor |</v>
      </c>
      <c r="T47" s="5" t="str">
        <f t="shared" si="0"/>
        <v>| 43 | Cultivated agricultural lands | Small grain | Contoured &amp; terraced (C &amp; T) |Poor |Factors impair infiltration and tend to increase runoff. |61 |72 |79 |82 |</v>
      </c>
      <c r="U47" s="5" t="str">
        <f t="shared" si="5"/>
        <v>| 43 | Cultivated agricultural lands | Small grain | Contoured &amp; terraced (C &amp; T) |Poor |Factors impair infiltration and tend to increase runoff. |61 |72 |79 |82 | | | |</v>
      </c>
    </row>
    <row r="48" spans="2:21" ht="92.25" x14ac:dyDescent="0.55000000000000004">
      <c r="B48" s="4">
        <v>44</v>
      </c>
      <c r="C48" s="4" t="s">
        <v>49</v>
      </c>
      <c r="D48" s="4" t="s">
        <v>64</v>
      </c>
      <c r="E48" s="4" t="s">
        <v>62</v>
      </c>
      <c r="F48" s="4" t="s">
        <v>55</v>
      </c>
      <c r="G48" s="4" t="s">
        <v>56</v>
      </c>
      <c r="H48" s="4">
        <v>59</v>
      </c>
      <c r="I48" s="4">
        <v>70</v>
      </c>
      <c r="J48" s="4">
        <v>78</v>
      </c>
      <c r="K48" s="4">
        <v>81</v>
      </c>
      <c r="L48" s="4"/>
      <c r="M48" s="4"/>
      <c r="N48" s="4"/>
      <c r="O48" s="4"/>
      <c r="P48" s="5" t="str">
        <f t="shared" si="6"/>
        <v>| 44 | Cultivated agricultural lands |</v>
      </c>
      <c r="Q48" s="5" t="str">
        <f t="shared" si="7"/>
        <v>| 44 | Cultivated agricultural lands | Small grain |</v>
      </c>
      <c r="R48" s="5" t="str">
        <f t="shared" si="3"/>
        <v>| 44 | Cultivated agricultural lands | Small grain | Contoured &amp; terraced (C &amp; T) |</v>
      </c>
      <c r="S48" s="5" t="str">
        <f t="shared" si="4"/>
        <v>| 44 | Cultivated agricultural lands | Small grain | Contoured &amp; terraced (C &amp; T) |Good |</v>
      </c>
      <c r="T48" s="5" t="str">
        <f t="shared" si="0"/>
        <v>| 44 | Cultivated agricultural lands | Small grain | Contoured &amp; terraced (C &amp; T) |Good |Factors encourage average and better than average infiltration and tend to decrease runoff. |59 |70 |78 |81 |</v>
      </c>
      <c r="U48" s="5" t="str">
        <f t="shared" si="5"/>
        <v>| 44 | Cultivated agricultural lands | Small grain | Contoured &amp; terraced (C &amp; T) |Good |Factors encourage average and better than average infiltration and tend to decrease runoff. |59 |70 |78 |81 | | | |</v>
      </c>
    </row>
    <row r="49" spans="2:21" ht="92.25" x14ac:dyDescent="0.55000000000000004">
      <c r="B49" s="4">
        <v>45</v>
      </c>
      <c r="C49" s="4" t="s">
        <v>49</v>
      </c>
      <c r="D49" s="4" t="s">
        <v>64</v>
      </c>
      <c r="E49" s="4" t="s">
        <v>63</v>
      </c>
      <c r="F49" s="4" t="s">
        <v>53</v>
      </c>
      <c r="G49" s="4" t="s">
        <v>54</v>
      </c>
      <c r="H49" s="4">
        <v>60</v>
      </c>
      <c r="I49" s="4">
        <v>71</v>
      </c>
      <c r="J49" s="4">
        <v>78</v>
      </c>
      <c r="K49" s="4">
        <v>81</v>
      </c>
      <c r="L49" s="4"/>
      <c r="M49" s="4"/>
      <c r="N49" s="4"/>
      <c r="O49" s="4"/>
      <c r="P49" s="5" t="str">
        <f t="shared" si="6"/>
        <v>| 45 | Cultivated agricultural lands |</v>
      </c>
      <c r="Q49" s="5" t="str">
        <f t="shared" si="7"/>
        <v>| 45 | Cultivated agricultural lands | Small grain |</v>
      </c>
      <c r="R49" s="5" t="str">
        <f t="shared" si="3"/>
        <v>| 45 | Cultivated agricultural lands | Small grain | Contoured &amp; terraced (C &amp; T) + Crop residue cover (CR) |</v>
      </c>
      <c r="S49" s="5" t="str">
        <f t="shared" si="4"/>
        <v>| 45 | Cultivated agricultural lands | Small grain | Contoured &amp; terraced (C &amp; T) + Crop residue cover (CR) |Poor |</v>
      </c>
      <c r="T49" s="5" t="str">
        <f t="shared" si="0"/>
        <v>| 45 | Cultivated agricultural lands | Small grain | Contoured &amp; terraced (C &amp; T) + Crop residue cover (CR) |Poor |Factors impair infiltration and tend to increase runoff. |60 |71 |78 |81 |</v>
      </c>
      <c r="U49" s="5" t="str">
        <f t="shared" si="5"/>
        <v>| 45 | Cultivated agricultural lands | Small grain | Contoured &amp; terraced (C &amp; T) + Crop residue cover (CR) |Poor |Factors impair infiltration and tend to increase runoff. |60 |71 |78 |81 | | | |</v>
      </c>
    </row>
    <row r="50" spans="2:21" ht="92.25" x14ac:dyDescent="0.55000000000000004">
      <c r="B50" s="4">
        <v>46</v>
      </c>
      <c r="C50" s="4" t="s">
        <v>49</v>
      </c>
      <c r="D50" s="4" t="s">
        <v>64</v>
      </c>
      <c r="E50" s="4" t="s">
        <v>63</v>
      </c>
      <c r="F50" s="4" t="s">
        <v>55</v>
      </c>
      <c r="G50" s="4" t="s">
        <v>56</v>
      </c>
      <c r="H50" s="4">
        <v>58</v>
      </c>
      <c r="I50" s="4">
        <v>69</v>
      </c>
      <c r="J50" s="4">
        <v>77</v>
      </c>
      <c r="K50" s="4">
        <v>80</v>
      </c>
      <c r="L50" s="4"/>
      <c r="M50" s="4"/>
      <c r="N50" s="4"/>
      <c r="O50" s="4"/>
      <c r="P50" s="5" t="str">
        <f t="shared" si="6"/>
        <v>| 46 | Cultivated agricultural lands |</v>
      </c>
      <c r="Q50" s="5" t="str">
        <f t="shared" si="7"/>
        <v>| 46 | Cultivated agricultural lands | Small grain |</v>
      </c>
      <c r="R50" s="5" t="str">
        <f t="shared" si="3"/>
        <v>| 46 | Cultivated agricultural lands | Small grain | Contoured &amp; terraced (C &amp; T) + Crop residue cover (CR) |</v>
      </c>
      <c r="S50" s="5" t="str">
        <f t="shared" si="4"/>
        <v>| 46 | Cultivated agricultural lands | Small grain | Contoured &amp; terraced (C &amp; T) + Crop residue cover (CR) |Good |</v>
      </c>
      <c r="T50" s="5" t="str">
        <f t="shared" si="0"/>
        <v>| 46 | Cultivated agricultural lands | Small grain | Contoured &amp; terraced (C &amp; T) + Crop residue cover (CR) |Good |Factors encourage average and better than average infiltration and tend to decrease runoff. |58 |69 |77 |80 |</v>
      </c>
      <c r="U50" s="5" t="str">
        <f t="shared" si="5"/>
        <v>| 46 | Cultivated agricultural lands | Small grain | Contoured &amp; terraced (C &amp; T) + Crop residue cover (CR) |Good |Factors encourage average and better than average infiltration and tend to decrease runoff. |58 |69 |77 |80 | | | |</v>
      </c>
    </row>
    <row r="51" spans="2:21" ht="92.25" x14ac:dyDescent="0.55000000000000004">
      <c r="B51" s="4">
        <v>47</v>
      </c>
      <c r="C51" s="4" t="s">
        <v>49</v>
      </c>
      <c r="D51" s="4" t="s">
        <v>65</v>
      </c>
      <c r="E51" s="4" t="s">
        <v>58</v>
      </c>
      <c r="F51" s="4" t="s">
        <v>53</v>
      </c>
      <c r="G51" s="4" t="s">
        <v>54</v>
      </c>
      <c r="H51" s="4">
        <v>66</v>
      </c>
      <c r="I51" s="4">
        <v>77</v>
      </c>
      <c r="J51" s="4">
        <v>85</v>
      </c>
      <c r="K51" s="4">
        <v>89</v>
      </c>
      <c r="L51" s="4"/>
      <c r="M51" s="4"/>
      <c r="N51" s="4"/>
      <c r="O51" s="4"/>
      <c r="P51" s="5" t="str">
        <f t="shared" si="6"/>
        <v>| 47 | Cultivated agricultural lands |</v>
      </c>
      <c r="Q51" s="5" t="str">
        <f t="shared" si="7"/>
        <v>| 47 | Cultivated agricultural lands | Close-seeded or broadcast legumes or rotation meadow |</v>
      </c>
      <c r="R51" s="5" t="str">
        <f t="shared" si="3"/>
        <v>| 47 | Cultivated agricultural lands | Close-seeded or broadcast legumes or rotation meadow | Straight row (SR) |</v>
      </c>
      <c r="S51" s="5" t="str">
        <f t="shared" si="4"/>
        <v>| 47 | Cultivated agricultural lands | Close-seeded or broadcast legumes or rotation meadow | Straight row (SR) |Poor |</v>
      </c>
      <c r="T51" s="5" t="str">
        <f t="shared" si="0"/>
        <v>| 47 | Cultivated agricultural lands | Close-seeded or broadcast legumes or rotation meadow | Straight row (SR) |Poor |Factors impair infiltration and tend to increase runoff. |66 |77 |85 |89 |</v>
      </c>
      <c r="U51" s="5" t="str">
        <f t="shared" si="5"/>
        <v>| 47 | Cultivated agricultural lands | Close-seeded or broadcast legumes or rotation meadow | Straight row (SR) |Poor |Factors impair infiltration and tend to increase runoff. |66 |77 |85 |89 | | | |</v>
      </c>
    </row>
    <row r="52" spans="2:21" ht="92.25" x14ac:dyDescent="0.55000000000000004">
      <c r="B52" s="4">
        <v>48</v>
      </c>
      <c r="C52" s="4" t="s">
        <v>49</v>
      </c>
      <c r="D52" s="4" t="s">
        <v>65</v>
      </c>
      <c r="E52" s="4" t="s">
        <v>58</v>
      </c>
      <c r="F52" s="4" t="s">
        <v>55</v>
      </c>
      <c r="G52" s="4" t="s">
        <v>56</v>
      </c>
      <c r="H52" s="4">
        <v>58</v>
      </c>
      <c r="I52" s="4">
        <v>72</v>
      </c>
      <c r="J52" s="4">
        <v>81</v>
      </c>
      <c r="K52" s="4">
        <v>85</v>
      </c>
      <c r="L52" s="4"/>
      <c r="M52" s="4"/>
      <c r="N52" s="4"/>
      <c r="O52" s="4"/>
      <c r="P52" s="5" t="str">
        <f t="shared" si="6"/>
        <v>| 48 | Cultivated agricultural lands |</v>
      </c>
      <c r="Q52" s="5" t="str">
        <f t="shared" si="7"/>
        <v>| 48 | Cultivated agricultural lands | Close-seeded or broadcast legumes or rotation meadow |</v>
      </c>
      <c r="R52" s="5" t="str">
        <f t="shared" si="3"/>
        <v>| 48 | Cultivated agricultural lands | Close-seeded or broadcast legumes or rotation meadow | Straight row (SR) |</v>
      </c>
      <c r="S52" s="5" t="str">
        <f t="shared" si="4"/>
        <v>| 48 | Cultivated agricultural lands | Close-seeded or broadcast legumes or rotation meadow | Straight row (SR) |Good |</v>
      </c>
      <c r="T52" s="5" t="str">
        <f t="shared" si="0"/>
        <v>| 48 | Cultivated agricultural lands | Close-seeded or broadcast legumes or rotation meadow | Straight row (SR) |Good |Factors encourage average and better than average infiltration and tend to decrease runoff. |58 |72 |81 |85 |</v>
      </c>
      <c r="U52" s="5" t="str">
        <f t="shared" si="5"/>
        <v>| 48 | Cultivated agricultural lands | Close-seeded or broadcast legumes or rotation meadow | Straight row (SR) |Good |Factors encourage average and better than average infiltration and tend to decrease runoff. |58 |72 |81 |85 | | | |</v>
      </c>
    </row>
    <row r="53" spans="2:21" ht="92.25" x14ac:dyDescent="0.55000000000000004">
      <c r="B53" s="4">
        <v>49</v>
      </c>
      <c r="C53" s="4" t="s">
        <v>49</v>
      </c>
      <c r="D53" s="4" t="s">
        <v>65</v>
      </c>
      <c r="E53" s="4" t="s">
        <v>60</v>
      </c>
      <c r="F53" s="4" t="s">
        <v>53</v>
      </c>
      <c r="G53" s="4" t="s">
        <v>54</v>
      </c>
      <c r="H53" s="4">
        <v>64</v>
      </c>
      <c r="I53" s="4">
        <v>75</v>
      </c>
      <c r="J53" s="4">
        <v>83</v>
      </c>
      <c r="K53" s="4">
        <v>85</v>
      </c>
      <c r="L53" s="4"/>
      <c r="M53" s="4"/>
      <c r="N53" s="4"/>
      <c r="O53" s="4"/>
      <c r="P53" s="5" t="str">
        <f t="shared" si="6"/>
        <v>| 49 | Cultivated agricultural lands |</v>
      </c>
      <c r="Q53" s="5" t="str">
        <f t="shared" si="7"/>
        <v>| 49 | Cultivated agricultural lands | Close-seeded or broadcast legumes or rotation meadow |</v>
      </c>
      <c r="R53" s="5" t="str">
        <f t="shared" si="3"/>
        <v>| 49 | Cultivated agricultural lands | Close-seeded or broadcast legumes or rotation meadow | Contoured (C) |</v>
      </c>
      <c r="S53" s="5" t="str">
        <f t="shared" si="4"/>
        <v>| 49 | Cultivated agricultural lands | Close-seeded or broadcast legumes or rotation meadow | Contoured (C) |Poor |</v>
      </c>
      <c r="T53" s="5" t="str">
        <f t="shared" si="0"/>
        <v>| 49 | Cultivated agricultural lands | Close-seeded or broadcast legumes or rotation meadow | Contoured (C) |Poor |Factors impair infiltration and tend to increase runoff. |64 |75 |83 |85 |</v>
      </c>
      <c r="U53" s="5" t="str">
        <f t="shared" si="5"/>
        <v>| 49 | Cultivated agricultural lands | Close-seeded or broadcast legumes or rotation meadow | Contoured (C) |Poor |Factors impair infiltration and tend to increase runoff. |64 |75 |83 |85 | | | |</v>
      </c>
    </row>
    <row r="54" spans="2:21" ht="92.25" x14ac:dyDescent="0.55000000000000004">
      <c r="B54" s="4">
        <v>50</v>
      </c>
      <c r="C54" s="4" t="s">
        <v>49</v>
      </c>
      <c r="D54" s="4" t="s">
        <v>65</v>
      </c>
      <c r="E54" s="4" t="s">
        <v>60</v>
      </c>
      <c r="F54" s="4" t="s">
        <v>55</v>
      </c>
      <c r="G54" s="4" t="s">
        <v>56</v>
      </c>
      <c r="H54" s="4">
        <v>55</v>
      </c>
      <c r="I54" s="4">
        <v>69</v>
      </c>
      <c r="J54" s="4">
        <v>78</v>
      </c>
      <c r="K54" s="4">
        <v>83</v>
      </c>
      <c r="L54" s="4"/>
      <c r="M54" s="4"/>
      <c r="N54" s="4"/>
      <c r="O54" s="4"/>
      <c r="P54" s="5" t="str">
        <f t="shared" si="6"/>
        <v>| 50 | Cultivated agricultural lands |</v>
      </c>
      <c r="Q54" s="5" t="str">
        <f t="shared" si="7"/>
        <v>| 50 | Cultivated agricultural lands | Close-seeded or broadcast legumes or rotation meadow |</v>
      </c>
      <c r="R54" s="5" t="str">
        <f t="shared" si="3"/>
        <v>| 50 | Cultivated agricultural lands | Close-seeded or broadcast legumes or rotation meadow | Contoured (C) |</v>
      </c>
      <c r="S54" s="5" t="str">
        <f t="shared" si="4"/>
        <v>| 50 | Cultivated agricultural lands | Close-seeded or broadcast legumes or rotation meadow | Contoured (C) |Good |</v>
      </c>
      <c r="T54" s="5" t="str">
        <f t="shared" si="0"/>
        <v>| 50 | Cultivated agricultural lands | Close-seeded or broadcast legumes or rotation meadow | Contoured (C) |Good |Factors encourage average and better than average infiltration and tend to decrease runoff. |55 |69 |78 |83 |</v>
      </c>
      <c r="U54" s="5" t="str">
        <f t="shared" si="5"/>
        <v>| 50 | Cultivated agricultural lands | Close-seeded or broadcast legumes or rotation meadow | Contoured (C) |Good |Factors encourage average and better than average infiltration and tend to decrease runoff. |55 |69 |78 |83 | | | |</v>
      </c>
    </row>
    <row r="55" spans="2:21" ht="92.25" x14ac:dyDescent="0.55000000000000004">
      <c r="B55" s="4">
        <v>51</v>
      </c>
      <c r="C55" s="4" t="s">
        <v>49</v>
      </c>
      <c r="D55" s="4" t="s">
        <v>65</v>
      </c>
      <c r="E55" s="4" t="s">
        <v>62</v>
      </c>
      <c r="F55" s="4" t="s">
        <v>53</v>
      </c>
      <c r="G55" s="4" t="s">
        <v>54</v>
      </c>
      <c r="H55" s="4">
        <v>63</v>
      </c>
      <c r="I55" s="4">
        <v>73</v>
      </c>
      <c r="J55" s="4">
        <v>80</v>
      </c>
      <c r="K55" s="4">
        <v>83</v>
      </c>
      <c r="L55" s="4"/>
      <c r="M55" s="4"/>
      <c r="N55" s="4"/>
      <c r="O55" s="4"/>
      <c r="P55" s="5" t="str">
        <f t="shared" si="6"/>
        <v>| 51 | Cultivated agricultural lands |</v>
      </c>
      <c r="Q55" s="5" t="str">
        <f t="shared" si="7"/>
        <v>| 51 | Cultivated agricultural lands | Close-seeded or broadcast legumes or rotation meadow |</v>
      </c>
      <c r="R55" s="5" t="str">
        <f t="shared" si="3"/>
        <v>| 51 | Cultivated agricultural lands | Close-seeded or broadcast legumes or rotation meadow | Contoured &amp; terraced (C &amp; T) |</v>
      </c>
      <c r="S55" s="5" t="str">
        <f t="shared" si="4"/>
        <v>| 51 | Cultivated agricultural lands | Close-seeded or broadcast legumes or rotation meadow | Contoured &amp; terraced (C &amp; T) |Poor |</v>
      </c>
      <c r="T55" s="5" t="str">
        <f t="shared" si="0"/>
        <v>| 51 | Cultivated agricultural lands | Close-seeded or broadcast legumes or rotation meadow | Contoured &amp; terraced (C &amp; T) |Poor |Factors impair infiltration and tend to increase runoff. |63 |73 |80 |83 |</v>
      </c>
      <c r="U55" s="5" t="str">
        <f t="shared" si="5"/>
        <v>| 51 | Cultivated agricultural lands | Close-seeded or broadcast legumes or rotation meadow | Contoured &amp; terraced (C &amp; T) |Poor |Factors impair infiltration and tend to increase runoff. |63 |73 |80 |83 | | | |</v>
      </c>
    </row>
    <row r="56" spans="2:21" ht="92.25" x14ac:dyDescent="0.55000000000000004">
      <c r="B56" s="4">
        <v>52</v>
      </c>
      <c r="C56" s="4" t="s">
        <v>49</v>
      </c>
      <c r="D56" s="4" t="s">
        <v>65</v>
      </c>
      <c r="E56" s="4" t="s">
        <v>62</v>
      </c>
      <c r="F56" s="4" t="s">
        <v>55</v>
      </c>
      <c r="G56" s="4" t="s">
        <v>56</v>
      </c>
      <c r="H56" s="4">
        <v>51</v>
      </c>
      <c r="I56" s="4">
        <v>67</v>
      </c>
      <c r="J56" s="4">
        <v>76</v>
      </c>
      <c r="K56" s="4">
        <v>80</v>
      </c>
      <c r="L56" s="4"/>
      <c r="M56" s="4"/>
      <c r="N56" s="4"/>
      <c r="O56" s="4"/>
      <c r="P56" s="5" t="str">
        <f t="shared" si="6"/>
        <v>| 52 | Cultivated agricultural lands |</v>
      </c>
      <c r="Q56" s="5" t="str">
        <f t="shared" si="7"/>
        <v>| 52 | Cultivated agricultural lands | Close-seeded or broadcast legumes or rotation meadow |</v>
      </c>
      <c r="R56" s="5" t="str">
        <f t="shared" si="3"/>
        <v>| 52 | Cultivated agricultural lands | Close-seeded or broadcast legumes or rotation meadow | Contoured &amp; terraced (C &amp; T) |</v>
      </c>
      <c r="S56" s="5" t="str">
        <f t="shared" si="4"/>
        <v>| 52 | Cultivated agricultural lands | Close-seeded or broadcast legumes or rotation meadow | Contoured &amp; terraced (C &amp; T) |Good |</v>
      </c>
      <c r="T56" s="5" t="str">
        <f t="shared" si="0"/>
        <v>| 52 | Cultivated agricultural lands | Close-seeded or broadcast legumes or rotation meadow | Contoured &amp; terraced (C &amp; T) |Good |Factors encourage average and better than average infiltration and tend to decrease runoff. |51 |67 |76 |80 |</v>
      </c>
      <c r="U56" s="5" t="str">
        <f t="shared" si="5"/>
        <v>| 52 | Cultivated agricultural lands | Close-seeded or broadcast legumes or rotation meadow | Contoured &amp; terraced (C &amp; T) |Good |Factors encourage average and better than average infiltration and tend to decrease runoff. |51 |67 |76 |80 | | | |</v>
      </c>
    </row>
    <row r="57" spans="2:21" ht="92.25" x14ac:dyDescent="0.55000000000000004">
      <c r="B57" s="4">
        <v>53</v>
      </c>
      <c r="C57" s="4" t="s">
        <v>66</v>
      </c>
      <c r="D57" s="4" t="s">
        <v>67</v>
      </c>
      <c r="E57" s="4"/>
      <c r="F57" s="4" t="s">
        <v>53</v>
      </c>
      <c r="G57" s="4"/>
      <c r="H57" s="4">
        <v>68</v>
      </c>
      <c r="I57" s="4">
        <v>79</v>
      </c>
      <c r="J57" s="4">
        <v>86</v>
      </c>
      <c r="K57" s="4">
        <v>89</v>
      </c>
      <c r="L57" s="4"/>
      <c r="M57" s="4"/>
      <c r="N57" s="4"/>
      <c r="O57" s="4"/>
      <c r="P57" s="5" t="str">
        <f t="shared" si="6"/>
        <v>| 53 | Other agricultural lands |</v>
      </c>
      <c r="Q57" s="5" t="str">
        <f t="shared" si="7"/>
        <v>| 53 | Other agricultural lands | Pasture, grassland, or range – continuous forage for graving |</v>
      </c>
      <c r="R57" s="5" t="str">
        <f t="shared" si="3"/>
        <v>| 53 | Other agricultural lands | Pasture, grassland, or range – continuous forage for graving |  |</v>
      </c>
      <c r="S57" s="5" t="str">
        <f t="shared" si="4"/>
        <v>| 53 | Other agricultural lands | Pasture, grassland, or range – continuous forage for graving |  |Poor |</v>
      </c>
      <c r="T57" s="5" t="str">
        <f t="shared" si="0"/>
        <v>| 53 | Other agricultural lands | Pasture, grassland, or range – continuous forage for graving |  |Poor | |68 |79 |86 |89 |</v>
      </c>
      <c r="U57" s="5" t="str">
        <f t="shared" si="5"/>
        <v>| 53 | Other agricultural lands | Pasture, grassland, or range – continuous forage for graving |  |Poor | |68 |79 |86 |89 | | | |</v>
      </c>
    </row>
    <row r="58" spans="2:21" ht="92.25" x14ac:dyDescent="0.55000000000000004">
      <c r="B58" s="4">
        <v>54</v>
      </c>
      <c r="C58" s="4" t="s">
        <v>66</v>
      </c>
      <c r="D58" s="4" t="s">
        <v>67</v>
      </c>
      <c r="E58" s="4"/>
      <c r="F58" s="4" t="s">
        <v>68</v>
      </c>
      <c r="G58" s="4" t="s">
        <v>69</v>
      </c>
      <c r="H58" s="4">
        <v>49</v>
      </c>
      <c r="I58" s="4">
        <v>69</v>
      </c>
      <c r="J58" s="4">
        <v>79</v>
      </c>
      <c r="K58" s="4">
        <v>84</v>
      </c>
      <c r="L58" s="4"/>
      <c r="M58" s="4"/>
      <c r="N58" s="4"/>
      <c r="O58" s="4"/>
      <c r="P58" s="5" t="str">
        <f t="shared" si="6"/>
        <v>| 54 | Other agricultural lands |</v>
      </c>
      <c r="Q58" s="5" t="str">
        <f t="shared" si="7"/>
        <v>| 54 | Other agricultural lands | Pasture, grassland, or range – continuous forage for graving |</v>
      </c>
      <c r="R58" s="5" t="str">
        <f t="shared" si="3"/>
        <v>| 54 | Other agricultural lands | Pasture, grassland, or range – continuous forage for graving |  |</v>
      </c>
      <c r="S58" s="5" t="str">
        <f t="shared" si="4"/>
        <v>| 54 | Other agricultural lands | Pasture, grassland, or range – continuous forage for graving |  |Fair |</v>
      </c>
      <c r="T58" s="5" t="str">
        <f t="shared" si="0"/>
        <v>| 54 | Other agricultural lands | Pasture, grassland, or range – continuous forage for graving |  |Fair |50 to 75% ground cover and not heavily grazed. |49 |69 |79 |84 |</v>
      </c>
      <c r="U58" s="5" t="str">
        <f t="shared" si="5"/>
        <v>| 54 | Other agricultural lands | Pasture, grassland, or range – continuous forage for graving |  |Fair |50 to 75% ground cover and not heavily grazed. |49 |69 |79 |84 | | | |</v>
      </c>
    </row>
    <row r="59" spans="2:21" ht="92.25" x14ac:dyDescent="0.55000000000000004">
      <c r="B59" s="4">
        <v>55</v>
      </c>
      <c r="C59" s="4" t="s">
        <v>66</v>
      </c>
      <c r="D59" s="4" t="s">
        <v>67</v>
      </c>
      <c r="E59" s="4"/>
      <c r="F59" s="4" t="s">
        <v>55</v>
      </c>
      <c r="G59" s="4" t="s">
        <v>70</v>
      </c>
      <c r="H59" s="4">
        <v>39</v>
      </c>
      <c r="I59" s="4">
        <v>61</v>
      </c>
      <c r="J59" s="4">
        <v>74</v>
      </c>
      <c r="K59" s="4">
        <v>80</v>
      </c>
      <c r="L59" s="4"/>
      <c r="M59" s="4"/>
      <c r="N59" s="4"/>
      <c r="O59" s="4"/>
      <c r="P59" s="5" t="str">
        <f t="shared" si="6"/>
        <v>| 55 | Other agricultural lands |</v>
      </c>
      <c r="Q59" s="5" t="str">
        <f t="shared" si="7"/>
        <v>| 55 | Other agricultural lands | Pasture, grassland, or range – continuous forage for graving |</v>
      </c>
      <c r="R59" s="5" t="str">
        <f t="shared" si="3"/>
        <v>| 55 | Other agricultural lands | Pasture, grassland, or range – continuous forage for graving |  |</v>
      </c>
      <c r="S59" s="5" t="str">
        <f t="shared" si="4"/>
        <v>| 55 | Other agricultural lands | Pasture, grassland, or range – continuous forage for graving |  |Good |</v>
      </c>
      <c r="T59" s="5" t="str">
        <f t="shared" si="0"/>
        <v>| 55 | Other agricultural lands | Pasture, grassland, or range – continuous forage for graving |  |Good |&gt;75% ground cover and lightly or only occasionally grazed. |39 |61 |74 |80 |</v>
      </c>
      <c r="U59" s="5" t="str">
        <f t="shared" si="5"/>
        <v>| 55 | Other agricultural lands | Pasture, grassland, or range – continuous forage for graving |  |Good |&gt;75% ground cover and lightly or only occasionally grazed. |39 |61 |74 |80 | | | |</v>
      </c>
    </row>
    <row r="60" spans="2:21" ht="92.25" x14ac:dyDescent="0.55000000000000004">
      <c r="B60" s="4">
        <v>56</v>
      </c>
      <c r="C60" s="4" t="s">
        <v>66</v>
      </c>
      <c r="D60" s="4" t="s">
        <v>71</v>
      </c>
      <c r="E60" s="4"/>
      <c r="F60" s="4" t="s">
        <v>20</v>
      </c>
      <c r="G60" s="4"/>
      <c r="H60" s="4">
        <v>30</v>
      </c>
      <c r="I60" s="4">
        <v>58</v>
      </c>
      <c r="J60" s="4">
        <v>71</v>
      </c>
      <c r="K60" s="4">
        <v>78</v>
      </c>
      <c r="L60" s="4"/>
      <c r="M60" s="4"/>
      <c r="N60" s="4"/>
      <c r="O60" s="4"/>
      <c r="P60" s="5" t="str">
        <f t="shared" si="6"/>
        <v>| 56 | Other agricultural lands |</v>
      </c>
      <c r="Q60" s="5" t="str">
        <f t="shared" si="7"/>
        <v>| 56 | Other agricultural lands | Meadow – continuous grass, protected from grazing and generally mowed for hay |</v>
      </c>
      <c r="R60" s="5" t="str">
        <f t="shared" si="3"/>
        <v>| 56 | Other agricultural lands | Meadow – continuous grass, protected from grazing and generally mowed for hay |  |</v>
      </c>
      <c r="S60" s="5" t="str">
        <f t="shared" si="4"/>
        <v>| 56 | Other agricultural lands | Meadow – continuous grass, protected from grazing and generally mowed for hay |  |Unique |</v>
      </c>
      <c r="T60" s="5" t="str">
        <f t="shared" si="0"/>
        <v>| 56 | Other agricultural lands | Meadow – continuous grass, protected from grazing and generally mowed for hay |  |Unique | |30 |58 |71 |78 |</v>
      </c>
      <c r="U60" s="5" t="str">
        <f t="shared" si="5"/>
        <v>| 56 | Other agricultural lands | Meadow – continuous grass, protected from grazing and generally mowed for hay |  |Unique | |30 |58 |71 |78 | | | |</v>
      </c>
    </row>
    <row r="61" spans="2:21" ht="92.25" x14ac:dyDescent="0.55000000000000004">
      <c r="B61" s="4">
        <v>57</v>
      </c>
      <c r="C61" s="4" t="s">
        <v>66</v>
      </c>
      <c r="D61" s="4" t="s">
        <v>72</v>
      </c>
      <c r="E61" s="4"/>
      <c r="F61" s="4" t="s">
        <v>53</v>
      </c>
      <c r="G61" s="4"/>
      <c r="H61" s="4">
        <v>48</v>
      </c>
      <c r="I61" s="4">
        <v>67</v>
      </c>
      <c r="J61" s="4">
        <v>77</v>
      </c>
      <c r="K61" s="4">
        <v>83</v>
      </c>
      <c r="L61" s="4"/>
      <c r="M61" s="4"/>
      <c r="N61" s="4"/>
      <c r="O61" s="4"/>
      <c r="P61" s="5" t="str">
        <f t="shared" si="6"/>
        <v>| 57 | Other agricultural lands |</v>
      </c>
      <c r="Q61" s="5" t="str">
        <f t="shared" si="7"/>
        <v>| 57 | Other agricultural lands | Brush – brush-weed mixture with brush the major element |</v>
      </c>
      <c r="R61" s="5" t="str">
        <f t="shared" si="3"/>
        <v>| 57 | Other agricultural lands | Brush – brush-weed mixture with brush the major element |  |</v>
      </c>
      <c r="S61" s="5" t="str">
        <f t="shared" si="4"/>
        <v>| 57 | Other agricultural lands | Brush – brush-weed mixture with brush the major element |  |Poor |</v>
      </c>
      <c r="T61" s="5" t="str">
        <f t="shared" si="0"/>
        <v>| 57 | Other agricultural lands | Brush – brush-weed mixture with brush the major element |  |Poor | |48 |67 |77 |83 |</v>
      </c>
      <c r="U61" s="5" t="str">
        <f t="shared" si="5"/>
        <v>| 57 | Other agricultural lands | Brush – brush-weed mixture with brush the major element |  |Poor | |48 |67 |77 |83 | | | |</v>
      </c>
    </row>
    <row r="62" spans="2:21" ht="92.25" x14ac:dyDescent="0.55000000000000004">
      <c r="B62" s="4">
        <v>58</v>
      </c>
      <c r="C62" s="4" t="s">
        <v>66</v>
      </c>
      <c r="D62" s="4" t="s">
        <v>72</v>
      </c>
      <c r="E62" s="4"/>
      <c r="F62" s="4" t="s">
        <v>68</v>
      </c>
      <c r="G62" s="4" t="s">
        <v>73</v>
      </c>
      <c r="H62" s="4">
        <v>35</v>
      </c>
      <c r="I62" s="4">
        <v>56</v>
      </c>
      <c r="J62" s="4">
        <v>70</v>
      </c>
      <c r="K62" s="4">
        <v>77</v>
      </c>
      <c r="L62" s="4"/>
      <c r="M62" s="4"/>
      <c r="N62" s="4"/>
      <c r="O62" s="4"/>
      <c r="P62" s="5" t="str">
        <f t="shared" si="6"/>
        <v>| 58 | Other agricultural lands |</v>
      </c>
      <c r="Q62" s="5" t="str">
        <f t="shared" si="7"/>
        <v>| 58 | Other agricultural lands | Brush – brush-weed mixture with brush the major element |</v>
      </c>
      <c r="R62" s="5" t="str">
        <f t="shared" si="3"/>
        <v>| 58 | Other agricultural lands | Brush – brush-weed mixture with brush the major element |  |</v>
      </c>
      <c r="S62" s="5" t="str">
        <f t="shared" si="4"/>
        <v>| 58 | Other agricultural lands | Brush – brush-weed mixture with brush the major element |  |Fair |</v>
      </c>
      <c r="T62" s="5" t="str">
        <f t="shared" si="0"/>
        <v>| 58 | Other agricultural lands | Brush – brush-weed mixture with brush the major element |  |Fair |50 to 75% ground cover. |35 |56 |70 |77 |</v>
      </c>
      <c r="U62" s="5" t="str">
        <f t="shared" si="5"/>
        <v>| 58 | Other agricultural lands | Brush – brush-weed mixture with brush the major element |  |Fair |50 to 75% ground cover. |35 |56 |70 |77 | | | |</v>
      </c>
    </row>
    <row r="63" spans="2:21" ht="92.25" x14ac:dyDescent="0.55000000000000004">
      <c r="B63" s="4">
        <v>59</v>
      </c>
      <c r="C63" s="4" t="s">
        <v>66</v>
      </c>
      <c r="D63" s="4" t="s">
        <v>72</v>
      </c>
      <c r="E63" s="4"/>
      <c r="F63" s="4" t="s">
        <v>55</v>
      </c>
      <c r="G63" s="4" t="s">
        <v>74</v>
      </c>
      <c r="H63" s="4"/>
      <c r="I63" s="4">
        <v>48</v>
      </c>
      <c r="J63" s="4">
        <v>65</v>
      </c>
      <c r="K63" s="4">
        <v>73</v>
      </c>
      <c r="L63" s="4"/>
      <c r="M63" s="4"/>
      <c r="N63" s="4"/>
      <c r="O63" s="4"/>
      <c r="P63" s="5" t="str">
        <f t="shared" si="6"/>
        <v>| 59 | Other agricultural lands |</v>
      </c>
      <c r="Q63" s="5" t="str">
        <f t="shared" si="7"/>
        <v>| 59 | Other agricultural lands | Brush – brush-weed mixture with brush the major element |</v>
      </c>
      <c r="R63" s="5" t="str">
        <f t="shared" si="3"/>
        <v>| 59 | Other agricultural lands | Brush – brush-weed mixture with brush the major element |  |</v>
      </c>
      <c r="S63" s="5" t="str">
        <f t="shared" si="4"/>
        <v>| 59 | Other agricultural lands | Brush – brush-weed mixture with brush the major element |  |Good |</v>
      </c>
      <c r="T63" s="5" t="str">
        <f t="shared" si="0"/>
        <v>| 59 | Other agricultural lands | Brush – brush-weed mixture with brush the major element |  |Good |&gt;75% ground cover. Actual curve number is less than 30; use CN=30 for runoff computations. | |48 |65 |73 |</v>
      </c>
      <c r="U63" s="5" t="str">
        <f t="shared" si="5"/>
        <v>| 59 | Other agricultural lands | Brush – brush-weed mixture with brush the major element |  |Good |&gt;75% ground cover. Actual curve number is less than 30; use CN=30 for runoff computations. | |48 |65 |73 | | | |</v>
      </c>
    </row>
    <row r="64" spans="2:21" ht="92.25" x14ac:dyDescent="0.55000000000000004">
      <c r="B64" s="4">
        <v>60</v>
      </c>
      <c r="C64" s="4" t="s">
        <v>66</v>
      </c>
      <c r="D64" s="4" t="s">
        <v>75</v>
      </c>
      <c r="E64" s="4"/>
      <c r="F64" s="4" t="s">
        <v>53</v>
      </c>
      <c r="G64" s="4" t="s">
        <v>76</v>
      </c>
      <c r="H64" s="4">
        <v>57</v>
      </c>
      <c r="I64" s="4">
        <v>73</v>
      </c>
      <c r="J64" s="4">
        <v>82</v>
      </c>
      <c r="K64" s="4">
        <v>86</v>
      </c>
      <c r="L64" s="4"/>
      <c r="M64" s="4"/>
      <c r="N64" s="4"/>
      <c r="O64" s="4"/>
      <c r="P64" s="5" t="str">
        <f t="shared" si="6"/>
        <v>| 60 | Other agricultural lands |</v>
      </c>
      <c r="Q64" s="5" t="str">
        <f t="shared" si="7"/>
        <v>| 60 | Other agricultural lands | Woods – grass combination (orchard or tree farm) |</v>
      </c>
      <c r="R64" s="5" t="str">
        <f t="shared" si="3"/>
        <v>| 60 | Other agricultural lands | Woods – grass combination (orchard or tree farm) |  |</v>
      </c>
      <c r="S64" s="5" t="str">
        <f t="shared" si="4"/>
        <v>| 60 | Other agricultural lands | Woods – grass combination (orchard or tree farm) |  |Poor |</v>
      </c>
      <c r="T64" s="5" t="str">
        <f t="shared" si="0"/>
        <v>| 60 | Other agricultural lands | Woods – grass combination (orchard or tree farm) |  |Poor |CN's shown were computed for areas with 50% woods and 50% grass (pasture) cover. Other combinations of conditions may be computed from the CN's for woods and pasture. |57 |73 |82 |86 |</v>
      </c>
      <c r="U64" s="5" t="str">
        <f t="shared" si="5"/>
        <v>| 60 | Other agricultural lands | Woods – grass combination (orchard or tree farm) |  |Poor |CN's shown were computed for areas with 50% woods and 50% grass (pasture) cover. Other combinations of conditions may be computed from the CN's for woods and pasture. |57 |73 |82 |86 | | | |</v>
      </c>
    </row>
    <row r="65" spans="2:21" ht="92.25" x14ac:dyDescent="0.55000000000000004">
      <c r="B65" s="4">
        <v>61</v>
      </c>
      <c r="C65" s="4" t="s">
        <v>66</v>
      </c>
      <c r="D65" s="4" t="s">
        <v>75</v>
      </c>
      <c r="E65" s="4"/>
      <c r="F65" s="4" t="s">
        <v>68</v>
      </c>
      <c r="G65" s="4" t="s">
        <v>76</v>
      </c>
      <c r="H65" s="4">
        <v>43</v>
      </c>
      <c r="I65" s="4">
        <v>65</v>
      </c>
      <c r="J65" s="4">
        <v>76</v>
      </c>
      <c r="K65" s="4">
        <v>82</v>
      </c>
      <c r="L65" s="4"/>
      <c r="M65" s="4"/>
      <c r="N65" s="4"/>
      <c r="O65" s="4"/>
      <c r="P65" s="5" t="str">
        <f t="shared" si="6"/>
        <v>| 61 | Other agricultural lands |</v>
      </c>
      <c r="Q65" s="5" t="str">
        <f t="shared" si="7"/>
        <v>| 61 | Other agricultural lands | Woods – grass combination (orchard or tree farm) |</v>
      </c>
      <c r="R65" s="5" t="str">
        <f t="shared" si="3"/>
        <v>| 61 | Other agricultural lands | Woods – grass combination (orchard or tree farm) |  |</v>
      </c>
      <c r="S65" s="5" t="str">
        <f t="shared" si="4"/>
        <v>| 61 | Other agricultural lands | Woods – grass combination (orchard or tree farm) |  |Fair |</v>
      </c>
      <c r="T65" s="5" t="str">
        <f t="shared" si="0"/>
        <v>| 61 | Other agricultural lands | Woods – grass combination (orchard or tree farm) |  |Fair |CN's shown were computed for areas with 50% woods and 50% grass (pasture) cover. Other combinations of conditions may be computed from the CN's for woods and pasture. |43 |65 |76 |82 |</v>
      </c>
      <c r="U65" s="5" t="str">
        <f t="shared" si="5"/>
        <v>| 61 | Other agricultural lands | Woods – grass combination (orchard or tree farm) |  |Fair |CN's shown were computed for areas with 50% woods and 50% grass (pasture) cover. Other combinations of conditions may be computed from the CN's for woods and pasture. |43 |65 |76 |82 | | | |</v>
      </c>
    </row>
    <row r="66" spans="2:21" ht="92.25" x14ac:dyDescent="0.55000000000000004">
      <c r="B66" s="4">
        <v>62</v>
      </c>
      <c r="C66" s="4" t="s">
        <v>66</v>
      </c>
      <c r="D66" s="4" t="s">
        <v>75</v>
      </c>
      <c r="E66" s="4"/>
      <c r="F66" s="4" t="s">
        <v>55</v>
      </c>
      <c r="G66" s="4" t="s">
        <v>76</v>
      </c>
      <c r="H66" s="4">
        <v>32</v>
      </c>
      <c r="I66" s="4">
        <v>58</v>
      </c>
      <c r="J66" s="4">
        <v>72</v>
      </c>
      <c r="K66" s="4">
        <v>79</v>
      </c>
      <c r="L66" s="4"/>
      <c r="M66" s="4"/>
      <c r="N66" s="4"/>
      <c r="O66" s="4"/>
      <c r="P66" s="5" t="str">
        <f t="shared" si="6"/>
        <v>| 62 | Other agricultural lands |</v>
      </c>
      <c r="Q66" s="5" t="str">
        <f t="shared" si="7"/>
        <v>| 62 | Other agricultural lands | Woods – grass combination (orchard or tree farm) |</v>
      </c>
      <c r="R66" s="5" t="str">
        <f t="shared" si="3"/>
        <v>| 62 | Other agricultural lands | Woods – grass combination (orchard or tree farm) |  |</v>
      </c>
      <c r="S66" s="5" t="str">
        <f t="shared" si="4"/>
        <v>| 62 | Other agricultural lands | Woods – grass combination (orchard or tree farm) |  |Good |</v>
      </c>
      <c r="T66" s="5" t="str">
        <f t="shared" si="0"/>
        <v>| 62 | Other agricultural lands | Woods – grass combination (orchard or tree farm) |  |Good |CN's shown were computed for areas with 50% woods and 50% grass (pasture) cover. Other combinations of conditions may be computed from the CN's for woods and pasture. |32 |58 |72 |79 |</v>
      </c>
      <c r="U66" s="5" t="str">
        <f t="shared" si="5"/>
        <v>| 62 | Other agricultural lands | Woods – grass combination (orchard or tree farm) |  |Good |CN's shown were computed for areas with 50% woods and 50% grass (pasture) cover. Other combinations of conditions may be computed from the CN's for woods and pasture. |32 |58 |72 |79 | | | |</v>
      </c>
    </row>
    <row r="67" spans="2:21" ht="92.25" x14ac:dyDescent="0.55000000000000004">
      <c r="B67" s="4">
        <v>63</v>
      </c>
      <c r="C67" s="4" t="s">
        <v>66</v>
      </c>
      <c r="D67" s="4" t="s">
        <v>77</v>
      </c>
      <c r="E67" s="4"/>
      <c r="F67" s="4" t="s">
        <v>53</v>
      </c>
      <c r="G67" s="4" t="s">
        <v>78</v>
      </c>
      <c r="H67" s="4">
        <v>45</v>
      </c>
      <c r="I67" s="4">
        <v>66</v>
      </c>
      <c r="J67" s="4">
        <v>77</v>
      </c>
      <c r="K67" s="4">
        <v>83</v>
      </c>
      <c r="L67" s="4"/>
      <c r="M67" s="4"/>
      <c r="N67" s="4"/>
      <c r="O67" s="4"/>
      <c r="P67" s="5" t="str">
        <f t="shared" si="6"/>
        <v>| 63 | Other agricultural lands |</v>
      </c>
      <c r="Q67" s="5" t="str">
        <f t="shared" si="7"/>
        <v>| 63 | Other agricultural lands | Woods |</v>
      </c>
      <c r="R67" s="5" t="str">
        <f t="shared" si="3"/>
        <v>| 63 | Other agricultural lands | Woods |  |</v>
      </c>
      <c r="S67" s="5" t="str">
        <f t="shared" si="4"/>
        <v>| 63 | Other agricultural lands | Woods |  |Poor |</v>
      </c>
      <c r="T67" s="5" t="str">
        <f t="shared" si="0"/>
        <v>| 63 | Other agricultural lands | Woods |  |Poor |Forest litter, small trees, and brush are destroyed by heavy grazing or regular burning. |45 |66 |77 |83 |</v>
      </c>
      <c r="U67" s="5" t="str">
        <f t="shared" si="5"/>
        <v>| 63 | Other agricultural lands | Woods |  |Poor |Forest litter, small trees, and brush are destroyed by heavy grazing or regular burning. |45 |66 |77 |83 | | | |</v>
      </c>
    </row>
    <row r="68" spans="2:21" ht="92.25" x14ac:dyDescent="0.55000000000000004">
      <c r="B68" s="4">
        <v>64</v>
      </c>
      <c r="C68" s="4" t="s">
        <v>66</v>
      </c>
      <c r="D68" s="4" t="s">
        <v>77</v>
      </c>
      <c r="E68" s="4"/>
      <c r="F68" s="4" t="s">
        <v>68</v>
      </c>
      <c r="G68" s="4" t="s">
        <v>79</v>
      </c>
      <c r="H68" s="4">
        <v>36</v>
      </c>
      <c r="I68" s="4">
        <v>60</v>
      </c>
      <c r="J68" s="4">
        <v>73</v>
      </c>
      <c r="K68" s="4">
        <v>79</v>
      </c>
      <c r="L68" s="4"/>
      <c r="M68" s="4"/>
      <c r="N68" s="4"/>
      <c r="O68" s="4"/>
      <c r="P68" s="5" t="str">
        <f t="shared" si="6"/>
        <v>| 64 | Other agricultural lands |</v>
      </c>
      <c r="Q68" s="5" t="str">
        <f t="shared" si="7"/>
        <v>| 64 | Other agricultural lands | Woods |</v>
      </c>
      <c r="R68" s="5" t="str">
        <f t="shared" ref="R68:R103" si="8">_xlfn.CONCAT("| ",B68," | ",C68," | ",D68," | ",E68," |")</f>
        <v>| 64 | Other agricultural lands | Woods |  |</v>
      </c>
      <c r="S68" s="5" t="str">
        <f t="shared" si="4"/>
        <v>| 64 | Other agricultural lands | Woods |  |Fair |</v>
      </c>
      <c r="T68" s="5" t="str">
        <f t="shared" ref="T68:T103" si="9">_xlfn.CONCAT("| ",B68," | ",C68," | ",D68," | ",E68," |",F68," |",G68," |",H68," |",I68," |",J68," |",K68," |")</f>
        <v>| 64 | Other agricultural lands | Woods |  |Fair |Woods are grazed but not burned, and some forest litter covers the soil. |36 |60 |73 |79 |</v>
      </c>
      <c r="U68" s="5" t="str">
        <f t="shared" si="5"/>
        <v>| 64 | Other agricultural lands | Woods |  |Fair |Woods are grazed but not burned, and some forest litter covers the soil. |36 |60 |73 |79 | | | |</v>
      </c>
    </row>
    <row r="69" spans="2:21" ht="92.25" x14ac:dyDescent="0.55000000000000004">
      <c r="B69" s="4">
        <v>65</v>
      </c>
      <c r="C69" s="4" t="s">
        <v>66</v>
      </c>
      <c r="D69" s="4" t="s">
        <v>77</v>
      </c>
      <c r="E69" s="4"/>
      <c r="F69" s="4" t="s">
        <v>55</v>
      </c>
      <c r="G69" s="4" t="s">
        <v>80</v>
      </c>
      <c r="H69" s="4"/>
      <c r="I69" s="4">
        <v>55</v>
      </c>
      <c r="J69" s="4">
        <v>70</v>
      </c>
      <c r="K69" s="4">
        <v>77</v>
      </c>
      <c r="L69" s="4"/>
      <c r="M69" s="4"/>
      <c r="N69" s="4"/>
      <c r="O69" s="4"/>
      <c r="P69" s="5" t="str">
        <f t="shared" si="6"/>
        <v>| 65 | Other agricultural lands |</v>
      </c>
      <c r="Q69" s="5" t="str">
        <f t="shared" si="7"/>
        <v>| 65 | Other agricultural lands | Woods |</v>
      </c>
      <c r="R69" s="5" t="str">
        <f t="shared" si="8"/>
        <v>| 65 | Other agricultural lands | Woods |  |</v>
      </c>
      <c r="S69" s="5" t="str">
        <f t="shared" si="4"/>
        <v>| 65 | Other agricultural lands | Woods |  |Good |</v>
      </c>
      <c r="T69" s="5" t="str">
        <f t="shared" si="9"/>
        <v>| 65 | Other agricultural lands | Woods |  |Good |Woods are protected from grazing, and litter and brush adequately cover the soil. Actual curve number is less than 30; use CN=30 for runoff computations. | |55 |70 |77 |</v>
      </c>
      <c r="U69" s="5" t="str">
        <f t="shared" si="5"/>
        <v>| 65 | Other agricultural lands | Woods |  |Good |Woods are protected from grazing, and litter and brush adequately cover the soil. Actual curve number is less than 30; use CN=30 for runoff computations. | |55 |70 |77 | | | |</v>
      </c>
    </row>
    <row r="70" spans="2:21" ht="92.25" x14ac:dyDescent="0.55000000000000004">
      <c r="B70" s="4">
        <v>66</v>
      </c>
      <c r="C70" s="4" t="s">
        <v>66</v>
      </c>
      <c r="D70" s="4" t="s">
        <v>81</v>
      </c>
      <c r="E70" s="4"/>
      <c r="F70" s="4" t="s">
        <v>20</v>
      </c>
      <c r="G70" s="4"/>
      <c r="H70" s="4">
        <v>59</v>
      </c>
      <c r="I70" s="4">
        <v>74</v>
      </c>
      <c r="J70" s="4">
        <v>82</v>
      </c>
      <c r="K70" s="4">
        <v>86</v>
      </c>
      <c r="L70" s="4"/>
      <c r="M70" s="4"/>
      <c r="N70" s="4"/>
      <c r="O70" s="4"/>
      <c r="P70" s="5" t="str">
        <f t="shared" si="6"/>
        <v>| 66 | Other agricultural lands |</v>
      </c>
      <c r="Q70" s="5" t="str">
        <f t="shared" si="7"/>
        <v>| 66 | Other agricultural lands | Farmsteads – buildings, lanes, driveways, surrounding lots |</v>
      </c>
      <c r="R70" s="5" t="str">
        <f t="shared" si="8"/>
        <v>| 66 | Other agricultural lands | Farmsteads – buildings, lanes, driveways, surrounding lots |  |</v>
      </c>
      <c r="S70" s="5" t="str">
        <f t="shared" ref="S70:S103" si="10">_xlfn.CONCAT("| ",B70," | ",C70," | ",D70," | ",E70," |",F70," |")</f>
        <v>| 66 | Other agricultural lands | Farmsteads – buildings, lanes, driveways, surrounding lots |  |Unique |</v>
      </c>
      <c r="T70" s="5" t="str">
        <f t="shared" si="9"/>
        <v>| 66 | Other agricultural lands | Farmsteads – buildings, lanes, driveways, surrounding lots |  |Unique | |59 |74 |82 |86 |</v>
      </c>
      <c r="U70" s="5" t="str">
        <f t="shared" ref="T70:U103" si="11">_xlfn.CONCAT("| ",B70," | ",C70," | ",D70," | ",E70," |",F70," |",G70," |",H70," |",I70," |",J70," |",K70," |",L70," |",M70," |",N70," |")</f>
        <v>| 66 | Other agricultural lands | Farmsteads – buildings, lanes, driveways, surrounding lots |  |Unique | |59 |74 |82 |86 | | | |</v>
      </c>
    </row>
    <row r="71" spans="2:21" ht="92.25" x14ac:dyDescent="0.55000000000000004">
      <c r="B71" s="4">
        <v>67</v>
      </c>
      <c r="C71" s="4" t="s">
        <v>82</v>
      </c>
      <c r="D71" s="4" t="s">
        <v>83</v>
      </c>
      <c r="E71" s="4"/>
      <c r="F71" s="4" t="s">
        <v>53</v>
      </c>
      <c r="G71" s="4"/>
      <c r="H71" s="4"/>
      <c r="I71" s="4">
        <v>80</v>
      </c>
      <c r="J71" s="4">
        <v>87</v>
      </c>
      <c r="K71" s="4">
        <v>93</v>
      </c>
      <c r="L71" s="4"/>
      <c r="M71" s="4"/>
      <c r="N71" s="4"/>
      <c r="O71" s="4"/>
      <c r="P71" s="5" t="str">
        <f t="shared" si="6"/>
        <v>| 67 | Arid and semiarid rangelands |</v>
      </c>
      <c r="Q71" s="5" t="str">
        <f t="shared" si="7"/>
        <v>| 67 | Arid and semiarid rangelands | Herbaceous – mixture of grass, weeds, and low-growing brush, with brush the minor element |</v>
      </c>
      <c r="R71" s="5" t="str">
        <f t="shared" si="8"/>
        <v>| 67 | Arid and semiarid rangelands | Herbaceous – mixture of grass, weeds, and low-growing brush, with brush the minor element |  |</v>
      </c>
      <c r="S71" s="5" t="str">
        <f t="shared" si="10"/>
        <v>| 67 | Arid and semiarid rangelands | Herbaceous – mixture of grass, weeds, and low-growing brush, with brush the minor element |  |Poor |</v>
      </c>
      <c r="T71" s="5" t="str">
        <f t="shared" si="9"/>
        <v>| 67 | Arid and semiarid rangelands | Herbaceous – mixture of grass, weeds, and low-growing brush, with brush the minor element |  |Poor | | |80 |87 |93 |</v>
      </c>
      <c r="U71" s="5" t="str">
        <f t="shared" si="11"/>
        <v>| 67 | Arid and semiarid rangelands | Herbaceous – mixture of grass, weeds, and low-growing brush, with brush the minor element |  |Poor | | |80 |87 |93 | | | |</v>
      </c>
    </row>
    <row r="72" spans="2:21" ht="92.25" x14ac:dyDescent="0.55000000000000004">
      <c r="B72" s="4">
        <v>68</v>
      </c>
      <c r="C72" s="4" t="s">
        <v>82</v>
      </c>
      <c r="D72" s="4" t="s">
        <v>83</v>
      </c>
      <c r="E72" s="4"/>
      <c r="F72" s="4" t="s">
        <v>68</v>
      </c>
      <c r="G72" s="4" t="s">
        <v>84</v>
      </c>
      <c r="H72" s="4"/>
      <c r="I72" s="4">
        <v>71</v>
      </c>
      <c r="J72" s="4">
        <v>81</v>
      </c>
      <c r="K72" s="4">
        <v>89</v>
      </c>
      <c r="L72" s="4"/>
      <c r="M72" s="4"/>
      <c r="N72" s="4"/>
      <c r="O72" s="4"/>
      <c r="P72" s="5" t="str">
        <f t="shared" si="6"/>
        <v>| 68 | Arid and semiarid rangelands |</v>
      </c>
      <c r="Q72" s="5" t="str">
        <f t="shared" si="7"/>
        <v>| 68 | Arid and semiarid rangelands | Herbaceous – mixture of grass, weeds, and low-growing brush, with brush the minor element |</v>
      </c>
      <c r="R72" s="5" t="str">
        <f t="shared" si="8"/>
        <v>| 68 | Arid and semiarid rangelands | Herbaceous – mixture of grass, weeds, and low-growing brush, with brush the minor element |  |</v>
      </c>
      <c r="S72" s="5" t="str">
        <f t="shared" si="10"/>
        <v>| 68 | Arid and semiarid rangelands | Herbaceous – mixture of grass, weeds, and low-growing brush, with brush the minor element |  |Fair |</v>
      </c>
      <c r="T72" s="5" t="str">
        <f t="shared" si="9"/>
        <v>| 68 | Arid and semiarid rangelands | Herbaceous – mixture of grass, weeds, and low-growing brush, with brush the minor element |  |Fair |30 to 70% ground cover. Curve numbers for group A have been developed only for desert shrub. | |71 |81 |89 |</v>
      </c>
      <c r="U72" s="5" t="str">
        <f t="shared" si="11"/>
        <v>| 68 | Arid and semiarid rangelands | Herbaceous – mixture of grass, weeds, and low-growing brush, with brush the minor element |  |Fair |30 to 70% ground cover. Curve numbers for group A have been developed only for desert shrub. | |71 |81 |89 | | | |</v>
      </c>
    </row>
    <row r="73" spans="2:21" ht="92.25" x14ac:dyDescent="0.55000000000000004">
      <c r="B73" s="4">
        <v>69</v>
      </c>
      <c r="C73" s="4" t="s">
        <v>82</v>
      </c>
      <c r="D73" s="4" t="s">
        <v>83</v>
      </c>
      <c r="E73" s="4"/>
      <c r="F73" s="4" t="s">
        <v>55</v>
      </c>
      <c r="G73" s="4" t="s">
        <v>85</v>
      </c>
      <c r="H73" s="4"/>
      <c r="I73" s="4">
        <v>62</v>
      </c>
      <c r="J73" s="4">
        <v>74</v>
      </c>
      <c r="K73" s="4">
        <v>85</v>
      </c>
      <c r="L73" s="4"/>
      <c r="M73" s="4"/>
      <c r="N73" s="4"/>
      <c r="O73" s="4"/>
      <c r="P73" s="5" t="str">
        <f t="shared" si="6"/>
        <v>| 69 | Arid and semiarid rangelands |</v>
      </c>
      <c r="Q73" s="5" t="str">
        <f t="shared" si="7"/>
        <v>| 69 | Arid and semiarid rangelands | Herbaceous – mixture of grass, weeds, and low-growing brush, with brush the minor element |</v>
      </c>
      <c r="R73" s="5" t="str">
        <f t="shared" si="8"/>
        <v>| 69 | Arid and semiarid rangelands | Herbaceous – mixture of grass, weeds, and low-growing brush, with brush the minor element |  |</v>
      </c>
      <c r="S73" s="5" t="str">
        <f t="shared" si="10"/>
        <v>| 69 | Arid and semiarid rangelands | Herbaceous – mixture of grass, weeds, and low-growing brush, with brush the minor element |  |Good |</v>
      </c>
      <c r="T73" s="5" t="str">
        <f t="shared" si="9"/>
        <v>| 69 | Arid and semiarid rangelands | Herbaceous – mixture of grass, weeds, and low-growing brush, with brush the minor element |  |Good |&gt;70% ground cover. | |62 |74 |85 |</v>
      </c>
      <c r="U73" s="5" t="str">
        <f t="shared" si="11"/>
        <v>| 69 | Arid and semiarid rangelands | Herbaceous – mixture of grass, weeds, and low-growing brush, with brush the minor element |  |Good |&gt;70% ground cover. | |62 |74 |85 | | | |</v>
      </c>
    </row>
    <row r="74" spans="2:21" ht="92.25" x14ac:dyDescent="0.55000000000000004">
      <c r="B74" s="4">
        <v>70</v>
      </c>
      <c r="C74" s="4" t="s">
        <v>82</v>
      </c>
      <c r="D74" s="4" t="s">
        <v>86</v>
      </c>
      <c r="E74" s="4"/>
      <c r="F74" s="4" t="s">
        <v>53</v>
      </c>
      <c r="G74" s="4"/>
      <c r="H74" s="4"/>
      <c r="I74" s="4">
        <v>66</v>
      </c>
      <c r="J74" s="4">
        <v>74</v>
      </c>
      <c r="K74" s="4">
        <v>79</v>
      </c>
      <c r="L74" s="4"/>
      <c r="M74" s="4"/>
      <c r="N74" s="4"/>
      <c r="O74" s="4"/>
      <c r="P74" s="5" t="str">
        <f t="shared" si="6"/>
        <v>| 70 | Arid and semiarid rangelands |</v>
      </c>
      <c r="Q74" s="5" t="str">
        <f t="shared" si="7"/>
        <v>| 70 | Arid and semiarid rangelands | Oak-aspen – mountain brush mixture of oak brush, aspen, mountain mahogany, bitter brush, maple, and other brush |</v>
      </c>
      <c r="R74" s="5" t="str">
        <f t="shared" si="8"/>
        <v>| 70 | Arid and semiarid rangelands | Oak-aspen – mountain brush mixture of oak brush, aspen, mountain mahogany, bitter brush, maple, and other brush |  |</v>
      </c>
      <c r="S74" s="5" t="str">
        <f t="shared" si="10"/>
        <v>| 70 | Arid and semiarid rangelands | Oak-aspen – mountain brush mixture of oak brush, aspen, mountain mahogany, bitter brush, maple, and other brush |  |Poor |</v>
      </c>
      <c r="T74" s="5" t="str">
        <f t="shared" si="9"/>
        <v>| 70 | Arid and semiarid rangelands | Oak-aspen – mountain brush mixture of oak brush, aspen, mountain mahogany, bitter brush, maple, and other brush |  |Poor | | |66 |74 |79 |</v>
      </c>
      <c r="U74" s="5" t="str">
        <f t="shared" si="11"/>
        <v>| 70 | Arid and semiarid rangelands | Oak-aspen – mountain brush mixture of oak brush, aspen, mountain mahogany, bitter brush, maple, and other brush |  |Poor | | |66 |74 |79 | | | |</v>
      </c>
    </row>
    <row r="75" spans="2:21" ht="92.25" x14ac:dyDescent="0.55000000000000004">
      <c r="B75" s="4">
        <v>71</v>
      </c>
      <c r="C75" s="4" t="s">
        <v>82</v>
      </c>
      <c r="D75" s="4" t="s">
        <v>86</v>
      </c>
      <c r="E75" s="4"/>
      <c r="F75" s="4" t="s">
        <v>68</v>
      </c>
      <c r="G75" s="4" t="s">
        <v>84</v>
      </c>
      <c r="H75" s="4"/>
      <c r="I75" s="4">
        <v>48</v>
      </c>
      <c r="J75" s="4">
        <v>57</v>
      </c>
      <c r="K75" s="4">
        <v>63</v>
      </c>
      <c r="L75" s="4"/>
      <c r="M75" s="4"/>
      <c r="N75" s="4"/>
      <c r="O75" s="4"/>
      <c r="P75" s="5" t="str">
        <f t="shared" si="6"/>
        <v>| 71 | Arid and semiarid rangelands |</v>
      </c>
      <c r="Q75" s="5" t="str">
        <f t="shared" si="7"/>
        <v>| 71 | Arid and semiarid rangelands | Oak-aspen – mountain brush mixture of oak brush, aspen, mountain mahogany, bitter brush, maple, and other brush |</v>
      </c>
      <c r="R75" s="5" t="str">
        <f t="shared" si="8"/>
        <v>| 71 | Arid and semiarid rangelands | Oak-aspen – mountain brush mixture of oak brush, aspen, mountain mahogany, bitter brush, maple, and other brush |  |</v>
      </c>
      <c r="S75" s="5" t="str">
        <f t="shared" si="10"/>
        <v>| 71 | Arid and semiarid rangelands | Oak-aspen – mountain brush mixture of oak brush, aspen, mountain mahogany, bitter brush, maple, and other brush |  |Fair |</v>
      </c>
      <c r="T75" s="5" t="str">
        <f t="shared" si="9"/>
        <v>| 71 | Arid and semiarid rangelands | Oak-aspen – mountain brush mixture of oak brush, aspen, mountain mahogany, bitter brush, maple, and other brush |  |Fair |30 to 70% ground cover. Curve numbers for group A have been developed only for desert shrub. | |48 |57 |63 |</v>
      </c>
      <c r="U75" s="5" t="str">
        <f t="shared" si="11"/>
        <v>| 71 | Arid and semiarid rangelands | Oak-aspen – mountain brush mixture of oak brush, aspen, mountain mahogany, bitter brush, maple, and other brush |  |Fair |30 to 70% ground cover. Curve numbers for group A have been developed only for desert shrub. | |48 |57 |63 | | | |</v>
      </c>
    </row>
    <row r="76" spans="2:21" ht="92.25" x14ac:dyDescent="0.55000000000000004">
      <c r="B76" s="4">
        <v>72</v>
      </c>
      <c r="C76" s="4" t="s">
        <v>82</v>
      </c>
      <c r="D76" s="4" t="s">
        <v>86</v>
      </c>
      <c r="E76" s="4"/>
      <c r="F76" s="4" t="s">
        <v>55</v>
      </c>
      <c r="G76" s="4" t="s">
        <v>87</v>
      </c>
      <c r="H76" s="4"/>
      <c r="I76" s="4">
        <v>30</v>
      </c>
      <c r="J76" s="4">
        <v>41</v>
      </c>
      <c r="K76" s="4">
        <v>48</v>
      </c>
      <c r="L76" s="4"/>
      <c r="M76" s="4"/>
      <c r="N76" s="4"/>
      <c r="O76" s="4"/>
      <c r="P76" s="5" t="str">
        <f t="shared" si="6"/>
        <v>| 72 | Arid and semiarid rangelands |</v>
      </c>
      <c r="Q76" s="5" t="str">
        <f t="shared" si="7"/>
        <v>| 72 | Arid and semiarid rangelands | Oak-aspen – mountain brush mixture of oak brush, aspen, mountain mahogany, bitter brush, maple, and other brush |</v>
      </c>
      <c r="R76" s="5" t="str">
        <f t="shared" si="8"/>
        <v>| 72 | Arid and semiarid rangelands | Oak-aspen – mountain brush mixture of oak brush, aspen, mountain mahogany, bitter brush, maple, and other brush |  |</v>
      </c>
      <c r="S76" s="5" t="str">
        <f t="shared" si="10"/>
        <v>| 72 | Arid and semiarid rangelands | Oak-aspen – mountain brush mixture of oak brush, aspen, mountain mahogany, bitter brush, maple, and other brush |  |Good |</v>
      </c>
      <c r="T76" s="5" t="str">
        <f t="shared" si="9"/>
        <v>| 72 | Arid and semiarid rangelands | Oak-aspen – mountain brush mixture of oak brush, aspen, mountain mahogany, bitter brush, maple, and other brush |  |Good |&gt;70% ground cover. Curve numbers for group A have been developed only for desert shrub. | |30 |41 |48 |</v>
      </c>
      <c r="U76" s="5" t="str">
        <f t="shared" si="11"/>
        <v>| 72 | Arid and semiarid rangelands | Oak-aspen – mountain brush mixture of oak brush, aspen, mountain mahogany, bitter brush, maple, and other brush |  |Good |&gt;70% ground cover. Curve numbers for group A have been developed only for desert shrub. | |30 |41 |48 | | | |</v>
      </c>
    </row>
    <row r="77" spans="2:21" ht="92.25" x14ac:dyDescent="0.55000000000000004">
      <c r="B77" s="4">
        <v>73</v>
      </c>
      <c r="C77" s="4" t="s">
        <v>82</v>
      </c>
      <c r="D77" s="4" t="s">
        <v>88</v>
      </c>
      <c r="E77" s="4"/>
      <c r="F77" s="4" t="s">
        <v>53</v>
      </c>
      <c r="G77" s="4"/>
      <c r="H77" s="4"/>
      <c r="I77" s="4">
        <v>75</v>
      </c>
      <c r="J77" s="4">
        <v>85</v>
      </c>
      <c r="K77" s="4">
        <v>89</v>
      </c>
      <c r="L77" s="4"/>
      <c r="M77" s="4"/>
      <c r="N77" s="4"/>
      <c r="O77" s="4"/>
      <c r="P77" s="5" t="str">
        <f t="shared" si="6"/>
        <v>| 73 | Arid and semiarid rangelands |</v>
      </c>
      <c r="Q77" s="5" t="str">
        <f t="shared" si="7"/>
        <v>| 73 | Arid and semiarid rangelands | Pinyon-juniper – pinyon, juniper, or both; grass understory |</v>
      </c>
      <c r="R77" s="5" t="str">
        <f t="shared" si="8"/>
        <v>| 73 | Arid and semiarid rangelands | Pinyon-juniper – pinyon, juniper, or both; grass understory |  |</v>
      </c>
      <c r="S77" s="5" t="str">
        <f t="shared" si="10"/>
        <v>| 73 | Arid and semiarid rangelands | Pinyon-juniper – pinyon, juniper, or both; grass understory |  |Poor |</v>
      </c>
      <c r="T77" s="5" t="str">
        <f t="shared" si="9"/>
        <v>| 73 | Arid and semiarid rangelands | Pinyon-juniper – pinyon, juniper, or both; grass understory |  |Poor | | |75 |85 |89 |</v>
      </c>
      <c r="U77" s="5" t="str">
        <f t="shared" si="11"/>
        <v>| 73 | Arid and semiarid rangelands | Pinyon-juniper – pinyon, juniper, or both; grass understory |  |Poor | | |75 |85 |89 | | | |</v>
      </c>
    </row>
    <row r="78" spans="2:21" ht="92.25" x14ac:dyDescent="0.55000000000000004">
      <c r="B78" s="4">
        <v>74</v>
      </c>
      <c r="C78" s="4" t="s">
        <v>82</v>
      </c>
      <c r="D78" s="4" t="s">
        <v>88</v>
      </c>
      <c r="E78" s="4"/>
      <c r="F78" s="4" t="s">
        <v>68</v>
      </c>
      <c r="G78" s="4" t="s">
        <v>84</v>
      </c>
      <c r="H78" s="4"/>
      <c r="I78" s="4">
        <v>58</v>
      </c>
      <c r="J78" s="4">
        <v>73</v>
      </c>
      <c r="K78" s="4">
        <v>80</v>
      </c>
      <c r="L78" s="4"/>
      <c r="M78" s="4"/>
      <c r="N78" s="4"/>
      <c r="O78" s="4"/>
      <c r="P78" s="5" t="str">
        <f t="shared" si="6"/>
        <v>| 74 | Arid and semiarid rangelands |</v>
      </c>
      <c r="Q78" s="5" t="str">
        <f t="shared" si="7"/>
        <v>| 74 | Arid and semiarid rangelands | Pinyon-juniper – pinyon, juniper, or both; grass understory |</v>
      </c>
      <c r="R78" s="5" t="str">
        <f t="shared" si="8"/>
        <v>| 74 | Arid and semiarid rangelands | Pinyon-juniper – pinyon, juniper, or both; grass understory |  |</v>
      </c>
      <c r="S78" s="5" t="str">
        <f t="shared" si="10"/>
        <v>| 74 | Arid and semiarid rangelands | Pinyon-juniper – pinyon, juniper, or both; grass understory |  |Fair |</v>
      </c>
      <c r="T78" s="5" t="str">
        <f t="shared" si="9"/>
        <v>| 74 | Arid and semiarid rangelands | Pinyon-juniper – pinyon, juniper, or both; grass understory |  |Fair |30 to 70% ground cover. Curve numbers for group A have been developed only for desert shrub. | |58 |73 |80 |</v>
      </c>
      <c r="U78" s="5" t="str">
        <f t="shared" si="11"/>
        <v>| 74 | Arid and semiarid rangelands | Pinyon-juniper – pinyon, juniper, or both; grass understory |  |Fair |30 to 70% ground cover. Curve numbers for group A have been developed only for desert shrub. | |58 |73 |80 | | | |</v>
      </c>
    </row>
    <row r="79" spans="2:21" ht="92.25" x14ac:dyDescent="0.55000000000000004">
      <c r="B79" s="4">
        <v>75</v>
      </c>
      <c r="C79" s="4" t="s">
        <v>82</v>
      </c>
      <c r="D79" s="4" t="s">
        <v>88</v>
      </c>
      <c r="E79" s="4"/>
      <c r="F79" s="4" t="s">
        <v>55</v>
      </c>
      <c r="G79" s="4" t="s">
        <v>87</v>
      </c>
      <c r="H79" s="4"/>
      <c r="I79" s="4">
        <v>41</v>
      </c>
      <c r="J79" s="4">
        <v>61</v>
      </c>
      <c r="K79" s="4">
        <v>71</v>
      </c>
      <c r="L79" s="4"/>
      <c r="M79" s="4"/>
      <c r="N79" s="4"/>
      <c r="O79" s="4"/>
      <c r="P79" s="5" t="str">
        <f t="shared" si="6"/>
        <v>| 75 | Arid and semiarid rangelands |</v>
      </c>
      <c r="Q79" s="5" t="str">
        <f t="shared" si="7"/>
        <v>| 75 | Arid and semiarid rangelands | Pinyon-juniper – pinyon, juniper, or both; grass understory |</v>
      </c>
      <c r="R79" s="5" t="str">
        <f t="shared" si="8"/>
        <v>| 75 | Arid and semiarid rangelands | Pinyon-juniper – pinyon, juniper, or both; grass understory |  |</v>
      </c>
      <c r="S79" s="5" t="str">
        <f t="shared" si="10"/>
        <v>| 75 | Arid and semiarid rangelands | Pinyon-juniper – pinyon, juniper, or both; grass understory |  |Good |</v>
      </c>
      <c r="T79" s="5" t="str">
        <f t="shared" si="9"/>
        <v>| 75 | Arid and semiarid rangelands | Pinyon-juniper – pinyon, juniper, or both; grass understory |  |Good |&gt;70% ground cover. Curve numbers for group A have been developed only for desert shrub. | |41 |61 |71 |</v>
      </c>
      <c r="U79" s="5" t="str">
        <f t="shared" si="11"/>
        <v>| 75 | Arid and semiarid rangelands | Pinyon-juniper – pinyon, juniper, or both; grass understory |  |Good |&gt;70% ground cover. Curve numbers for group A have been developed only for desert shrub. | |41 |61 |71 | | | |</v>
      </c>
    </row>
    <row r="80" spans="2:21" ht="92.25" x14ac:dyDescent="0.55000000000000004">
      <c r="B80" s="4">
        <v>76</v>
      </c>
      <c r="C80" s="4" t="s">
        <v>82</v>
      </c>
      <c r="D80" s="4" t="s">
        <v>89</v>
      </c>
      <c r="E80" s="4"/>
      <c r="F80" s="4" t="s">
        <v>53</v>
      </c>
      <c r="G80" s="4"/>
      <c r="H80" s="4"/>
      <c r="I80" s="4">
        <v>67</v>
      </c>
      <c r="J80" s="4">
        <v>80</v>
      </c>
      <c r="K80" s="4">
        <v>85</v>
      </c>
      <c r="L80" s="4"/>
      <c r="M80" s="4"/>
      <c r="N80" s="4"/>
      <c r="O80" s="4"/>
      <c r="P80" s="5" t="str">
        <f t="shared" si="6"/>
        <v>| 76 | Arid and semiarid rangelands |</v>
      </c>
      <c r="Q80" s="5" t="str">
        <f t="shared" si="7"/>
        <v>| 76 | Arid and semiarid rangelands | Sagebrush with grass understory |</v>
      </c>
      <c r="R80" s="5" t="str">
        <f t="shared" si="8"/>
        <v>| 76 | Arid and semiarid rangelands | Sagebrush with grass understory |  |</v>
      </c>
      <c r="S80" s="5" t="str">
        <f t="shared" si="10"/>
        <v>| 76 | Arid and semiarid rangelands | Sagebrush with grass understory |  |Poor |</v>
      </c>
      <c r="T80" s="5" t="str">
        <f t="shared" si="9"/>
        <v>| 76 | Arid and semiarid rangelands | Sagebrush with grass understory |  |Poor | | |67 |80 |85 |</v>
      </c>
      <c r="U80" s="5" t="str">
        <f t="shared" si="11"/>
        <v>| 76 | Arid and semiarid rangelands | Sagebrush with grass understory |  |Poor | | |67 |80 |85 | | | |</v>
      </c>
    </row>
    <row r="81" spans="2:21" ht="92.25" x14ac:dyDescent="0.55000000000000004">
      <c r="B81" s="4">
        <v>77</v>
      </c>
      <c r="C81" s="4" t="s">
        <v>82</v>
      </c>
      <c r="D81" s="4" t="s">
        <v>89</v>
      </c>
      <c r="E81" s="4"/>
      <c r="F81" s="4" t="s">
        <v>68</v>
      </c>
      <c r="G81" s="4" t="s">
        <v>84</v>
      </c>
      <c r="H81" s="4"/>
      <c r="I81" s="4">
        <v>51</v>
      </c>
      <c r="J81" s="4">
        <v>63</v>
      </c>
      <c r="K81" s="4">
        <v>70</v>
      </c>
      <c r="L81" s="4"/>
      <c r="M81" s="4"/>
      <c r="N81" s="4"/>
      <c r="O81" s="4"/>
      <c r="P81" s="5" t="str">
        <f t="shared" si="6"/>
        <v>| 77 | Arid and semiarid rangelands |</v>
      </c>
      <c r="Q81" s="5" t="str">
        <f t="shared" si="7"/>
        <v>| 77 | Arid and semiarid rangelands | Sagebrush with grass understory |</v>
      </c>
      <c r="R81" s="5" t="str">
        <f t="shared" si="8"/>
        <v>| 77 | Arid and semiarid rangelands | Sagebrush with grass understory |  |</v>
      </c>
      <c r="S81" s="5" t="str">
        <f t="shared" si="10"/>
        <v>| 77 | Arid and semiarid rangelands | Sagebrush with grass understory |  |Fair |</v>
      </c>
      <c r="T81" s="5" t="str">
        <f t="shared" si="9"/>
        <v>| 77 | Arid and semiarid rangelands | Sagebrush with grass understory |  |Fair |30 to 70% ground cover. Curve numbers for group A have been developed only for desert shrub. | |51 |63 |70 |</v>
      </c>
      <c r="U81" s="5" t="str">
        <f t="shared" si="11"/>
        <v>| 77 | Arid and semiarid rangelands | Sagebrush with grass understory |  |Fair |30 to 70% ground cover. Curve numbers for group A have been developed only for desert shrub. | |51 |63 |70 | | | |</v>
      </c>
    </row>
    <row r="82" spans="2:21" ht="92.25" x14ac:dyDescent="0.55000000000000004">
      <c r="B82" s="4">
        <v>78</v>
      </c>
      <c r="C82" s="4" t="s">
        <v>82</v>
      </c>
      <c r="D82" s="4" t="s">
        <v>89</v>
      </c>
      <c r="E82" s="4"/>
      <c r="F82" s="4" t="s">
        <v>55</v>
      </c>
      <c r="G82" s="4" t="s">
        <v>87</v>
      </c>
      <c r="H82" s="4"/>
      <c r="I82" s="4">
        <v>35</v>
      </c>
      <c r="J82" s="4">
        <v>47</v>
      </c>
      <c r="K82" s="4">
        <v>55</v>
      </c>
      <c r="L82" s="4"/>
      <c r="M82" s="4"/>
      <c r="N82" s="4"/>
      <c r="O82" s="4"/>
      <c r="P82" s="5" t="str">
        <f t="shared" si="6"/>
        <v>| 78 | Arid and semiarid rangelands |</v>
      </c>
      <c r="Q82" s="5" t="str">
        <f t="shared" si="7"/>
        <v>| 78 | Arid and semiarid rangelands | Sagebrush with grass understory |</v>
      </c>
      <c r="R82" s="5" t="str">
        <f t="shared" si="8"/>
        <v>| 78 | Arid and semiarid rangelands | Sagebrush with grass understory |  |</v>
      </c>
      <c r="S82" s="5" t="str">
        <f t="shared" si="10"/>
        <v>| 78 | Arid and semiarid rangelands | Sagebrush with grass understory |  |Good |</v>
      </c>
      <c r="T82" s="5" t="str">
        <f t="shared" si="9"/>
        <v>| 78 | Arid and semiarid rangelands | Sagebrush with grass understory |  |Good |&gt;70% ground cover. Curve numbers for group A have been developed only for desert shrub. | |35 |47 |55 |</v>
      </c>
      <c r="U82" s="5" t="str">
        <f t="shared" si="11"/>
        <v>| 78 | Arid and semiarid rangelands | Sagebrush with grass understory |  |Good |&gt;70% ground cover. Curve numbers for group A have been developed only for desert shrub. | |35 |47 |55 | | | |</v>
      </c>
    </row>
    <row r="83" spans="2:21" ht="92.25" x14ac:dyDescent="0.55000000000000004">
      <c r="B83" s="4">
        <v>79</v>
      </c>
      <c r="C83" s="4" t="s">
        <v>82</v>
      </c>
      <c r="D83" s="4" t="s">
        <v>90</v>
      </c>
      <c r="E83" s="4"/>
      <c r="F83" s="4" t="s">
        <v>53</v>
      </c>
      <c r="G83" s="4"/>
      <c r="H83" s="4">
        <v>63</v>
      </c>
      <c r="I83" s="4">
        <v>77</v>
      </c>
      <c r="J83" s="4">
        <v>85</v>
      </c>
      <c r="K83" s="4">
        <v>88</v>
      </c>
      <c r="L83" s="4"/>
      <c r="M83" s="4"/>
      <c r="N83" s="4"/>
      <c r="O83" s="4"/>
      <c r="P83" s="5" t="str">
        <f t="shared" si="6"/>
        <v>| 79 | Arid and semiarid rangelands |</v>
      </c>
      <c r="Q83" s="5" t="str">
        <f t="shared" si="7"/>
        <v>| 79 | Arid and semiarid rangelands | Desert shrub – major plants include saltbrush, greasewood, creosotebush, blackbrush, bursage, palo verde, mesquite, and cactus. |</v>
      </c>
      <c r="R83" s="5" t="str">
        <f t="shared" si="8"/>
        <v>| 79 | Arid and semiarid rangelands | Desert shrub – major plants include saltbrush, greasewood, creosotebush, blackbrush, bursage, palo verde, mesquite, and cactus. |  |</v>
      </c>
      <c r="S83" s="5" t="str">
        <f t="shared" si="10"/>
        <v>| 79 | Arid and semiarid rangelands | Desert shrub – major plants include saltbrush, greasewood, creosotebush, blackbrush, bursage, palo verde, mesquite, and cactus. |  |Poor |</v>
      </c>
      <c r="T83" s="5" t="str">
        <f t="shared" si="9"/>
        <v>| 79 | Arid and semiarid rangelands | Desert shrub – major plants include saltbrush, greasewood, creosotebush, blackbrush, bursage, palo verde, mesquite, and cactus. |  |Poor | |63 |77 |85 |88 |</v>
      </c>
      <c r="U83" s="5" t="str">
        <f t="shared" si="11"/>
        <v>| 79 | Arid and semiarid rangelands | Desert shrub – major plants include saltbrush, greasewood, creosotebush, blackbrush, bursage, palo verde, mesquite, and cactus. |  |Poor | |63 |77 |85 |88 | | | |</v>
      </c>
    </row>
    <row r="84" spans="2:21" ht="92.25" x14ac:dyDescent="0.55000000000000004">
      <c r="B84" s="4">
        <v>80</v>
      </c>
      <c r="C84" s="4" t="s">
        <v>82</v>
      </c>
      <c r="D84" s="4" t="s">
        <v>90</v>
      </c>
      <c r="E84" s="4"/>
      <c r="F84" s="4" t="s">
        <v>68</v>
      </c>
      <c r="G84" s="4" t="s">
        <v>84</v>
      </c>
      <c r="H84" s="4">
        <v>55</v>
      </c>
      <c r="I84" s="4">
        <v>72</v>
      </c>
      <c r="J84" s="4">
        <v>81</v>
      </c>
      <c r="K84" s="4">
        <v>86</v>
      </c>
      <c r="L84" s="4"/>
      <c r="M84" s="4"/>
      <c r="N84" s="4"/>
      <c r="O84" s="4"/>
      <c r="P84" s="5" t="str">
        <f t="shared" si="6"/>
        <v>| 80 | Arid and semiarid rangelands |</v>
      </c>
      <c r="Q84" s="5" t="str">
        <f t="shared" si="7"/>
        <v>| 80 | Arid and semiarid rangelands | Desert shrub – major plants include saltbrush, greasewood, creosotebush, blackbrush, bursage, palo verde, mesquite, and cactus. |</v>
      </c>
      <c r="R84" s="5" t="str">
        <f t="shared" si="8"/>
        <v>| 80 | Arid and semiarid rangelands | Desert shrub – major plants include saltbrush, greasewood, creosotebush, blackbrush, bursage, palo verde, mesquite, and cactus. |  |</v>
      </c>
      <c r="S84" s="5" t="str">
        <f t="shared" si="10"/>
        <v>| 80 | Arid and semiarid rangelands | Desert shrub – major plants include saltbrush, greasewood, creosotebush, blackbrush, bursage, palo verde, mesquite, and cactus. |  |Fair |</v>
      </c>
      <c r="T84" s="5" t="str">
        <f t="shared" si="9"/>
        <v>| 80 | Arid and semiarid rangelands | Desert shrub – major plants include saltbrush, greasewood, creosotebush, blackbrush, bursage, palo verde, mesquite, and cactus. |  |Fair |30 to 70% ground cover. Curve numbers for group A have been developed only for desert shrub. |55 |72 |81 |86 |</v>
      </c>
      <c r="U84" s="5" t="str">
        <f t="shared" si="11"/>
        <v>| 80 | Arid and semiarid rangelands | Desert shrub – major plants include saltbrush, greasewood, creosotebush, blackbrush, bursage, palo verde, mesquite, and cactus. |  |Fair |30 to 70% ground cover. Curve numbers for group A have been developed only for desert shrub. |55 |72 |81 |86 | | | |</v>
      </c>
    </row>
    <row r="85" spans="2:21" ht="92.25" x14ac:dyDescent="0.55000000000000004">
      <c r="B85" s="4">
        <v>81</v>
      </c>
      <c r="C85" s="4" t="s">
        <v>82</v>
      </c>
      <c r="D85" s="4" t="s">
        <v>90</v>
      </c>
      <c r="E85" s="4"/>
      <c r="F85" s="4" t="s">
        <v>55</v>
      </c>
      <c r="G85" s="4" t="s">
        <v>87</v>
      </c>
      <c r="H85" s="4">
        <v>49</v>
      </c>
      <c r="I85" s="4">
        <v>68</v>
      </c>
      <c r="J85" s="4">
        <v>79</v>
      </c>
      <c r="K85" s="4">
        <v>84</v>
      </c>
      <c r="L85" s="4"/>
      <c r="M85" s="4"/>
      <c r="N85" s="4"/>
      <c r="O85" s="4"/>
      <c r="P85" s="5" t="str">
        <f t="shared" si="6"/>
        <v>| 81 | Arid and semiarid rangelands |</v>
      </c>
      <c r="Q85" s="5" t="str">
        <f t="shared" si="7"/>
        <v>| 81 | Arid and semiarid rangelands | Desert shrub – major plants include saltbrush, greasewood, creosotebush, blackbrush, bursage, palo verde, mesquite, and cactus. |</v>
      </c>
      <c r="R85" s="5" t="str">
        <f t="shared" si="8"/>
        <v>| 81 | Arid and semiarid rangelands | Desert shrub – major plants include saltbrush, greasewood, creosotebush, blackbrush, bursage, palo verde, mesquite, and cactus. |  |</v>
      </c>
      <c r="S85" s="5" t="str">
        <f t="shared" si="10"/>
        <v>| 81 | Arid and semiarid rangelands | Desert shrub – major plants include saltbrush, greasewood, creosotebush, blackbrush, bursage, palo verde, mesquite, and cactus. |  |Good |</v>
      </c>
      <c r="T85" s="5" t="str">
        <f t="shared" si="9"/>
        <v>| 81 | Arid and semiarid rangelands | Desert shrub – major plants include saltbrush, greasewood, creosotebush, blackbrush, bursage, palo verde, mesquite, and cactus. |  |Good |&gt;70% ground cover. Curve numbers for group A have been developed only for desert shrub. |49 |68 |79 |84 |</v>
      </c>
      <c r="U85" s="5" t="str">
        <f t="shared" si="11"/>
        <v>| 81 | Arid and semiarid rangelands | Desert shrub – major plants include saltbrush, greasewood, creosotebush, blackbrush, bursage, palo verde, mesquite, and cactus. |  |Good |&gt;70% ground cover. Curve numbers for group A have been developed only for desert shrub. |49 |68 |79 |84 | | | |</v>
      </c>
    </row>
    <row r="86" spans="2:21" ht="92.25" x14ac:dyDescent="0.55000000000000004">
      <c r="B86" s="4">
        <v>82</v>
      </c>
      <c r="C86" s="4" t="s">
        <v>91</v>
      </c>
      <c r="D86" s="4" t="s">
        <v>92</v>
      </c>
      <c r="E86" s="4" t="s">
        <v>92</v>
      </c>
      <c r="F86" s="4" t="s">
        <v>20</v>
      </c>
      <c r="G86" s="4" t="s">
        <v>93</v>
      </c>
      <c r="H86" s="4">
        <v>96</v>
      </c>
      <c r="I86" s="4">
        <v>96</v>
      </c>
      <c r="J86" s="4">
        <v>96</v>
      </c>
      <c r="K86" s="4">
        <v>96</v>
      </c>
      <c r="L86" s="4"/>
      <c r="M86" s="4"/>
      <c r="N86" s="4"/>
      <c r="O86" s="4"/>
      <c r="P86" s="5" t="str">
        <f t="shared" si="6"/>
        <v>| 82 | Unclassified |</v>
      </c>
      <c r="Q86" s="5" t="str">
        <f t="shared" si="7"/>
        <v>| 82 | Unclassified | Water body |</v>
      </c>
      <c r="R86" s="5" t="str">
        <f t="shared" si="8"/>
        <v>| 82 | Unclassified | Water body | Water body |</v>
      </c>
      <c r="S86" s="5" t="str">
        <f t="shared" si="10"/>
        <v>| 82 | Unclassified | Water body | Water body |Unique |</v>
      </c>
      <c r="T86" s="5" t="str">
        <f t="shared" si="9"/>
        <v>| 82 | Unclassified | Water body | Water body |Unique |rcfdtools |96 |96 |96 |96 |</v>
      </c>
      <c r="U86" s="5" t="str">
        <f t="shared" si="11"/>
        <v>| 82 | Unclassified | Water body | Water body |Unique |rcfdtools |96 |96 |96 |96 | | | |</v>
      </c>
    </row>
    <row r="87" spans="2:21" ht="92.25" x14ac:dyDescent="0.5500000000000000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 t="str">
        <f t="shared" si="6"/>
        <v>|  |  |</v>
      </c>
      <c r="Q87" s="5" t="str">
        <f t="shared" si="7"/>
        <v>|  |  |  |</v>
      </c>
      <c r="R87" s="5" t="str">
        <f t="shared" si="8"/>
        <v>|  |  |  |  |</v>
      </c>
      <c r="S87" s="5" t="str">
        <f t="shared" si="10"/>
        <v>|  |  |  |  | |</v>
      </c>
      <c r="T87" s="5" t="str">
        <f t="shared" si="9"/>
        <v>|  |  |  |  | | | | | | |</v>
      </c>
      <c r="U87" s="5" t="str">
        <f t="shared" si="11"/>
        <v>|  |  |  |  | | | | | | | | | |</v>
      </c>
    </row>
    <row r="88" spans="2:21" ht="92.25" x14ac:dyDescent="0.5500000000000000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 t="str">
        <f t="shared" si="6"/>
        <v>|  |  |</v>
      </c>
      <c r="Q88" s="5" t="str">
        <f t="shared" si="7"/>
        <v>|  |  |  |</v>
      </c>
      <c r="R88" s="5" t="str">
        <f t="shared" si="8"/>
        <v>|  |  |  |  |</v>
      </c>
      <c r="S88" s="5" t="str">
        <f t="shared" si="10"/>
        <v>|  |  |  |  | |</v>
      </c>
      <c r="T88" s="5" t="str">
        <f t="shared" si="9"/>
        <v>|  |  |  |  | | | | | | |</v>
      </c>
      <c r="U88" s="5" t="str">
        <f t="shared" si="11"/>
        <v>|  |  |  |  | | | | | | | | | |</v>
      </c>
    </row>
    <row r="89" spans="2:21" ht="92.25" x14ac:dyDescent="0.5500000000000000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 t="str">
        <f t="shared" ref="P89:P103" si="12">_xlfn.CONCAT("| ",B89," | ",C89," |")</f>
        <v>|  |  |</v>
      </c>
      <c r="Q89" s="5" t="str">
        <f t="shared" ref="Q89:Q103" si="13">_xlfn.CONCAT("| ",B89," | ",C89," | ",D89," |")</f>
        <v>|  |  |  |</v>
      </c>
      <c r="R89" s="5" t="str">
        <f t="shared" si="8"/>
        <v>|  |  |  |  |</v>
      </c>
      <c r="S89" s="5" t="str">
        <f t="shared" si="10"/>
        <v>|  |  |  |  | |</v>
      </c>
      <c r="T89" s="5" t="str">
        <f t="shared" si="9"/>
        <v>|  |  |  |  | | | | | | |</v>
      </c>
      <c r="U89" s="5" t="str">
        <f t="shared" si="11"/>
        <v>|  |  |  |  | | | | | | | | | |</v>
      </c>
    </row>
    <row r="90" spans="2:21" ht="92.25" x14ac:dyDescent="0.5500000000000000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 t="str">
        <f t="shared" si="12"/>
        <v>|  |  |</v>
      </c>
      <c r="Q90" s="5" t="str">
        <f t="shared" si="13"/>
        <v>|  |  |  |</v>
      </c>
      <c r="R90" s="5" t="str">
        <f t="shared" si="8"/>
        <v>|  |  |  |  |</v>
      </c>
      <c r="S90" s="5" t="str">
        <f t="shared" si="10"/>
        <v>|  |  |  |  | |</v>
      </c>
      <c r="T90" s="5" t="str">
        <f t="shared" si="9"/>
        <v>|  |  |  |  | | | | | | |</v>
      </c>
      <c r="U90" s="5" t="str">
        <f t="shared" si="11"/>
        <v>|  |  |  |  | | | | | | | | | |</v>
      </c>
    </row>
    <row r="91" spans="2:21" ht="92.25" x14ac:dyDescent="0.5500000000000000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 t="str">
        <f t="shared" si="12"/>
        <v>|  |  |</v>
      </c>
      <c r="Q91" s="5" t="str">
        <f t="shared" si="13"/>
        <v>|  |  |  |</v>
      </c>
      <c r="R91" s="5" t="str">
        <f t="shared" si="8"/>
        <v>|  |  |  |  |</v>
      </c>
      <c r="S91" s="5" t="str">
        <f t="shared" si="10"/>
        <v>|  |  |  |  | |</v>
      </c>
      <c r="T91" s="5" t="str">
        <f t="shared" si="9"/>
        <v>|  |  |  |  | | | | | | |</v>
      </c>
      <c r="U91" s="5" t="str">
        <f t="shared" si="11"/>
        <v>|  |  |  |  | | | | | | | | | |</v>
      </c>
    </row>
    <row r="92" spans="2:21" ht="92.25" x14ac:dyDescent="0.5500000000000000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 t="str">
        <f t="shared" si="12"/>
        <v>|  |  |</v>
      </c>
      <c r="Q92" s="5" t="str">
        <f t="shared" si="13"/>
        <v>|  |  |  |</v>
      </c>
      <c r="R92" s="5" t="str">
        <f t="shared" si="8"/>
        <v>|  |  |  |  |</v>
      </c>
      <c r="S92" s="5" t="str">
        <f t="shared" si="10"/>
        <v>|  |  |  |  | |</v>
      </c>
      <c r="T92" s="5" t="str">
        <f t="shared" si="9"/>
        <v>|  |  |  |  | | | | | | |</v>
      </c>
      <c r="U92" s="5" t="str">
        <f t="shared" si="11"/>
        <v>|  |  |  |  | | | | | | | | | |</v>
      </c>
    </row>
    <row r="93" spans="2:21" ht="92.25" x14ac:dyDescent="0.5500000000000000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 t="str">
        <f t="shared" si="12"/>
        <v>|  |  |</v>
      </c>
      <c r="Q93" s="5" t="str">
        <f t="shared" si="13"/>
        <v>|  |  |  |</v>
      </c>
      <c r="R93" s="5" t="str">
        <f t="shared" si="8"/>
        <v>|  |  |  |  |</v>
      </c>
      <c r="S93" s="5" t="str">
        <f t="shared" si="10"/>
        <v>|  |  |  |  | |</v>
      </c>
      <c r="T93" s="5" t="str">
        <f t="shared" si="9"/>
        <v>|  |  |  |  | | | | | | |</v>
      </c>
      <c r="U93" s="5" t="str">
        <f t="shared" si="11"/>
        <v>|  |  |  |  | | | | | | | | | |</v>
      </c>
    </row>
    <row r="94" spans="2:21" ht="92.25" x14ac:dyDescent="0.5500000000000000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 t="str">
        <f t="shared" si="12"/>
        <v>|  |  |</v>
      </c>
      <c r="Q94" s="5" t="str">
        <f t="shared" si="13"/>
        <v>|  |  |  |</v>
      </c>
      <c r="R94" s="5" t="str">
        <f t="shared" si="8"/>
        <v>|  |  |  |  |</v>
      </c>
      <c r="S94" s="5" t="str">
        <f t="shared" si="10"/>
        <v>|  |  |  |  | |</v>
      </c>
      <c r="T94" s="5" t="str">
        <f t="shared" si="9"/>
        <v>|  |  |  |  | | | | | | |</v>
      </c>
      <c r="U94" s="5" t="str">
        <f t="shared" si="11"/>
        <v>|  |  |  |  | | | | | | | | | |</v>
      </c>
    </row>
    <row r="95" spans="2:21" ht="92.25" x14ac:dyDescent="0.5500000000000000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 t="str">
        <f t="shared" si="12"/>
        <v>|  |  |</v>
      </c>
      <c r="Q95" s="5" t="str">
        <f t="shared" si="13"/>
        <v>|  |  |  |</v>
      </c>
      <c r="R95" s="5" t="str">
        <f t="shared" si="8"/>
        <v>|  |  |  |  |</v>
      </c>
      <c r="S95" s="5" t="str">
        <f t="shared" si="10"/>
        <v>|  |  |  |  | |</v>
      </c>
      <c r="T95" s="5" t="str">
        <f t="shared" si="9"/>
        <v>|  |  |  |  | | | | | | |</v>
      </c>
      <c r="U95" s="5" t="str">
        <f t="shared" si="11"/>
        <v>|  |  |  |  | | | | | | | | | |</v>
      </c>
    </row>
    <row r="96" spans="2:21" ht="92.25" x14ac:dyDescent="0.5500000000000000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 t="str">
        <f t="shared" si="12"/>
        <v>|  |  |</v>
      </c>
      <c r="Q96" s="5" t="str">
        <f t="shared" si="13"/>
        <v>|  |  |  |</v>
      </c>
      <c r="R96" s="5" t="str">
        <f t="shared" si="8"/>
        <v>|  |  |  |  |</v>
      </c>
      <c r="S96" s="5" t="str">
        <f t="shared" si="10"/>
        <v>|  |  |  |  | |</v>
      </c>
      <c r="T96" s="5" t="str">
        <f t="shared" si="9"/>
        <v>|  |  |  |  | | | | | | |</v>
      </c>
      <c r="U96" s="5" t="str">
        <f t="shared" si="11"/>
        <v>|  |  |  |  | | | | | | | | | |</v>
      </c>
    </row>
    <row r="97" spans="2:21" ht="92.25" x14ac:dyDescent="0.5500000000000000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 t="str">
        <f t="shared" si="12"/>
        <v>|  |  |</v>
      </c>
      <c r="Q97" s="5" t="str">
        <f t="shared" si="13"/>
        <v>|  |  |  |</v>
      </c>
      <c r="R97" s="5" t="str">
        <f t="shared" si="8"/>
        <v>|  |  |  |  |</v>
      </c>
      <c r="S97" s="5" t="str">
        <f t="shared" si="10"/>
        <v>|  |  |  |  | |</v>
      </c>
      <c r="T97" s="5" t="str">
        <f t="shared" si="9"/>
        <v>|  |  |  |  | | | | | | |</v>
      </c>
      <c r="U97" s="5" t="str">
        <f t="shared" si="11"/>
        <v>|  |  |  |  | | | | | | | | | |</v>
      </c>
    </row>
    <row r="98" spans="2:21" ht="92.25" x14ac:dyDescent="0.5500000000000000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 t="str">
        <f t="shared" si="12"/>
        <v>|  |  |</v>
      </c>
      <c r="Q98" s="5" t="str">
        <f t="shared" si="13"/>
        <v>|  |  |  |</v>
      </c>
      <c r="R98" s="5" t="str">
        <f t="shared" si="8"/>
        <v>|  |  |  |  |</v>
      </c>
      <c r="S98" s="5" t="str">
        <f t="shared" si="10"/>
        <v>|  |  |  |  | |</v>
      </c>
      <c r="T98" s="5" t="str">
        <f t="shared" si="9"/>
        <v>|  |  |  |  | | | | | | |</v>
      </c>
      <c r="U98" s="5" t="str">
        <f t="shared" si="11"/>
        <v>|  |  |  |  | | | | | | | | | |</v>
      </c>
    </row>
    <row r="99" spans="2:21" ht="92.25" x14ac:dyDescent="0.5500000000000000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 t="str">
        <f t="shared" si="12"/>
        <v>|  |  |</v>
      </c>
      <c r="Q99" s="5" t="str">
        <f t="shared" si="13"/>
        <v>|  |  |  |</v>
      </c>
      <c r="R99" s="5" t="str">
        <f t="shared" si="8"/>
        <v>|  |  |  |  |</v>
      </c>
      <c r="S99" s="5" t="str">
        <f t="shared" si="10"/>
        <v>|  |  |  |  | |</v>
      </c>
      <c r="T99" s="5" t="str">
        <f t="shared" si="9"/>
        <v>|  |  |  |  | | | | | | |</v>
      </c>
      <c r="U99" s="5" t="str">
        <f t="shared" si="11"/>
        <v>|  |  |  |  | | | | | | | | | |</v>
      </c>
    </row>
    <row r="100" spans="2:21" ht="92.25" x14ac:dyDescent="0.5500000000000000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 t="str">
        <f t="shared" si="12"/>
        <v>|  |  |</v>
      </c>
      <c r="Q100" s="5" t="str">
        <f t="shared" si="13"/>
        <v>|  |  |  |</v>
      </c>
      <c r="R100" s="5" t="str">
        <f t="shared" si="8"/>
        <v>|  |  |  |  |</v>
      </c>
      <c r="S100" s="5" t="str">
        <f t="shared" si="10"/>
        <v>|  |  |  |  | |</v>
      </c>
      <c r="T100" s="5" t="str">
        <f t="shared" si="9"/>
        <v>|  |  |  |  | | | | | | |</v>
      </c>
      <c r="U100" s="5" t="str">
        <f t="shared" si="11"/>
        <v>|  |  |  |  | | | | | | | | | |</v>
      </c>
    </row>
    <row r="101" spans="2:21" ht="92.25" x14ac:dyDescent="0.5500000000000000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 t="str">
        <f t="shared" si="12"/>
        <v>|  |  |</v>
      </c>
      <c r="Q101" s="5" t="str">
        <f t="shared" si="13"/>
        <v>|  |  |  |</v>
      </c>
      <c r="R101" s="5" t="str">
        <f t="shared" si="8"/>
        <v>|  |  |  |  |</v>
      </c>
      <c r="S101" s="5" t="str">
        <f t="shared" si="10"/>
        <v>|  |  |  |  | |</v>
      </c>
      <c r="T101" s="5" t="str">
        <f t="shared" si="9"/>
        <v>|  |  |  |  | | | | | | |</v>
      </c>
      <c r="U101" s="5" t="str">
        <f t="shared" si="11"/>
        <v>|  |  |  |  | | | | | | | | | |</v>
      </c>
    </row>
    <row r="102" spans="2:21" ht="92.25" x14ac:dyDescent="0.5500000000000000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 t="str">
        <f t="shared" si="12"/>
        <v>|  |  |</v>
      </c>
      <c r="Q102" s="5" t="str">
        <f t="shared" si="13"/>
        <v>|  |  |  |</v>
      </c>
      <c r="R102" s="5" t="str">
        <f t="shared" si="8"/>
        <v>|  |  |  |  |</v>
      </c>
      <c r="S102" s="5" t="str">
        <f t="shared" si="10"/>
        <v>|  |  |  |  | |</v>
      </c>
      <c r="T102" s="5" t="str">
        <f t="shared" si="9"/>
        <v>|  |  |  |  | | | | | | |</v>
      </c>
      <c r="U102" s="5" t="str">
        <f t="shared" si="11"/>
        <v>|  |  |  |  | | | | | | | | | |</v>
      </c>
    </row>
    <row r="103" spans="2:21" ht="92.25" x14ac:dyDescent="0.5500000000000000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 t="str">
        <f t="shared" si="12"/>
        <v>|  |  |</v>
      </c>
      <c r="Q103" s="5" t="str">
        <f t="shared" si="13"/>
        <v>|  |  |  |</v>
      </c>
      <c r="R103" s="5" t="str">
        <f t="shared" si="8"/>
        <v>|  |  |  |  |</v>
      </c>
      <c r="S103" s="5" t="str">
        <f t="shared" si="10"/>
        <v>|  |  |  |  | |</v>
      </c>
      <c r="T103" s="5" t="str">
        <f t="shared" si="9"/>
        <v>|  |  |  |  | | | | | | |</v>
      </c>
      <c r="U103" s="5" t="str">
        <f t="shared" si="11"/>
        <v>|  |  |  |  | | | | | | | | | |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Sample!_Toc107986980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 R ]</dc:creator>
  <cp:lastModifiedBy>WILLIAM RICARDO AGUILAR PIÑA</cp:lastModifiedBy>
  <dcterms:created xsi:type="dcterms:W3CDTF">2021-12-14T17:59:01Z</dcterms:created>
  <dcterms:modified xsi:type="dcterms:W3CDTF">2026-06-02T13:17:02Z</dcterms:modified>
</cp:coreProperties>
</file>