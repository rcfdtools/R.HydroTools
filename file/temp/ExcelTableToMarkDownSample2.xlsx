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.HydroTools\file\temp\"/>
    </mc:Choice>
  </mc:AlternateContent>
  <xr:revisionPtr revIDLastSave="0" documentId="13_ncr:1_{52ED6D72-41E3-426C-8412-67A5B03154AF}" xr6:coauthVersionLast="47" xr6:coauthVersionMax="47" xr10:uidLastSave="{00000000-0000-0000-0000-000000000000}"/>
  <bookViews>
    <workbookView xWindow="-28920" yWindow="6990" windowWidth="29040" windowHeight="15720" xr2:uid="{D94F812B-BC61-4A22-9692-634766FE0D40}"/>
  </bookViews>
  <sheets>
    <sheet name="Sample" sheetId="1" r:id="rId1"/>
  </sheets>
  <definedNames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6" i="1" l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" i="1"/>
  <c r="R5" i="1"/>
  <c r="R6" i="1"/>
  <c r="R7" i="1"/>
  <c r="R8" i="1"/>
  <c r="R9" i="1"/>
  <c r="R10" i="1"/>
  <c r="R11" i="1"/>
  <c r="R12" i="1"/>
  <c r="R13" i="1"/>
  <c r="U62" i="1"/>
  <c r="U61" i="1"/>
  <c r="U60" i="1"/>
  <c r="U58" i="1"/>
  <c r="T21" i="1"/>
  <c r="T20" i="1"/>
  <c r="T19" i="1"/>
  <c r="T18" i="1"/>
  <c r="U14" i="1"/>
  <c r="U11" i="1"/>
  <c r="U10" i="1"/>
  <c r="U9" i="1"/>
  <c r="U8" i="1"/>
  <c r="U7" i="1"/>
  <c r="U6" i="1"/>
  <c r="U59" i="1"/>
  <c r="T1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4" i="1"/>
  <c r="T5" i="1"/>
  <c r="T6" i="1"/>
  <c r="T7" i="1"/>
  <c r="T8" i="1"/>
  <c r="T9" i="1"/>
  <c r="T10" i="1"/>
  <c r="T11" i="1"/>
  <c r="T3" i="1"/>
  <c r="U4" i="1"/>
  <c r="U3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5" i="1"/>
  <c r="P4" i="1"/>
  <c r="S3" i="1"/>
  <c r="R3" i="1"/>
  <c r="S4" i="1"/>
  <c r="S5" i="1"/>
  <c r="Q4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Q3" i="1"/>
  <c r="P5" i="1"/>
  <c r="P7" i="1"/>
  <c r="Q7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6" i="1"/>
  <c r="P3" i="1"/>
  <c r="T17" i="1" l="1"/>
  <c r="U17" i="1"/>
  <c r="T16" i="1"/>
  <c r="U16" i="1"/>
  <c r="T15" i="1"/>
  <c r="U15" i="1"/>
  <c r="T13" i="1"/>
  <c r="U13" i="1"/>
  <c r="T12" i="1"/>
  <c r="U12" i="1"/>
</calcChain>
</file>

<file path=xl/sharedStrings.xml><?xml version="1.0" encoding="utf-8"?>
<sst xmlns="http://schemas.openxmlformats.org/spreadsheetml/2006/main" count="121" uniqueCount="104">
  <si>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</si>
  <si>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</si>
  <si>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</si>
  <si>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</si>
  <si>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</si>
  <si>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</si>
  <si>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Texto para 13 columnas</t>
  </si>
  <si>
    <t>Texto para 10 columnas</t>
  </si>
  <si>
    <t>Referencia</t>
  </si>
  <si>
    <t>Alcance</t>
  </si>
  <si>
    <t>Versión</t>
  </si>
  <si>
    <t>Archivo local</t>
  </si>
  <si>
    <t>Protocolo para el monitoreo y seguimiento del agua</t>
  </si>
  <si>
    <t>Vocabulario Meteorológico Internacional</t>
  </si>
  <si>
    <t>Manual del Sistema Mundial de Telecomunicación. Anexo III al Reglamento Técnico de la OMM</t>
  </si>
  <si>
    <t>Manual del Sistema Mundial de Observación. Volumen I – Aspectos mundiales. Anexo V del Reglamento Técnico</t>
  </si>
  <si>
    <t>Guía del Sistema de Información de la OMM</t>
  </si>
  <si>
    <t>Directrices sobre los sistemas de predicción por conjuntos y la predicción</t>
  </si>
  <si>
    <t>Manual del Sistema Mundial Integrado de Sistemas de Observación de la OMM</t>
  </si>
  <si>
    <t>Guía del Sistema Mundial Integrado de Sistemas de Observación de la OMM</t>
  </si>
  <si>
    <t>Directrices sobre mejores prácticas para el rescate de datos climáticos</t>
  </si>
  <si>
    <t>Norma sobre metadatos del Sistema Mundial Integrado de Sistemas de Observación de la OMM</t>
  </si>
  <si>
    <t>Directrices de la Organización Meteorológica Mundial sobre el cálculo de las normales climáticas</t>
  </si>
  <si>
    <t>Some Methods of Climatological Analysis</t>
  </si>
  <si>
    <t>On The Statistical Analysis of Series of Observations</t>
  </si>
  <si>
    <t>Manual del Sistema Mundial de Proceso de Datos y de Predicción</t>
  </si>
  <si>
    <t>Climate Data Management System Specifications</t>
  </si>
  <si>
    <t>Climate Services for Supporting Climate Change Adaptation</t>
  </si>
  <si>
    <t>Guidelines on Quality Management in Climate Services</t>
  </si>
  <si>
    <t>Varias</t>
  </si>
  <si>
    <t>Guía para la aplicación de sistemas de gestión de la calidad para los Servicios Meteorológicos e Hidrológicos Nacionales y otros proveedores de servicios pertinentes</t>
  </si>
  <si>
    <t>Guía para el monitoreo de vertimientos</t>
  </si>
  <si>
    <t>Normas, manuales, metodologías y procedimientos asociados a actividades hidrometeorológicas</t>
  </si>
  <si>
    <t>Manual del observador meteorológico</t>
  </si>
  <si>
    <t>Manual de operaciones de la red hidrometeorológica</t>
  </si>
  <si>
    <t>Por medio de la cual se definen los valores que representan la calidad de los puntos medidos en redes geodésicas y levantamientos geodésicos</t>
  </si>
  <si>
    <t>Por medio de la cual se establecen las especificaciones técnicas mínimas que deben tener los Productos de la cartografía básica oficial de Colombia</t>
  </si>
  <si>
    <t>Por la cual se actualiza el Sistema de Referencia Geocéntrico para Las Américas (SIRGAS)</t>
  </si>
  <si>
    <t>Guía de Instrumentos y Métodos de Observación Meteorológicos</t>
  </si>
  <si>
    <t>Guía de prácticas climatológicas</t>
  </si>
  <si>
    <t>Guía de prácticas hidrológicas. Volumen I Hidrología - De la medición a la información hidrológica. Edición 2008. Actualización 2020</t>
  </si>
  <si>
    <t>Guía de prácticas hidrológicas. Volumen II Hidrología - Gestión de recursos hídricos y aplicación de prácticas hidrológicas. Sexta Edición, 2011</t>
  </si>
  <si>
    <t>Guía del Sistema Mundial de Observación. Edición 2010. Actualización 2017</t>
  </si>
  <si>
    <t>Normas asociadas a metodologías para actividades hidrometeorológicas</t>
  </si>
  <si>
    <t>Metadatos para Información Geográfica, ISO - International Organization for Standardization. Descrito en la NS-030 de la EAAB</t>
  </si>
  <si>
    <t>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</t>
  </si>
  <si>
    <t>[IDEAM](http://www.ideam.gov.co/)</t>
  </si>
  <si>
    <t>[:bookmark_tabs:](IDEAM.GuiaMonitoreoVertimiento.pdf)</t>
  </si>
  <si>
    <t>[:bookmark_tabs:](IDEAM.ProtocoloMonitoreoSeguimientoAgua.2007.pdf)</t>
  </si>
  <si>
    <t>[:bookmark_tabs:](IDEAM.HIMAT.ManualObservadorMeteorologico.1987.pdf)</t>
  </si>
  <si>
    <t>[:bookmark_tabs:](IDEAM.DocumentoMetodologicoVariableMeteorologica.20180516.pdf)</t>
  </si>
  <si>
    <t>[IGAC - Resolución 1562 año 2018](https://www.igac.gov.co/)</t>
  </si>
  <si>
    <t>[:bookmark_tabs:](Resolucion1562de2018.IGAC.pdf)</t>
  </si>
  <si>
    <t>[IGAC - Resolución 471 de 2020](https://www.igac.gov.co/)</t>
  </si>
  <si>
    <t>[:bookmark_tabs:](Resolucion471de2020.IGAC.pdf)</t>
  </si>
  <si>
    <t>[IGAC - Resolución 715 del 2018](https://www.igac.gov.co/)</t>
  </si>
  <si>
    <t>[:bookmark_tabs:](Resolucion715de2018.IGAC.pdf)</t>
  </si>
  <si>
    <t>[OMM-N°0008](https://library.wmo.int/?lvl=notice_display&amp;id=5280)</t>
  </si>
  <si>
    <t>[:bookmark_tabs:](WMO.0008GuiaInstrumentoMetodoObservacionMeteorologico.2019.pdf)</t>
  </si>
  <si>
    <t>[OMM-N°0100](https://library.wmo.int/doc_num.php?explnum_id=10027)</t>
  </si>
  <si>
    <t>[:bookmark_tabs:](WMO.0100.GuiaPracticaClimatologica.2018.pdf)</t>
  </si>
  <si>
    <t>[OMM-N°0168](https://library.wmo.int/doc_num.php?explnum_id=10456)</t>
  </si>
  <si>
    <t>[:bookmark_tabs:](WMO.0168.GuiaPracticaHidrologicaVol1Hidrologia.2008.pdf)</t>
  </si>
  <si>
    <t>[OMM-N°0168](https://library.wmo.int/doc_num.php?explnum_id=10038)</t>
  </si>
  <si>
    <t>[:bookmark_tabs:](WMO.0168.GuiaPracticaHidrologicaVol2Hidrologia.2011.pdf)</t>
  </si>
  <si>
    <t>[OMM-N°0182](https://library.wmo.int/doc_num.php?explnum_id=4712)</t>
  </si>
  <si>
    <t>[:bookmark_tabs:](WMO.0182.VocabularioMeteorologicoInternacional.1992.pdf)</t>
  </si>
  <si>
    <t>[OMM-N°0386](https://library.wmo.int/doc_num.php?explnum_id=10470)</t>
  </si>
  <si>
    <t>[:bookmark_tabs:](WMO.0386.ManualSistemaMundialTelecomunicacion.2020.pdf)</t>
  </si>
  <si>
    <t>[OMM-N°0488](https://library.wmo.int/doc_num.php?explnum_id=5440)</t>
  </si>
  <si>
    <t>[:bookmark_tabs:](WMO.0488.GuiaSistemaMundialObservacion.2017.pdf)</t>
  </si>
  <si>
    <t>[OMM-N°0544](https://wmo.int/wmo-no-544-manual-global-observing-system)</t>
  </si>
  <si>
    <t>[:bookmark_tabs:](WMO.0544.ManualSistemaMundialObservacionVolumen1.2017.pdf)</t>
  </si>
  <si>
    <t>[OMM-N°1061](https://library.wmo.int/doc_num.php?explnum_id=10258)</t>
  </si>
  <si>
    <t>[:bookmark_tabs:](WMO.1061.GuiaSistemaInformacionOMM.2018.pdf)</t>
  </si>
  <si>
    <t>[OMM-N°1091](https://library.wmo.int/doc_num.php?explnum_id=7774)</t>
  </si>
  <si>
    <t>[:bookmark_tabs:](WMO.1091.DirectricesSistemasPrediccionConjuntos.2012.pdf)</t>
  </si>
  <si>
    <t>[OMM-N°1100](https://library.wmo.int/doc_num.php?explnum_id=5742)</t>
  </si>
  <si>
    <t>[:bookmark_tabs:](WMO.1100.GuiaAplicacionSistemasGestionCalidadServicioMeteorologicoHidrologico.2017.pdf)</t>
  </si>
  <si>
    <t>[OMM-N°1160](https://library.wmo.int/doc_num.php?explnum_id=10230)</t>
  </si>
  <si>
    <t>[:bookmark_tabs:](WMO.1160.ManualSistemaIntegradoObservacionOMM.2019.pdf)</t>
  </si>
  <si>
    <t>[OMM-N°1165](https://library.wmo.int/doc_num.php?explnum_id=10042)</t>
  </si>
  <si>
    <t>[:bookmark_tabs:](WMO.1165.GuiaSistemaMundialIntegradoSistemaObservacionOMM.2019.pdf)</t>
  </si>
  <si>
    <t>[OMM-N°1182](https://library.wmo.int/doc_num.php?explnum_id=3529)</t>
  </si>
  <si>
    <t>[:bookmark_tabs:](WMO.1182.DirectrizRescateDatoClimatico.2016.pdf)</t>
  </si>
  <si>
    <t>[OMM-N°1192](https://library.wmo.int/doc_num.php?explnum_id=10163)</t>
  </si>
  <si>
    <t>[:bookmark_tabs:](WMO.1192.NormaMetadatoSistemaMundialIntegradoObservacion.2019)</t>
  </si>
  <si>
    <t>[OMM-N°1203](https://library.wmo.int/doc_num.php?explnum_id=4167)</t>
  </si>
  <si>
    <t>[:bookmark_tabs:](WMO.01203.DirectricezCalculoNormalClimatica.2017.pdf)</t>
  </si>
  <si>
    <t>[WMO-N°0199](https://library.wmo.int/doc_num.php?explnum_id=1961)</t>
  </si>
  <si>
    <t>[:bookmark_tabs:](WMO.0199.SomeMethodsClimatologicalAnalysis.1966.pdf)</t>
  </si>
  <si>
    <t>[WMO-N°0415](https://library.wmo.int/doc_num.php?explnum_id=1065)</t>
  </si>
  <si>
    <t>[:bookmark_tabs:](WMO.0415.StatisticalAnalysisSerieObservation.1990.pdf)</t>
  </si>
  <si>
    <t>[WMO-N°0485](https://library.wmo.int/doc_num.php?explnum_id=10281)</t>
  </si>
  <si>
    <t>[:bookmark_tabs:](WMO.0485.ManualSistemaMundialProcesoDatosPrediccion.2019.pdf)</t>
  </si>
  <si>
    <t>[WMO-N°1131](https://library.wmo.int/doc_num.php?explnum_id=7867)</t>
  </si>
  <si>
    <t>[:bookmark_tabs:](WMO.1131.ClimateDataManagementSystem.2014.pdf)</t>
  </si>
  <si>
    <t>[WMO-N°1170](https://library.wmo.int/doc_num.php?explnum_id=7936)</t>
  </si>
  <si>
    <t>[:bookmark_tabs:](WMO.1170.ClimateServiceForSupportingClimateChangeAdaptation.2016.pdf)</t>
  </si>
  <si>
    <t>[WMO-N°1221](https://library.wmo.int/doc_num.php?explnum_id=5174)</t>
  </si>
  <si>
    <t>[:bookmark_tabs:](WMO.1221.GuidelinesQualityManagementClimateServices.2018.pdf)</t>
  </si>
  <si>
    <t>[WMO](https://public.wmo.int/)</t>
  </si>
  <si>
    <t>[ISO-19115](https://www.iso.org/standard/26020.html)</t>
  </si>
  <si>
    <t>[ISO-IEC-11179 Partes 1 a 7](https://www.iso.org/standard/61932.html
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</si>
</sst>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Segoe UI Light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  <xf numFmtId="0" fontId="20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  <xf numFmtId="0" fontId="20" fillId="0" borderId="2" xfId="43" applyBorder="1" applyAlignment="1">
      <alignment horizontal="left" vertical="top" wrapText="1"/>
    </xf>
    <xf numFmtId="0" fontId="20" fillId="0" borderId="2" xfId="43" applyBorder="1" applyAlignment="1">
      <alignment horizontal="left" vertical="top"/>
    </xf>
  </cellXfs>
  <cellStyles count="44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2:U103"/>
  <sheetViews>
    <sheetView showGridLines="0" tabSelected="1" topLeftCell="P1" zoomScale="85" zoomScaleNormal="85" workbookViewId="0">
      <pane ySplit="4" topLeftCell="A19" activePane="bottomLeft" state="frozen"/>
      <selection pane="bottomLeft" activeCell="R3" sqref="R3:R38"/>
    </sheetView>
  </sheetViews>
  <sheetFormatPr defaultColWidth="9.140625" defaultRowHeight="15.4" x14ac:dyDescent="0.55000000000000004"/>
  <cols>
    <col min="1" max="1" width="2.7109375" style="1" customWidth="1"/>
    <col min="2" max="2" width="38" style="1" customWidth="1"/>
    <col min="3" max="3" width="104.28515625" style="1" bestFit="1" customWidth="1"/>
    <col min="4" max="4" width="24.5703125" style="1" customWidth="1"/>
    <col min="5" max="5" width="52.640625" style="1" bestFit="1" customWidth="1"/>
    <col min="6" max="6" width="54.85546875" style="1" customWidth="1"/>
    <col min="7" max="7" width="18.0703125" style="1" customWidth="1"/>
    <col min="8" max="14" width="3.42578125" style="1" customWidth="1"/>
    <col min="15" max="15" width="2.7109375" style="1" customWidth="1"/>
    <col min="16" max="19" width="74.140625" style="1" customWidth="1"/>
    <col min="20" max="20" width="79.35546875" style="1" customWidth="1"/>
    <col min="21" max="21" width="74.140625" style="1" customWidth="1"/>
    <col min="22" max="16384" width="9.140625" style="1"/>
  </cols>
  <sheetData>
    <row r="2" spans="2:21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7</v>
      </c>
      <c r="U2" s="3" t="s">
        <v>6</v>
      </c>
    </row>
    <row r="3" spans="2:21" x14ac:dyDescent="0.55000000000000004">
      <c r="B3" s="4" t="s">
        <v>8</v>
      </c>
      <c r="C3" s="4" t="s">
        <v>9</v>
      </c>
      <c r="D3" s="4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4"/>
      <c r="N3" s="4"/>
      <c r="O3" s="4"/>
      <c r="P3" s="5" t="str">
        <f>_xlfn.CONCAT("| ",B3," | ",C3," |")</f>
        <v>| Referencia | Alcance |</v>
      </c>
      <c r="Q3" s="5" t="str">
        <f>_xlfn.CONCAT("| ",B3," | ",C3," | ",D3," |")</f>
        <v>| Referencia | Alcance | Versión |</v>
      </c>
      <c r="R3" s="5" t="str">
        <f>_xlfn.CONCAT("| ",B3," | ",C3," | ",D3," | ",E3," |")</f>
        <v>| Referencia | Alcance | Versión | Archivo local |</v>
      </c>
      <c r="S3" s="5" t="str">
        <f>_xlfn.CONCAT("| ",B3," | ",C3," | ",D3," | ",E3," |",F3," |")</f>
        <v>| Referencia | Alcance | Versión | Archivo local | |</v>
      </c>
      <c r="T3" s="5" t="str">
        <f>_xlfn.CONCAT("| ",B3," | ",C3," | ",D3," | ",E3," |",F3," |",G3," |",H3," |",I3," |",J3," |",K3," |")</f>
        <v>| Referencia | Alcance | Versión | Archivo local | | | | | | |</v>
      </c>
      <c r="U3" s="5" t="str">
        <f>_xlfn.CONCAT("| ",B3," | ",C3," | ",D3," | ",E3," |",F3," |",G3," |",H3," |",I3," |",J3," |",K3," |",L3," |",M3," |",N3," |")</f>
        <v>| Referencia | Alcance | Versión | Archivo local | | | | | | | | | |</v>
      </c>
    </row>
    <row r="4" spans="2:21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0">_xlfn.CONCAT("| ",B4," | ",C4," | ",D4," | ",E4," |",F4," |",G4," |",H4," |",I4," |",J4," |",K4," |")</f>
        <v>| --- | --- | --- | --- |--- |--- |--- |--- |--- |--- |</v>
      </c>
      <c r="U4" s="5" t="str">
        <f>_xlfn.CONCAT("| ",B4," | ",C4," | ",D4," | ",E4," |",F4," |",G4," |",H4," |",I4," |",J4," |",K4," |",L4," |",M4," |",N4," |")</f>
        <v>| --- | --- | --- | --- |--- |--- |--- |--- |--- |--- |--- |--- |--- |</v>
      </c>
    </row>
    <row r="5" spans="2:21" x14ac:dyDescent="0.55000000000000004">
      <c r="B5" s="5" t="s">
        <v>46</v>
      </c>
      <c r="C5" s="5" t="s">
        <v>31</v>
      </c>
      <c r="D5" s="5"/>
      <c r="E5" s="5" t="s">
        <v>47</v>
      </c>
      <c r="F5" s="5"/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[IDEAM](http://www.ideam.gov.co/) | Guía para el monitoreo de vertimientos |</v>
      </c>
      <c r="Q5" s="5" t="str">
        <f t="shared" ref="Q5:Q24" si="1">_xlfn.CONCAT("| ",B5," | ",C5," | ",D5," |")</f>
        <v>| [IDEAM](http://www.ideam.gov.co/) | Guía para el monitoreo de vertimientos |  |</v>
      </c>
      <c r="R5" s="5" t="str">
        <f>_xlfn.CONCAT("| ",B5," | ",C5," | ",D5," | ",E5," |")</f>
        <v>| [IDEAM](http://www.ideam.gov.co/) | Guía para el monitoreo de vertimientos |  | [:bookmark_tabs:](IDEAM.GuiaMonitoreoVertimiento.pdf) |</v>
      </c>
      <c r="S5" s="5" t="str">
        <f>_xlfn.CONCAT("| ",B5," | ",C5," | ",D5," | ",E5," |",F5," |")</f>
        <v>| [IDEAM](http://www.ideam.gov.co/) | Guía para el monitoreo de vertimientos |  | [:bookmark_tabs:](IDEAM.GuiaMonitoreoVertimiento.pdf) | |</v>
      </c>
      <c r="T5" s="5" t="str">
        <f t="shared" si="0"/>
        <v>| [IDEAM](http://www.ideam.gov.co/) | Guía para el monitoreo de vertimientos |  | [:bookmark_tabs:](IDEAM.GuiaMonitoreoVertimiento.pdf) | | | | | | |</v>
      </c>
      <c r="U5" s="5" t="str">
        <f>_xlfn.CONCAT("| ",B5," | ",C5," | ",D5," | ",E5," |",F5," |",G5," |",H5," |",I5," |",J5," |",K5," |",L5," |",M5," |",N5," |")</f>
        <v>| [IDEAM](http://www.ideam.gov.co/) | Guía para el monitoreo de vertimientos |  | [:bookmark_tabs:](IDEAM.GuiaMonitoreoVertimiento.pdf) | | | | | | | | | |</v>
      </c>
    </row>
    <row r="6" spans="2:21" ht="30.75" x14ac:dyDescent="0.55000000000000004">
      <c r="B6" s="5" t="s">
        <v>46</v>
      </c>
      <c r="C6" s="5" t="s">
        <v>12</v>
      </c>
      <c r="D6" s="5">
        <v>2007</v>
      </c>
      <c r="E6" s="5" t="s">
        <v>48</v>
      </c>
      <c r="F6" s="5"/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24" si="2">_xlfn.CONCAT("| ",B6," | ",C6," |")</f>
        <v>| [IDEAM](http://www.ideam.gov.co/) | Protocolo para el monitoreo y seguimiento del agua |</v>
      </c>
      <c r="Q6" s="5" t="str">
        <f t="shared" si="1"/>
        <v>| [IDEAM](http://www.ideam.gov.co/) | Protocolo para el monitoreo y seguimiento del agua | 2007 |</v>
      </c>
      <c r="R6" s="5" t="str">
        <f t="shared" ref="R6:R67" si="3">_xlfn.CONCAT("| ",B6," | ",C6," | ",D6," | ",E6," |")</f>
        <v>| [IDEAM](http://www.ideam.gov.co/) | Protocolo para el monitoreo y seguimiento del agua | 2007 | [:bookmark_tabs:](IDEAM.ProtocoloMonitoreoSeguimientoAgua.2007.pdf) |</v>
      </c>
      <c r="S6" s="5" t="str">
        <f t="shared" ref="S6:S69" si="4">_xlfn.CONCAT("| ",B6," | ",C6," | ",D6," | ",E6," |",F6," |")</f>
        <v>| [IDEAM](http://www.ideam.gov.co/) | Protocolo para el monitoreo y seguimiento del agua | 2007 | [:bookmark_tabs:](IDEAM.ProtocoloMonitoreoSeguimientoAgua.2007.pdf) | |</v>
      </c>
      <c r="T6" s="5" t="str">
        <f t="shared" si="0"/>
        <v>| [IDEAM](http://www.ideam.gov.co/) | Protocolo para el monitoreo y seguimiento del agua | 2007 | [:bookmark_tabs:](IDEAM.ProtocoloMonitoreoSeguimientoAgua.2007.pdf) | | | | | | |</v>
      </c>
      <c r="U6" s="5" t="str">
        <f t="shared" ref="U6:U69" si="5">_xlfn.CONCAT("| ",B6," | ",C6," | ",D6," | ",E6," |",F6," |",G6," |",H6," |",I6," |",J6," |",K6," |",L6," |",M6," |",N6," |")</f>
        <v>| [IDEAM](http://www.ideam.gov.co/) | Protocolo para el monitoreo y seguimiento del agua | 2007 | [:bookmark_tabs:](IDEAM.ProtocoloMonitoreoSeguimientoAgua.2007.pdf) | | | | | | | | | |</v>
      </c>
    </row>
    <row r="7" spans="2:21" x14ac:dyDescent="0.55000000000000004">
      <c r="B7" s="5" t="s">
        <v>46</v>
      </c>
      <c r="C7" s="5" t="s">
        <v>32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 t="str">
        <f t="shared" si="2"/>
        <v>| [IDEAM](http://www.ideam.gov.co/) | Normas, manuales, metodologías y procedimientos asociados a actividades hidrometeorológicas |</v>
      </c>
      <c r="Q7" s="5" t="str">
        <f t="shared" si="1"/>
        <v>| [IDEAM](http://www.ideam.gov.co/) | Normas, manuales, metodologías y procedimientos asociados a actividades hidrometeorológicas |  |</v>
      </c>
      <c r="R7" s="5" t="str">
        <f t="shared" si="3"/>
        <v>| [IDEAM](http://www.ideam.gov.co/) | Normas, manuales, metodologías y procedimientos asociados a actividades hidrometeorológicas |  |  |</v>
      </c>
      <c r="S7" s="5" t="str">
        <f t="shared" si="4"/>
        <v>| [IDEAM](http://www.ideam.gov.co/) | Normas, manuales, metodologías y procedimientos asociados a actividades hidrometeorológicas |  |  | |</v>
      </c>
      <c r="T7" s="5" t="str">
        <f t="shared" si="0"/>
        <v>| [IDEAM](http://www.ideam.gov.co/) | Normas, manuales, metodologías y procedimientos asociados a actividades hidrometeorológicas |  |  | | | | | | |</v>
      </c>
      <c r="U7" s="5" t="str">
        <f t="shared" si="5"/>
        <v>| [IDEAM](http://www.ideam.gov.co/) | Normas, manuales, metodologías y procedimientos asociados a actividades hidrometeorológicas |  |  | | | | | | | | | |</v>
      </c>
    </row>
    <row r="8" spans="2:21" ht="30.75" x14ac:dyDescent="0.55000000000000004">
      <c r="B8" s="5" t="s">
        <v>46</v>
      </c>
      <c r="C8" s="5" t="s">
        <v>33</v>
      </c>
      <c r="D8" s="5">
        <v>1987</v>
      </c>
      <c r="E8" s="5" t="s">
        <v>49</v>
      </c>
      <c r="F8" s="5"/>
      <c r="G8" s="5"/>
      <c r="H8" s="5"/>
      <c r="I8" s="5"/>
      <c r="J8" s="5"/>
      <c r="K8" s="5"/>
      <c r="L8" s="5"/>
      <c r="M8" s="5"/>
      <c r="N8" s="5"/>
      <c r="O8" s="5"/>
      <c r="P8" s="5" t="str">
        <f t="shared" si="2"/>
        <v>| [IDEAM](http://www.ideam.gov.co/) | Manual del observador meteorológico |</v>
      </c>
      <c r="Q8" s="5" t="str">
        <f t="shared" si="1"/>
        <v>| [IDEAM](http://www.ideam.gov.co/) | Manual del observador meteorológico | 1987 |</v>
      </c>
      <c r="R8" s="5" t="str">
        <f t="shared" si="3"/>
        <v>| [IDEAM](http://www.ideam.gov.co/) | Manual del observador meteorológico | 1987 | [:bookmark_tabs:](IDEAM.HIMAT.ManualObservadorMeteorologico.1987.pdf) |</v>
      </c>
      <c r="S8" s="5" t="str">
        <f t="shared" si="4"/>
        <v>| [IDEAM](http://www.ideam.gov.co/) | Manual del observador meteorológico | 1987 | [:bookmark_tabs:](IDEAM.HIMAT.ManualObservadorMeteorologico.1987.pdf) | |</v>
      </c>
      <c r="T8" s="5" t="str">
        <f t="shared" si="0"/>
        <v>| [IDEAM](http://www.ideam.gov.co/) | Manual del observador meteorológico | 1987 | [:bookmark_tabs:](IDEAM.HIMAT.ManualObservadorMeteorologico.1987.pdf) | | | | | | |</v>
      </c>
      <c r="U8" s="5" t="str">
        <f t="shared" si="5"/>
        <v>| [IDEAM](http://www.ideam.gov.co/) | Manual del observador meteorológico | 1987 | [:bookmark_tabs:](IDEAM.HIMAT.ManualObservadorMeteorologico.1987.pdf) | | | | | | | | | |</v>
      </c>
    </row>
    <row r="9" spans="2:21" x14ac:dyDescent="0.55000000000000004">
      <c r="B9" s="5" t="s">
        <v>46</v>
      </c>
      <c r="C9" s="5" t="s">
        <v>34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 t="str">
        <f t="shared" si="2"/>
        <v>| [IDEAM](http://www.ideam.gov.co/) | Manual de operaciones de la red hidrometeorológica |</v>
      </c>
      <c r="Q9" s="5" t="str">
        <f t="shared" si="1"/>
        <v>| [IDEAM](http://www.ideam.gov.co/) | Manual de operaciones de la red hidrometeorológica |  |</v>
      </c>
      <c r="R9" s="5" t="str">
        <f t="shared" si="3"/>
        <v>| [IDEAM](http://www.ideam.gov.co/) | Manual de operaciones de la red hidrometeorológica |  |  |</v>
      </c>
      <c r="S9" s="5" t="str">
        <f t="shared" si="4"/>
        <v>| [IDEAM](http://www.ideam.gov.co/) | Manual de operaciones de la red hidrometeorológica |  |  | |</v>
      </c>
      <c r="T9" s="5" t="str">
        <f t="shared" si="0"/>
        <v>| [IDEAM](http://www.ideam.gov.co/) | Manual de operaciones de la red hidrometeorológica |  |  | | | | | | |</v>
      </c>
      <c r="U9" s="5" t="str">
        <f t="shared" si="5"/>
        <v>| [IDEAM](http://www.ideam.gov.co/) | Manual de operaciones de la red hidrometeorológica |  |  | | | | | | | | | |</v>
      </c>
    </row>
    <row r="10" spans="2:21" ht="30.75" x14ac:dyDescent="0.55000000000000004">
      <c r="B10" s="5" t="s">
        <v>46</v>
      </c>
      <c r="C10" s="5"/>
      <c r="D10" s="5">
        <v>2018</v>
      </c>
      <c r="E10" s="9" t="s">
        <v>50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2"/>
        <v>| [IDEAM](http://www.ideam.gov.co/) |  |</v>
      </c>
      <c r="Q10" s="5" t="str">
        <f t="shared" si="1"/>
        <v>| [IDEAM](http://www.ideam.gov.co/) |  | 2018 |</v>
      </c>
      <c r="R10" s="5" t="str">
        <f t="shared" si="3"/>
        <v>| [IDEAM](http://www.ideam.gov.co/) |  | 2018 | [:bookmark_tabs:](IDEAM.DocumentoMetodologicoVariableMeteorologica.20180516.pdf) |</v>
      </c>
      <c r="S10" s="5" t="str">
        <f t="shared" si="4"/>
        <v>| [IDEAM](http://www.ideam.gov.co/) |  | 2018 | [:bookmark_tabs:](IDEAM.DocumentoMetodologicoVariableMeteorologica.20180516.pdf) | |</v>
      </c>
      <c r="T10" s="5" t="str">
        <f t="shared" si="0"/>
        <v>| [IDEAM](http://www.ideam.gov.co/) |  | 2018 | [:bookmark_tabs:](IDEAM.DocumentoMetodologicoVariableMeteorologica.20180516.pdf) | | | | | | |</v>
      </c>
      <c r="U10" s="5" t="str">
        <f t="shared" si="5"/>
        <v>| [IDEAM](http://www.ideam.gov.co/) |  | 2018 | [:bookmark_tabs:](IDEAM.DocumentoMetodologicoVariableMeteorologica.20180516.pdf) | | | | | | | | | |</v>
      </c>
    </row>
    <row r="11" spans="2:21" ht="30.75" x14ac:dyDescent="0.55000000000000004">
      <c r="B11" s="5" t="s">
        <v>51</v>
      </c>
      <c r="C11" s="5" t="s">
        <v>35</v>
      </c>
      <c r="D11" s="5">
        <v>2018</v>
      </c>
      <c r="E11" s="5" t="s">
        <v>52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2"/>
        <v>| [IGAC - Resolución 1562 año 2018](https://www.igac.gov.co/) | Por medio de la cual se definen los valores que representan la calidad de los puntos medidos en redes geodésicas y levantamientos geodésicos |</v>
      </c>
      <c r="Q11" s="5" t="str">
        <f t="shared" si="1"/>
        <v>| [IGAC - Resolución 1562 año 2018](https://www.igac.gov.co/) | Por medio de la cual se definen los valores que representan la calidad de los puntos medidos en redes geodésicas y levantamientos geodésicos | 2018 |</v>
      </c>
      <c r="R11" s="5" t="str">
        <f t="shared" si="3"/>
        <v>| [IGAC - Resolución 1562 año 2018](https://www.igac.gov.co/) | Por medio de la cual se definen los valores que representan la calidad de los puntos medidos en redes geodésicas y levantamientos geodésicos | 2018 | [:bookmark_tabs:](Resolucion1562de2018.IGAC.pdf) |</v>
      </c>
      <c r="S11" s="5" t="str">
        <f t="shared" si="4"/>
        <v>| [IGAC - Resolución 1562 año 2018](https://www.igac.gov.co/) | Por medio de la cual se definen los valores que representan la calidad de los puntos medidos en redes geodésicas y levantamientos geodésicos | 2018 | [:bookmark_tabs:](Resolucion1562de2018.IGAC.pdf) | |</v>
      </c>
      <c r="T11" s="5" t="str">
        <f t="shared" si="0"/>
        <v>| [IGAC - Resolución 1562 año 2018](https://www.igac.gov.co/) | Por medio de la cual se definen los valores que representan la calidad de los puntos medidos en redes geodésicas y levantamientos geodésicos | 2018 | [:bookmark_tabs:](Resolucion1562de2018.IGAC.pdf) | | | | | | |</v>
      </c>
      <c r="U11" s="5" t="str">
        <f t="shared" si="5"/>
        <v>| [IGAC - Resolución 1562 año 2018](https://www.igac.gov.co/) | Por medio de la cual se definen los valores que representan la calidad de los puntos medidos en redes geodésicas y levantamientos geodésicos | 2018 | [:bookmark_tabs:](Resolucion1562de2018.IGAC.pdf) | | | | | | | | | |</v>
      </c>
    </row>
    <row r="12" spans="2:21" ht="30.75" x14ac:dyDescent="0.55000000000000004">
      <c r="B12" s="5" t="s">
        <v>53</v>
      </c>
      <c r="C12" s="5" t="s">
        <v>36</v>
      </c>
      <c r="D12" s="5">
        <v>2020</v>
      </c>
      <c r="E12" s="5" t="s">
        <v>54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2"/>
        <v>| [IGAC - Resolución 471 de 2020](https://www.igac.gov.co/) | Por medio de la cual se establecen las especificaciones técnicas mínimas que deben tener los Productos de la cartografía básica oficial de Colombia |</v>
      </c>
      <c r="Q12" s="5" t="str">
        <f t="shared" si="1"/>
        <v>| [IGAC - Resolución 471 de 2020](https://www.igac.gov.co/) | Por medio de la cual se establecen las especificaciones técnicas mínimas que deben tener los Productos de la cartografía básica oficial de Colombia | 2020 |</v>
      </c>
      <c r="R12" s="5" t="str">
        <f t="shared" si="3"/>
        <v>| [IGAC - Resolución 471 de 2020](https://www.igac.gov.co/) | Por medio de la cual se establecen las especificaciones técnicas mínimas que deben tener los Productos de la cartografía básica oficial de Colombia | 2020 | [:bookmark_tabs:](Resolucion471de2020.IGAC.pdf) |</v>
      </c>
      <c r="S12" s="5" t="str">
        <f t="shared" si="4"/>
        <v>| [IGAC - Resolución 471 de 2020](https://www.igac.gov.co/) | Por medio de la cual se establecen las especificaciones técnicas mínimas que deben tener los Productos de la cartografía básica oficial de Colombia | 2020 | [:bookmark_tabs:](Resolucion471de2020.IGAC.pdf) | |</v>
      </c>
      <c r="T12" s="5" t="str">
        <f t="shared" si="0"/>
        <v>| [IGAC - Resolución 471 de 2020](https://www.igac.gov.co/) | Por medio de la cual se establecen las especificaciones técnicas mínimas que deben tener los Productos de la cartografía básica oficial de Colombia | 2020 | [:bookmark_tabs:](Resolucion471de2020.IGAC.pdf) | | | | | | |</v>
      </c>
      <c r="U12" s="5" t="str">
        <f t="shared" si="5"/>
        <v>| [IGAC - Resolución 471 de 2020](https://www.igac.gov.co/) | Por medio de la cual se establecen las especificaciones técnicas mínimas que deben tener los Productos de la cartografía básica oficial de Colombia | 2020 | [:bookmark_tabs:](Resolucion471de2020.IGAC.pdf) | | | | | | | | | |</v>
      </c>
    </row>
    <row r="13" spans="2:21" ht="30.75" x14ac:dyDescent="0.55000000000000004">
      <c r="B13" s="5" t="s">
        <v>55</v>
      </c>
      <c r="C13" s="5" t="s">
        <v>37</v>
      </c>
      <c r="D13" s="5">
        <v>2018</v>
      </c>
      <c r="E13" s="5" t="s">
        <v>56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2"/>
        <v>| [IGAC - Resolución 715 del 2018](https://www.igac.gov.co/) | Por la cual se actualiza el Sistema de Referencia Geocéntrico para Las Américas (SIRGAS) |</v>
      </c>
      <c r="Q13" s="5" t="str">
        <f t="shared" si="1"/>
        <v>| [IGAC - Resolución 715 del 2018](https://www.igac.gov.co/) | Por la cual se actualiza el Sistema de Referencia Geocéntrico para Las Américas (SIRGAS) | 2018 |</v>
      </c>
      <c r="R13" s="5" t="str">
        <f t="shared" si="3"/>
        <v>| [IGAC - Resolución 715 del 2018](https://www.igac.gov.co/) | Por la cual se actualiza el Sistema de Referencia Geocéntrico para Las Américas (SIRGAS) | 2018 | [:bookmark_tabs:](Resolucion715de2018.IGAC.pdf) |</v>
      </c>
      <c r="S13" s="5" t="str">
        <f t="shared" si="4"/>
        <v>| [IGAC - Resolución 715 del 2018](https://www.igac.gov.co/) | Por la cual se actualiza el Sistema de Referencia Geocéntrico para Las Américas (SIRGAS) | 2018 | [:bookmark_tabs:](Resolucion715de2018.IGAC.pdf) | |</v>
      </c>
      <c r="T13" s="5" t="str">
        <f t="shared" si="0"/>
        <v>| [IGAC - Resolución 715 del 2018](https://www.igac.gov.co/) | Por la cual se actualiza el Sistema de Referencia Geocéntrico para Las Américas (SIRGAS) | 2018 | [:bookmark_tabs:](Resolucion715de2018.IGAC.pdf) | | | | | | |</v>
      </c>
      <c r="U13" s="5" t="str">
        <f t="shared" si="5"/>
        <v>| [IGAC - Resolución 715 del 2018](https://www.igac.gov.co/) | Por la cual se actualiza el Sistema de Referencia Geocéntrico para Las Américas (SIRGAS) | 2018 | [:bookmark_tabs:](Resolucion715de2018.IGAC.pdf) | | | | | | | | | |</v>
      </c>
    </row>
    <row r="14" spans="2:21" ht="46.15" x14ac:dyDescent="0.55000000000000004">
      <c r="B14" s="5" t="s">
        <v>57</v>
      </c>
      <c r="C14" s="5" t="s">
        <v>38</v>
      </c>
      <c r="D14" s="5">
        <v>2019</v>
      </c>
      <c r="E14" s="5" t="s">
        <v>58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2"/>
        <v>| [OMM-N°0008](https://library.wmo.int/?lvl=notice_display&amp;id=5280) | Guía de Instrumentos y Métodos de Observación Meteorológicos |</v>
      </c>
      <c r="Q14" s="5" t="str">
        <f t="shared" si="1"/>
        <v>| [OMM-N°0008](https://library.wmo.int/?lvl=notice_display&amp;id=5280) | Guía de Instrumentos y Métodos de Observación Meteorológicos | 2019 |</v>
      </c>
      <c r="R14" s="5" t="str">
        <f t="shared" si="3"/>
        <v>| [OMM-N°0008](https://library.wmo.int/?lvl=notice_display&amp;id=5280) | Guía de Instrumentos y Métodos de Observación Meteorológicos | 2019 | [:bookmark_tabs:](WMO.0008GuiaInstrumentoMetodoObservacionMeteorologico.2019.pdf) |</v>
      </c>
      <c r="S14" s="5" t="str">
        <f t="shared" si="4"/>
        <v>| [OMM-N°0008](https://library.wmo.int/?lvl=notice_display&amp;id=5280) | Guía de Instrumentos y Métodos de Observación Meteorológicos | 2019 | [:bookmark_tabs:](WMO.0008GuiaInstrumentoMetodoObservacionMeteorologico.2019.pdf) | |</v>
      </c>
      <c r="T14" s="5" t="str">
        <f t="shared" si="0"/>
        <v>| [OMM-N°0008](https://library.wmo.int/?lvl=notice_display&amp;id=5280) | Guía de Instrumentos y Métodos de Observación Meteorológicos | 2019 | [:bookmark_tabs:](WMO.0008GuiaInstrumentoMetodoObservacionMeteorologico.2019.pdf) | | | | | | |</v>
      </c>
      <c r="U14" s="5" t="str">
        <f t="shared" si="5"/>
        <v>| [OMM-N°0008](https://library.wmo.int/?lvl=notice_display&amp;id=5280) | Guía de Instrumentos y Métodos de Observación Meteorológicos | 2019 | [:bookmark_tabs:](WMO.0008GuiaInstrumentoMetodoObservacionMeteorologico.2019.pdf) | | | | | | | | | |</v>
      </c>
    </row>
    <row r="15" spans="2:21" ht="46.15" x14ac:dyDescent="0.55000000000000004">
      <c r="B15" s="5" t="s">
        <v>59</v>
      </c>
      <c r="C15" s="5" t="s">
        <v>39</v>
      </c>
      <c r="D15" s="5">
        <v>2018</v>
      </c>
      <c r="E15" s="5" t="s">
        <v>60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 t="str">
        <f t="shared" si="2"/>
        <v>| [OMM-N°0100](https://library.wmo.int/doc_num.php?explnum_id=10027) | Guía de prácticas climatológicas |</v>
      </c>
      <c r="Q15" s="5" t="str">
        <f t="shared" si="1"/>
        <v>| [OMM-N°0100](https://library.wmo.int/doc_num.php?explnum_id=10027) | Guía de prácticas climatológicas | 2018 |</v>
      </c>
      <c r="R15" s="5" t="str">
        <f t="shared" si="3"/>
        <v>| [OMM-N°0100](https://library.wmo.int/doc_num.php?explnum_id=10027) | Guía de prácticas climatológicas | 2018 | [:bookmark_tabs:](WMO.0100.GuiaPracticaClimatologica.2018.pdf) |</v>
      </c>
      <c r="S15" s="5" t="str">
        <f t="shared" si="4"/>
        <v>| [OMM-N°0100](https://library.wmo.int/doc_num.php?explnum_id=10027) | Guía de prácticas climatológicas | 2018 | [:bookmark_tabs:](WMO.0100.GuiaPracticaClimatologica.2018.pdf) | |</v>
      </c>
      <c r="T15" s="5" t="str">
        <f t="shared" si="0"/>
        <v>| [OMM-N°0100](https://library.wmo.int/doc_num.php?explnum_id=10027) | Guía de prácticas climatológicas | 2018 | [:bookmark_tabs:](WMO.0100.GuiaPracticaClimatologica.2018.pdf) | | | | | | |</v>
      </c>
      <c r="U15" s="5" t="str">
        <f t="shared" si="5"/>
        <v>| [OMM-N°0100](https://library.wmo.int/doc_num.php?explnum_id=10027) | Guía de prácticas climatológicas | 2018 | [:bookmark_tabs:](WMO.0100.GuiaPracticaClimatologica.2018.pdf) | | | | | | | | | |</v>
      </c>
    </row>
    <row r="16" spans="2:21" ht="46.15" x14ac:dyDescent="0.55000000000000004">
      <c r="B16" s="5" t="s">
        <v>61</v>
      </c>
      <c r="C16" s="5" t="s">
        <v>40</v>
      </c>
      <c r="D16" s="5">
        <v>2008</v>
      </c>
      <c r="E16" s="5" t="s">
        <v>62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 t="str">
        <f t="shared" si="2"/>
        <v>| [OMM-N°0168](https://library.wmo.int/doc_num.php?explnum_id=10456) | Guía de prácticas hidrológicas. Volumen I Hidrología - De la medición a la información hidrológica. Edición 2008. Actualización 2020 |</v>
      </c>
      <c r="Q16" s="5" t="str">
        <f t="shared" si="1"/>
        <v>| [OMM-N°0168](https://library.wmo.int/doc_num.php?explnum_id=10456) | Guía de prácticas hidrológicas. Volumen I Hidrología - De la medición a la información hidrológica. Edición 2008. Actualización 2020 | 2008 |</v>
      </c>
      <c r="R16" s="5" t="str">
        <f t="shared" si="3"/>
        <v>| [OMM-N°0168](https://library.wmo.int/doc_num.php?explnum_id=10456) | Guía de prácticas hidrológicas. Volumen I Hidrología - De la medición a la información hidrológica. Edición 2008. Actualización 2020 | 2008 | [:bookmark_tabs:](WMO.0168.GuiaPracticaHidrologicaVol1Hidrologia.2008.pdf) |</v>
      </c>
      <c r="S16" s="5" t="str">
        <f t="shared" si="4"/>
        <v>| [OMM-N°0168](https://library.wmo.int/doc_num.php?explnum_id=10456) | Guía de prácticas hidrológicas. Volumen I Hidrología - De la medición a la información hidrológica. Edición 2008. Actualización 2020 | 2008 | [:bookmark_tabs:](WMO.0168.GuiaPracticaHidrologicaVol1Hidrologia.2008.pdf) | |</v>
      </c>
      <c r="T16" s="5" t="str">
        <f t="shared" si="0"/>
        <v>| [OMM-N°0168](https://library.wmo.int/doc_num.php?explnum_id=10456) | Guía de prácticas hidrológicas. Volumen I Hidrología - De la medición a la información hidrológica. Edición 2008. Actualización 2020 | 2008 | [:bookmark_tabs:](WMO.0168.GuiaPracticaHidrologicaVol1Hidrologia.2008.pdf) | | | | | | |</v>
      </c>
      <c r="U16" s="5" t="str">
        <f t="shared" si="5"/>
        <v>| [OMM-N°0168](https://library.wmo.int/doc_num.php?explnum_id=10456) | Guía de prácticas hidrológicas. Volumen I Hidrología - De la medición a la información hidrológica. Edición 2008. Actualización 2020 | 2008 | [:bookmark_tabs:](WMO.0168.GuiaPracticaHidrologicaVol1Hidrologia.2008.pdf) | | | | | | | | | |</v>
      </c>
    </row>
    <row r="17" spans="2:21" ht="46.15" x14ac:dyDescent="0.55000000000000004">
      <c r="B17" s="5" t="s">
        <v>63</v>
      </c>
      <c r="C17" s="5" t="s">
        <v>41</v>
      </c>
      <c r="D17" s="5">
        <v>2011</v>
      </c>
      <c r="E17" s="5" t="s">
        <v>64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 t="str">
        <f t="shared" si="2"/>
        <v>| [OMM-N°0168](https://library.wmo.int/doc_num.php?explnum_id=10038) | Guía de prácticas hidrológicas. Volumen II Hidrología - Gestión de recursos hídricos y aplicación de prácticas hidrológicas. Sexta Edición, 2011 |</v>
      </c>
      <c r="Q17" s="5" t="str">
        <f t="shared" si="1"/>
        <v>| [OMM-N°0168](https://library.wmo.int/doc_num.php?explnum_id=10038) | Guía de prácticas hidrológicas. Volumen II Hidrología - Gestión de recursos hídricos y aplicación de prácticas hidrológicas. Sexta Edición, 2011 | 2011 |</v>
      </c>
      <c r="R17" s="5" t="str">
        <f t="shared" si="3"/>
        <v>| [OMM-N°0168](https://library.wmo.int/doc_num.php?explnum_id=10038) | Guía de prácticas hidrológicas. Volumen II Hidrología - Gestión de recursos hídricos y aplicación de prácticas hidrológicas. Sexta Edición, 2011 | 2011 | [:bookmark_tabs:](WMO.0168.GuiaPracticaHidrologicaVol2Hidrologia.2011.pdf) |</v>
      </c>
      <c r="S17" s="5" t="str">
        <f t="shared" si="4"/>
        <v>| [OMM-N°0168](https://library.wmo.int/doc_num.php?explnum_id=10038) | Guía de prácticas hidrológicas. Volumen II Hidrología - Gestión de recursos hídricos y aplicación de prácticas hidrológicas. Sexta Edición, 2011 | 2011 | [:bookmark_tabs:](WMO.0168.GuiaPracticaHidrologicaVol2Hidrologia.2011.pdf) | |</v>
      </c>
      <c r="T17" s="5" t="str">
        <f t="shared" si="0"/>
        <v>| [OMM-N°0168](https://library.wmo.int/doc_num.php?explnum_id=10038) | Guía de prácticas hidrológicas. Volumen II Hidrología - Gestión de recursos hídricos y aplicación de prácticas hidrológicas. Sexta Edición, 2011 | 2011 | [:bookmark_tabs:](WMO.0168.GuiaPracticaHidrologicaVol2Hidrologia.2011.pdf) | | | | | | |</v>
      </c>
      <c r="U17" s="5" t="str">
        <f t="shared" si="5"/>
        <v>| [OMM-N°0168](https://library.wmo.int/doc_num.php?explnum_id=10038) | Guía de prácticas hidrológicas. Volumen II Hidrología - Gestión de recursos hídricos y aplicación de prácticas hidrológicas. Sexta Edición, 2011 | 2011 | [:bookmark_tabs:](WMO.0168.GuiaPracticaHidrologicaVol2Hidrologia.2011.pdf) | | | | | | | | | |</v>
      </c>
    </row>
    <row r="18" spans="2:21" ht="46.15" x14ac:dyDescent="0.55000000000000004">
      <c r="B18" s="5" t="s">
        <v>65</v>
      </c>
      <c r="C18" s="5" t="s">
        <v>13</v>
      </c>
      <c r="D18" s="5">
        <v>1992</v>
      </c>
      <c r="E18" s="5" t="s">
        <v>66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 t="str">
        <f t="shared" si="2"/>
        <v>| [OMM-N°0182](https://library.wmo.int/doc_num.php?explnum_id=4712) | Vocabulario Meteorológico Internacional |</v>
      </c>
      <c r="Q18" s="5" t="str">
        <f t="shared" si="1"/>
        <v>| [OMM-N°0182](https://library.wmo.int/doc_num.php?explnum_id=4712) | Vocabulario Meteorológico Internacional | 1992 |</v>
      </c>
      <c r="R18" s="5" t="str">
        <f t="shared" si="3"/>
        <v>| [OMM-N°0182](https://library.wmo.int/doc_num.php?explnum_id=4712) | Vocabulario Meteorológico Internacional | 1992 | [:bookmark_tabs:](WMO.0182.VocabularioMeteorologicoInternacional.1992.pdf) |</v>
      </c>
      <c r="S18" s="5" t="str">
        <f t="shared" si="4"/>
        <v>| [OMM-N°0182](https://library.wmo.int/doc_num.php?explnum_id=4712) | Vocabulario Meteorológico Internacional | 1992 | [:bookmark_tabs:](WMO.0182.VocabularioMeteorologicoInternacional.1992.pdf) | |</v>
      </c>
      <c r="T18" s="5" t="str">
        <f t="shared" si="0"/>
        <v>| [OMM-N°0182](https://library.wmo.int/doc_num.php?explnum_id=4712) | Vocabulario Meteorológico Internacional | 1992 | [:bookmark_tabs:](WMO.0182.VocabularioMeteorologicoInternacional.1992.pdf) | | | | | | |</v>
      </c>
      <c r="U18" s="5" t="str">
        <f t="shared" si="5"/>
        <v>| [OMM-N°0182](https://library.wmo.int/doc_num.php?explnum_id=4712) | Vocabulario Meteorológico Internacional | 1992 | [:bookmark_tabs:](WMO.0182.VocabularioMeteorologicoInternacional.1992.pdf) | | | | | | | | | |</v>
      </c>
    </row>
    <row r="19" spans="2:21" ht="46.15" x14ac:dyDescent="0.55000000000000004">
      <c r="B19" s="5" t="s">
        <v>67</v>
      </c>
      <c r="C19" s="5" t="s">
        <v>14</v>
      </c>
      <c r="D19" s="5">
        <v>2020</v>
      </c>
      <c r="E19" s="5" t="s">
        <v>68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 t="str">
        <f t="shared" si="2"/>
        <v>| [OMM-N°0386](https://library.wmo.int/doc_num.php?explnum_id=10470) | Manual del Sistema Mundial de Telecomunicación. Anexo III al Reglamento Técnico de la OMM |</v>
      </c>
      <c r="Q19" s="5" t="str">
        <f t="shared" si="1"/>
        <v>| [OMM-N°0386](https://library.wmo.int/doc_num.php?explnum_id=10470) | Manual del Sistema Mundial de Telecomunicación. Anexo III al Reglamento Técnico de la OMM | 2020 |</v>
      </c>
      <c r="R19" s="5" t="str">
        <f t="shared" si="3"/>
        <v>| [OMM-N°0386](https://library.wmo.int/doc_num.php?explnum_id=10470) | Manual del Sistema Mundial de Telecomunicación. Anexo III al Reglamento Técnico de la OMM | 2020 | [:bookmark_tabs:](WMO.0386.ManualSistemaMundialTelecomunicacion.2020.pdf) |</v>
      </c>
      <c r="S19" s="5" t="str">
        <f t="shared" si="4"/>
        <v>| [OMM-N°0386](https://library.wmo.int/doc_num.php?explnum_id=10470) | Manual del Sistema Mundial de Telecomunicación. Anexo III al Reglamento Técnico de la OMM | 2020 | [:bookmark_tabs:](WMO.0386.ManualSistemaMundialTelecomunicacion.2020.pdf) | |</v>
      </c>
      <c r="T19" s="5" t="str">
        <f t="shared" si="0"/>
        <v>| [OMM-N°0386](https://library.wmo.int/doc_num.php?explnum_id=10470) | Manual del Sistema Mundial de Telecomunicación. Anexo III al Reglamento Técnico de la OMM | 2020 | [:bookmark_tabs:](WMO.0386.ManualSistemaMundialTelecomunicacion.2020.pdf) | | | | | | |</v>
      </c>
      <c r="U19" s="5" t="str">
        <f t="shared" si="5"/>
        <v>| [OMM-N°0386](https://library.wmo.int/doc_num.php?explnum_id=10470) | Manual del Sistema Mundial de Telecomunicación. Anexo III al Reglamento Técnico de la OMM | 2020 | [:bookmark_tabs:](WMO.0386.ManualSistemaMundialTelecomunicacion.2020.pdf) | | | | | | | | | |</v>
      </c>
    </row>
    <row r="20" spans="2:21" ht="46.15" x14ac:dyDescent="0.55000000000000004">
      <c r="B20" s="5" t="s">
        <v>69</v>
      </c>
      <c r="C20" s="5" t="s">
        <v>42</v>
      </c>
      <c r="D20" s="5">
        <v>2017</v>
      </c>
      <c r="E20" s="5" t="s">
        <v>70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 t="str">
        <f t="shared" si="2"/>
        <v>| [OMM-N°0488](https://library.wmo.int/doc_num.php?explnum_id=5440) | Guía del Sistema Mundial de Observación. Edición 2010. Actualización 2017 |</v>
      </c>
      <c r="Q20" s="5" t="str">
        <f t="shared" si="1"/>
        <v>| [OMM-N°0488](https://library.wmo.int/doc_num.php?explnum_id=5440) | Guía del Sistema Mundial de Observación. Edición 2010. Actualización 2017 | 2017 |</v>
      </c>
      <c r="R20" s="5" t="str">
        <f t="shared" si="3"/>
        <v>| [OMM-N°0488](https://library.wmo.int/doc_num.php?explnum_id=5440) | Guía del Sistema Mundial de Observación. Edición 2010. Actualización 2017 | 2017 | [:bookmark_tabs:](WMO.0488.GuiaSistemaMundialObservacion.2017.pdf) |</v>
      </c>
      <c r="S20" s="5" t="str">
        <f t="shared" si="4"/>
        <v>| [OMM-N°0488](https://library.wmo.int/doc_num.php?explnum_id=5440) | Guía del Sistema Mundial de Observación. Edición 2010. Actualización 2017 | 2017 | [:bookmark_tabs:](WMO.0488.GuiaSistemaMundialObservacion.2017.pdf) | |</v>
      </c>
      <c r="T20" s="5" t="str">
        <f t="shared" si="0"/>
        <v>| [OMM-N°0488](https://library.wmo.int/doc_num.php?explnum_id=5440) | Guía del Sistema Mundial de Observación. Edición 2010. Actualización 2017 | 2017 | [:bookmark_tabs:](WMO.0488.GuiaSistemaMundialObservacion.2017.pdf) | | | | | | |</v>
      </c>
      <c r="U20" s="5" t="str">
        <f t="shared" si="5"/>
        <v>| [OMM-N°0488](https://library.wmo.int/doc_num.php?explnum_id=5440) | Guía del Sistema Mundial de Observación. Edición 2010. Actualización 2017 | 2017 | [:bookmark_tabs:](WMO.0488.GuiaSistemaMundialObservacion.2017.pdf) | | | | | | | | | |</v>
      </c>
    </row>
    <row r="21" spans="2:21" ht="30.75" x14ac:dyDescent="0.55000000000000004">
      <c r="B21" s="5" t="s">
        <v>71</v>
      </c>
      <c r="C21" s="5" t="s">
        <v>15</v>
      </c>
      <c r="D21" s="5">
        <v>2017</v>
      </c>
      <c r="E21" s="9" t="s">
        <v>72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 t="str">
        <f t="shared" si="2"/>
        <v>| [OMM-N°0544](https://wmo.int/wmo-no-544-manual-global-observing-system) | Manual del Sistema Mundial de Observación. Volumen I – Aspectos mundiales. Anexo V del Reglamento Técnico |</v>
      </c>
      <c r="Q21" s="5" t="str">
        <f t="shared" si="1"/>
        <v>| [OMM-N°0544](https://wmo.int/wmo-no-544-manual-global-observing-system) | Manual del Sistema Mundial de Observación. Volumen I – Aspectos mundiales. Anexo V del Reglamento Técnico | 2017 |</v>
      </c>
      <c r="R21" s="5" t="str">
        <f t="shared" si="3"/>
        <v>| [OMM-N°0544](https://wmo.int/wmo-no-544-manual-global-observing-system) | Manual del Sistema Mundial de Observación. Volumen I – Aspectos mundiales. Anexo V del Reglamento Técnico | 2017 | [:bookmark_tabs:](WMO.0544.ManualSistemaMundialObservacionVolumen1.2017.pdf) |</v>
      </c>
      <c r="S21" s="5" t="str">
        <f t="shared" si="4"/>
        <v>| [OMM-N°0544](https://wmo.int/wmo-no-544-manual-global-observing-system) | Manual del Sistema Mundial de Observación. Volumen I – Aspectos mundiales. Anexo V del Reglamento Técnico | 2017 | [:bookmark_tabs:](WMO.0544.ManualSistemaMundialObservacionVolumen1.2017.pdf) | |</v>
      </c>
      <c r="T21" s="5" t="str">
        <f t="shared" si="0"/>
        <v>| [OMM-N°0544](https://wmo.int/wmo-no-544-manual-global-observing-system) | Manual del Sistema Mundial de Observación. Volumen I – Aspectos mundiales. Anexo V del Reglamento Técnico | 2017 | [:bookmark_tabs:](WMO.0544.ManualSistemaMundialObservacionVolumen1.2017.pdf) | | | | | | |</v>
      </c>
      <c r="U21" s="5" t="str">
        <f t="shared" si="5"/>
        <v>| [OMM-N°0544](https://wmo.int/wmo-no-544-manual-global-observing-system) | Manual del Sistema Mundial de Observación. Volumen I – Aspectos mundiales. Anexo V del Reglamento Técnico | 2017 | [:bookmark_tabs:](WMO.0544.ManualSistemaMundialObservacionVolumen1.2017.pdf) | | | | | | | | | |</v>
      </c>
    </row>
    <row r="22" spans="2:21" ht="46.15" x14ac:dyDescent="0.55000000000000004">
      <c r="B22" s="5" t="s">
        <v>73</v>
      </c>
      <c r="C22" s="5" t="s">
        <v>16</v>
      </c>
      <c r="D22" s="5">
        <v>2018</v>
      </c>
      <c r="E22" s="5" t="s">
        <v>74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 t="str">
        <f t="shared" si="2"/>
        <v>| [OMM-N°1061](https://library.wmo.int/doc_num.php?explnum_id=10258) | Guía del Sistema de Información de la OMM |</v>
      </c>
      <c r="Q22" s="5" t="str">
        <f t="shared" si="1"/>
        <v>| [OMM-N°1061](https://library.wmo.int/doc_num.php?explnum_id=10258) | Guía del Sistema de Información de la OMM | 2018 |</v>
      </c>
      <c r="R22" s="5" t="str">
        <f t="shared" si="3"/>
        <v>| [OMM-N°1061](https://library.wmo.int/doc_num.php?explnum_id=10258) | Guía del Sistema de Información de la OMM | 2018 | [:bookmark_tabs:](WMO.1061.GuiaSistemaInformacionOMM.2018.pdf) |</v>
      </c>
      <c r="S22" s="5" t="str">
        <f t="shared" si="4"/>
        <v>| [OMM-N°1061](https://library.wmo.int/doc_num.php?explnum_id=10258) | Guía del Sistema de Información de la OMM | 2018 | [:bookmark_tabs:](WMO.1061.GuiaSistemaInformacionOMM.2018.pdf) | |</v>
      </c>
      <c r="T22" s="5" t="str">
        <f t="shared" si="0"/>
        <v>| [OMM-N°1061](https://library.wmo.int/doc_num.php?explnum_id=10258) | Guía del Sistema de Información de la OMM | 2018 | [:bookmark_tabs:](WMO.1061.GuiaSistemaInformacionOMM.2018.pdf) | | | | | | |</v>
      </c>
      <c r="U22" s="5" t="str">
        <f t="shared" si="5"/>
        <v>| [OMM-N°1061](https://library.wmo.int/doc_num.php?explnum_id=10258) | Guía del Sistema de Información de la OMM | 2018 | [:bookmark_tabs:](WMO.1061.GuiaSistemaInformacionOMM.2018.pdf) | | | | | | | | | |</v>
      </c>
    </row>
    <row r="23" spans="2:21" ht="46.15" x14ac:dyDescent="0.55000000000000004">
      <c r="B23" s="5" t="s">
        <v>75</v>
      </c>
      <c r="C23" s="5" t="s">
        <v>17</v>
      </c>
      <c r="D23" s="5">
        <v>2012</v>
      </c>
      <c r="E23" s="5" t="s">
        <v>76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 t="str">
        <f t="shared" si="2"/>
        <v>| [OMM-N°1091](https://library.wmo.int/doc_num.php?explnum_id=7774) | Directrices sobre los sistemas de predicción por conjuntos y la predicción |</v>
      </c>
      <c r="Q23" s="5" t="str">
        <f t="shared" si="1"/>
        <v>| [OMM-N°1091](https://library.wmo.int/doc_num.php?explnum_id=7774) | Directrices sobre los sistemas de predicción por conjuntos y la predicción | 2012 |</v>
      </c>
      <c r="R23" s="5" t="str">
        <f t="shared" si="3"/>
        <v>| [OMM-N°1091](https://library.wmo.int/doc_num.php?explnum_id=7774) | Directrices sobre los sistemas de predicción por conjuntos y la predicción | 2012 | [:bookmark_tabs:](WMO.1091.DirectricesSistemasPrediccionConjuntos.2012.pdf) |</v>
      </c>
      <c r="S23" s="5" t="str">
        <f t="shared" si="4"/>
        <v>| [OMM-N°1091](https://library.wmo.int/doc_num.php?explnum_id=7774) | Directrices sobre los sistemas de predicción por conjuntos y la predicción | 2012 | [:bookmark_tabs:](WMO.1091.DirectricesSistemasPrediccionConjuntos.2012.pdf) | |</v>
      </c>
      <c r="T23" s="5" t="str">
        <f t="shared" si="0"/>
        <v>| [OMM-N°1091](https://library.wmo.int/doc_num.php?explnum_id=7774) | Directrices sobre los sistemas de predicción por conjuntos y la predicción | 2012 | [:bookmark_tabs:](WMO.1091.DirectricesSistemasPrediccionConjuntos.2012.pdf) | | | | | | |</v>
      </c>
      <c r="U23" s="5" t="str">
        <f t="shared" si="5"/>
        <v>| [OMM-N°1091](https://library.wmo.int/doc_num.php?explnum_id=7774) | Directrices sobre los sistemas de predicción por conjuntos y la predicción | 2012 | [:bookmark_tabs:](WMO.1091.DirectricesSistemasPrediccionConjuntos.2012.pdf) | | | | | | | | | |</v>
      </c>
    </row>
    <row r="24" spans="2:21" ht="46.15" x14ac:dyDescent="0.55000000000000004">
      <c r="B24" s="5" t="s">
        <v>77</v>
      </c>
      <c r="C24" s="5" t="s">
        <v>30</v>
      </c>
      <c r="D24" s="5">
        <v>2017</v>
      </c>
      <c r="E24" s="5" t="s">
        <v>78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 t="str">
        <f t="shared" si="2"/>
        <v>| [OMM-N°1100](https://library.wmo.int/doc_num.php?explnum_id=5742) | Guía para la aplicación de sistemas de gestión de la calidad para los Servicios Meteorológicos e Hidrológicos Nacionales y otros proveedores de servicios pertinentes |</v>
      </c>
      <c r="Q24" s="5" t="str">
        <f t="shared" si="1"/>
        <v>| [OMM-N°1100](https://library.wmo.int/doc_num.php?explnum_id=5742) | Guía para la aplicación de sistemas de gestión de la calidad para los Servicios Meteorológicos e Hidrológicos Nacionales y otros proveedores de servicios pertinentes | 2017 |</v>
      </c>
      <c r="R24" s="5" t="str">
        <f t="shared" si="3"/>
        <v>| [OMM-N°1100](https://library.wmo.int/doc_num.php?explnum_id=5742) | Guía para la aplicación de sistemas de gestión de la calidad para los Servicios Meteorológicos e Hidrológicos Nacionales y otros proveedores de servicios pertinentes | 2017 | [:bookmark_tabs:](WMO.1100.GuiaAplicacionSistemasGestionCalidadServicioMeteorologicoHidrologico.2017.pdf) |</v>
      </c>
      <c r="S24" s="5" t="str">
        <f t="shared" si="4"/>
        <v>| [OMM-N°1100](https://library.wmo.int/doc_num.php?explnum_id=5742) | Guía para la aplicación de sistemas de gestión de la calidad para los Servicios Meteorológicos e Hidrológicos Nacionales y otros proveedores de servicios pertinentes | 2017 | [:bookmark_tabs:](WMO.1100.GuiaAplicacionSistemasGestionCalidadServicioMeteorologicoHidrologico.2017.pdf) | |</v>
      </c>
      <c r="T24" s="5" t="str">
        <f t="shared" si="0"/>
        <v>| [OMM-N°1100](https://library.wmo.int/doc_num.php?explnum_id=5742) | Guía para la aplicación de sistemas de gestión de la calidad para los Servicios Meteorológicos e Hidrológicos Nacionales y otros proveedores de servicios pertinentes | 2017 | [:bookmark_tabs:](WMO.1100.GuiaAplicacionSistemasGestionCalidadServicioMeteorologicoHidrologico.2017.pdf) | | | | | | |</v>
      </c>
      <c r="U24" s="5" t="str">
        <f t="shared" si="5"/>
        <v>| [OMM-N°1100](https://library.wmo.int/doc_num.php?explnum_id=5742) | Guía para la aplicación de sistemas de gestión de la calidad para los Servicios Meteorológicos e Hidrológicos Nacionales y otros proveedores de servicios pertinentes | 2017 | [:bookmark_tabs:](WMO.1100.GuiaAplicacionSistemasGestionCalidadServicioMeteorologicoHidrologico.2017.pdf) | | | | | | | | | |</v>
      </c>
    </row>
    <row r="25" spans="2:21" ht="46.15" x14ac:dyDescent="0.55000000000000004">
      <c r="B25" s="5" t="s">
        <v>79</v>
      </c>
      <c r="C25" s="5" t="s">
        <v>18</v>
      </c>
      <c r="D25" s="5">
        <v>2019</v>
      </c>
      <c r="E25" s="5" t="s">
        <v>80</v>
      </c>
      <c r="F25" s="5"/>
      <c r="G25" s="5"/>
      <c r="H25" s="5"/>
      <c r="I25" s="5"/>
      <c r="J25" s="5"/>
      <c r="K25" s="5"/>
      <c r="L25" s="5"/>
      <c r="M25" s="4"/>
      <c r="N25" s="4"/>
      <c r="O25" s="4"/>
      <c r="P25" s="5" t="str">
        <f t="shared" ref="P25:P88" si="6">_xlfn.CONCAT("| ",B25," | ",C25," |")</f>
        <v>| [OMM-N°1160](https://library.wmo.int/doc_num.php?explnum_id=10230) | Manual del Sistema Mundial Integrado de Sistemas de Observación de la OMM |</v>
      </c>
      <c r="Q25" s="5" t="str">
        <f t="shared" ref="Q25:Q88" si="7">_xlfn.CONCAT("| ",B25," | ",C25," | ",D25," |")</f>
        <v>| [OMM-N°1160](https://library.wmo.int/doc_num.php?explnum_id=10230) | Manual del Sistema Mundial Integrado de Sistemas de Observación de la OMM | 2019 |</v>
      </c>
      <c r="R25" s="5" t="str">
        <f t="shared" si="3"/>
        <v>| [OMM-N°1160](https://library.wmo.int/doc_num.php?explnum_id=10230) | Manual del Sistema Mundial Integrado de Sistemas de Observación de la OMM | 2019 | [:bookmark_tabs:](WMO.1160.ManualSistemaIntegradoObservacionOMM.2019.pdf) |</v>
      </c>
      <c r="S25" s="5" t="str">
        <f t="shared" si="4"/>
        <v>| [OMM-N°1160](https://library.wmo.int/doc_num.php?explnum_id=10230) | Manual del Sistema Mundial Integrado de Sistemas de Observación de la OMM | 2019 | [:bookmark_tabs:](WMO.1160.ManualSistemaIntegradoObservacionOMM.2019.pdf) | |</v>
      </c>
      <c r="T25" s="5" t="str">
        <f t="shared" si="0"/>
        <v>| [OMM-N°1160](https://library.wmo.int/doc_num.php?explnum_id=10230) | Manual del Sistema Mundial Integrado de Sistemas de Observación de la OMM | 2019 | [:bookmark_tabs:](WMO.1160.ManualSistemaIntegradoObservacionOMM.2019.pdf) | | | | | | |</v>
      </c>
      <c r="U25" s="5" t="str">
        <f t="shared" si="5"/>
        <v>| [OMM-N°1160](https://library.wmo.int/doc_num.php?explnum_id=10230) | Manual del Sistema Mundial Integrado de Sistemas de Observación de la OMM | 2019 | [:bookmark_tabs:](WMO.1160.ManualSistemaIntegradoObservacionOMM.2019.pdf) | | | | | | | | | |</v>
      </c>
    </row>
    <row r="26" spans="2:21" x14ac:dyDescent="0.55000000000000004">
      <c r="B26" s="4" t="s">
        <v>81</v>
      </c>
      <c r="C26" s="4" t="s">
        <v>19</v>
      </c>
      <c r="D26" s="4">
        <v>2019</v>
      </c>
      <c r="E26" s="4" t="s">
        <v>82</v>
      </c>
      <c r="F26" s="4"/>
      <c r="G26" s="4"/>
      <c r="H26" s="4"/>
      <c r="I26" s="4"/>
      <c r="J26" s="4"/>
      <c r="K26" s="4"/>
      <c r="L26" s="5"/>
      <c r="M26" s="4"/>
      <c r="N26" s="4"/>
      <c r="O26" s="4"/>
      <c r="P26" s="5" t="str">
        <f t="shared" si="6"/>
        <v>| [OMM-N°1165](https://library.wmo.int/doc_num.php?explnum_id=10042) | Guía del Sistema Mundial Integrado de Sistemas de Observación de la OMM |</v>
      </c>
      <c r="Q26" s="5" t="str">
        <f t="shared" si="7"/>
        <v>| [OMM-N°1165](https://library.wmo.int/doc_num.php?explnum_id=10042) | Guía del Sistema Mundial Integrado de Sistemas de Observación de la OMM | 2019 |</v>
      </c>
      <c r="R26" s="5" t="str">
        <f t="shared" si="3"/>
        <v>| [OMM-N°1165](https://library.wmo.int/doc_num.php?explnum_id=10042) | Guía del Sistema Mundial Integrado de Sistemas de Observación de la OMM | 2019 | [:bookmark_tabs:](WMO.1165.GuiaSistemaMundialIntegradoSistemaObservacionOMM.2019.pdf) |</v>
      </c>
      <c r="S26" s="5" t="str">
        <f t="shared" si="4"/>
        <v>| [OMM-N°1165](https://library.wmo.int/doc_num.php?explnum_id=10042) | Guía del Sistema Mundial Integrado de Sistemas de Observación de la OMM | 2019 | [:bookmark_tabs:](WMO.1165.GuiaSistemaMundialIntegradoSistemaObservacionOMM.2019.pdf) | |</v>
      </c>
      <c r="T26" s="5" t="str">
        <f t="shared" si="0"/>
        <v>| [OMM-N°1165](https://library.wmo.int/doc_num.php?explnum_id=10042) | Guía del Sistema Mundial Integrado de Sistemas de Observación de la OMM | 2019 | [:bookmark_tabs:](WMO.1165.GuiaSistemaMundialIntegradoSistemaObservacionOMM.2019.pdf) | | | | | | |</v>
      </c>
      <c r="U26" s="5" t="str">
        <f t="shared" si="5"/>
        <v>| [OMM-N°1165](https://library.wmo.int/doc_num.php?explnum_id=10042) | Guía del Sistema Mundial Integrado de Sistemas de Observación de la OMM | 2019 | [:bookmark_tabs:](WMO.1165.GuiaSistemaMundialIntegradoSistemaObservacionOMM.2019.pdf) | | | | | | | | | |</v>
      </c>
    </row>
    <row r="27" spans="2:21" x14ac:dyDescent="0.55000000000000004">
      <c r="B27" s="4" t="s">
        <v>83</v>
      </c>
      <c r="C27" s="4" t="s">
        <v>20</v>
      </c>
      <c r="D27" s="4">
        <v>2016</v>
      </c>
      <c r="E27" s="4" t="s">
        <v>84</v>
      </c>
      <c r="F27" s="4"/>
      <c r="G27" s="4"/>
      <c r="H27" s="4"/>
      <c r="I27" s="4"/>
      <c r="J27" s="4"/>
      <c r="K27" s="4"/>
      <c r="L27" s="5"/>
      <c r="M27" s="4"/>
      <c r="N27" s="4"/>
      <c r="O27" s="4"/>
      <c r="P27" s="5" t="str">
        <f t="shared" si="6"/>
        <v>| [OMM-N°1182](https://library.wmo.int/doc_num.php?explnum_id=3529) | Directrices sobre mejores prácticas para el rescate de datos climáticos |</v>
      </c>
      <c r="Q27" s="5" t="str">
        <f t="shared" si="7"/>
        <v>| [OMM-N°1182](https://library.wmo.int/doc_num.php?explnum_id=3529) | Directrices sobre mejores prácticas para el rescate de datos climáticos | 2016 |</v>
      </c>
      <c r="R27" s="5" t="str">
        <f t="shared" si="3"/>
        <v>| [OMM-N°1182](https://library.wmo.int/doc_num.php?explnum_id=3529) | Directrices sobre mejores prácticas para el rescate de datos climáticos | 2016 | [:bookmark_tabs:](WMO.1182.DirectrizRescateDatoClimatico.2016.pdf) |</v>
      </c>
      <c r="S27" s="5" t="str">
        <f t="shared" si="4"/>
        <v>| [OMM-N°1182](https://library.wmo.int/doc_num.php?explnum_id=3529) | Directrices sobre mejores prácticas para el rescate de datos climáticos | 2016 | [:bookmark_tabs:](WMO.1182.DirectrizRescateDatoClimatico.2016.pdf) | |</v>
      </c>
      <c r="T27" s="5" t="str">
        <f t="shared" si="0"/>
        <v>| [OMM-N°1182](https://library.wmo.int/doc_num.php?explnum_id=3529) | Directrices sobre mejores prácticas para el rescate de datos climáticos | 2016 | [:bookmark_tabs:](WMO.1182.DirectrizRescateDatoClimatico.2016.pdf) | | | | | | |</v>
      </c>
      <c r="U27" s="5" t="str">
        <f t="shared" si="5"/>
        <v>| [OMM-N°1182](https://library.wmo.int/doc_num.php?explnum_id=3529) | Directrices sobre mejores prácticas para el rescate de datos climáticos | 2016 | [:bookmark_tabs:](WMO.1182.DirectrizRescateDatoClimatico.2016.pdf) | | | | | | | | | |</v>
      </c>
    </row>
    <row r="28" spans="2:21" x14ac:dyDescent="0.55000000000000004">
      <c r="B28" s="4" t="s">
        <v>85</v>
      </c>
      <c r="C28" s="4" t="s">
        <v>21</v>
      </c>
      <c r="D28" s="4">
        <v>2019</v>
      </c>
      <c r="E28" s="4" t="s">
        <v>86</v>
      </c>
      <c r="F28" s="4"/>
      <c r="G28" s="4"/>
      <c r="H28" s="4"/>
      <c r="I28" s="4"/>
      <c r="J28" s="4"/>
      <c r="K28" s="4"/>
      <c r="L28" s="5"/>
      <c r="M28" s="4"/>
      <c r="N28" s="4"/>
      <c r="O28" s="4"/>
      <c r="P28" s="5" t="str">
        <f t="shared" si="6"/>
        <v>| [OMM-N°1192](https://library.wmo.int/doc_num.php?explnum_id=10163) | Norma sobre metadatos del Sistema Mundial Integrado de Sistemas de Observación de la OMM |</v>
      </c>
      <c r="Q28" s="5" t="str">
        <f t="shared" si="7"/>
        <v>| [OMM-N°1192](https://library.wmo.int/doc_num.php?explnum_id=10163) | Norma sobre metadatos del Sistema Mundial Integrado de Sistemas de Observación de la OMM | 2019 |</v>
      </c>
      <c r="R28" s="5" t="str">
        <f t="shared" si="3"/>
        <v>| [OMM-N°1192](https://library.wmo.int/doc_num.php?explnum_id=10163) | Norma sobre metadatos del Sistema Mundial Integrado de Sistemas de Observación de la OMM | 2019 | [:bookmark_tabs:](WMO.1192.NormaMetadatoSistemaMundialIntegradoObservacion.2019) |</v>
      </c>
      <c r="S28" s="5" t="str">
        <f t="shared" si="4"/>
        <v>| [OMM-N°1192](https://library.wmo.int/doc_num.php?explnum_id=10163) | Norma sobre metadatos del Sistema Mundial Integrado de Sistemas de Observación de la OMM | 2019 | [:bookmark_tabs:](WMO.1192.NormaMetadatoSistemaMundialIntegradoObservacion.2019) | |</v>
      </c>
      <c r="T28" s="5" t="str">
        <f t="shared" si="0"/>
        <v>| [OMM-N°1192](https://library.wmo.int/doc_num.php?explnum_id=10163) | Norma sobre metadatos del Sistema Mundial Integrado de Sistemas de Observación de la OMM | 2019 | [:bookmark_tabs:](WMO.1192.NormaMetadatoSistemaMundialIntegradoObservacion.2019) | | | | | | |</v>
      </c>
      <c r="U28" s="5" t="str">
        <f t="shared" si="5"/>
        <v>| [OMM-N°1192](https://library.wmo.int/doc_num.php?explnum_id=10163) | Norma sobre metadatos del Sistema Mundial Integrado de Sistemas de Observación de la OMM | 2019 | [:bookmark_tabs:](WMO.1192.NormaMetadatoSistemaMundialIntegradoObservacion.2019) | | | | | | | | | |</v>
      </c>
    </row>
    <row r="29" spans="2:21" x14ac:dyDescent="0.55000000000000004">
      <c r="B29" s="4" t="s">
        <v>87</v>
      </c>
      <c r="C29" s="4" t="s">
        <v>22</v>
      </c>
      <c r="D29" s="4">
        <v>2017</v>
      </c>
      <c r="E29" s="4" t="s">
        <v>88</v>
      </c>
      <c r="F29" s="4"/>
      <c r="G29" s="4"/>
      <c r="H29" s="4"/>
      <c r="I29" s="4"/>
      <c r="J29" s="4"/>
      <c r="K29" s="4"/>
      <c r="L29" s="5"/>
      <c r="M29" s="4"/>
      <c r="N29" s="4"/>
      <c r="O29" s="4"/>
      <c r="P29" s="5" t="str">
        <f t="shared" si="6"/>
        <v>| [OMM-N°1203](https://library.wmo.int/doc_num.php?explnum_id=4167) | Directrices de la Organización Meteorológica Mundial sobre el cálculo de las normales climáticas |</v>
      </c>
      <c r="Q29" s="5" t="str">
        <f t="shared" si="7"/>
        <v>| [OMM-N°1203](https://library.wmo.int/doc_num.php?explnum_id=4167) | Directrices de la Organización Meteorológica Mundial sobre el cálculo de las normales climáticas | 2017 |</v>
      </c>
      <c r="R29" s="5" t="str">
        <f t="shared" si="3"/>
        <v>| [OMM-N°1203](https://library.wmo.int/doc_num.php?explnum_id=4167) | Directrices de la Organización Meteorológica Mundial sobre el cálculo de las normales climáticas | 2017 | [:bookmark_tabs:](WMO.01203.DirectricezCalculoNormalClimatica.2017.pdf) |</v>
      </c>
      <c r="S29" s="5" t="str">
        <f t="shared" si="4"/>
        <v>| [OMM-N°1203](https://library.wmo.int/doc_num.php?explnum_id=4167) | Directrices de la Organización Meteorológica Mundial sobre el cálculo de las normales climáticas | 2017 | [:bookmark_tabs:](WMO.01203.DirectricezCalculoNormalClimatica.2017.pdf) | |</v>
      </c>
      <c r="T29" s="5" t="str">
        <f t="shared" si="0"/>
        <v>| [OMM-N°1203](https://library.wmo.int/doc_num.php?explnum_id=4167) | Directrices de la Organización Meteorológica Mundial sobre el cálculo de las normales climáticas | 2017 | [:bookmark_tabs:](WMO.01203.DirectricezCalculoNormalClimatica.2017.pdf) | | | | | | |</v>
      </c>
      <c r="U29" s="5" t="str">
        <f t="shared" si="5"/>
        <v>| [OMM-N°1203](https://library.wmo.int/doc_num.php?explnum_id=4167) | Directrices de la Organización Meteorológica Mundial sobre el cálculo de las normales climáticas | 2017 | [:bookmark_tabs:](WMO.01203.DirectricezCalculoNormalClimatica.2017.pdf) | | | | | | | | | |</v>
      </c>
    </row>
    <row r="30" spans="2:21" x14ac:dyDescent="0.55000000000000004">
      <c r="B30" s="4" t="s">
        <v>89</v>
      </c>
      <c r="C30" s="4" t="s">
        <v>23</v>
      </c>
      <c r="D30" s="4">
        <v>1966</v>
      </c>
      <c r="E30" s="4" t="s">
        <v>90</v>
      </c>
      <c r="F30" s="4"/>
      <c r="G30" s="4"/>
      <c r="H30" s="4"/>
      <c r="I30" s="4"/>
      <c r="J30" s="4"/>
      <c r="K30" s="4"/>
      <c r="L30" s="5"/>
      <c r="M30" s="4"/>
      <c r="N30" s="4"/>
      <c r="O30" s="4"/>
      <c r="P30" s="5" t="str">
        <f t="shared" si="6"/>
        <v>| [WMO-N°0199](https://library.wmo.int/doc_num.php?explnum_id=1961) | Some Methods of Climatological Analysis |</v>
      </c>
      <c r="Q30" s="5" t="str">
        <f t="shared" si="7"/>
        <v>| [WMO-N°0199](https://library.wmo.int/doc_num.php?explnum_id=1961) | Some Methods of Climatological Analysis | 1966 |</v>
      </c>
      <c r="R30" s="5" t="str">
        <f t="shared" si="3"/>
        <v>| [WMO-N°0199](https://library.wmo.int/doc_num.php?explnum_id=1961) | Some Methods of Climatological Analysis | 1966 | [:bookmark_tabs:](WMO.0199.SomeMethodsClimatologicalAnalysis.1966.pdf) |</v>
      </c>
      <c r="S30" s="5" t="str">
        <f t="shared" si="4"/>
        <v>| [WMO-N°0199](https://library.wmo.int/doc_num.php?explnum_id=1961) | Some Methods of Climatological Analysis | 1966 | [:bookmark_tabs:](WMO.0199.SomeMethodsClimatologicalAnalysis.1966.pdf) | |</v>
      </c>
      <c r="T30" s="5" t="str">
        <f t="shared" si="0"/>
        <v>| [WMO-N°0199](https://library.wmo.int/doc_num.php?explnum_id=1961) | Some Methods of Climatological Analysis | 1966 | [:bookmark_tabs:](WMO.0199.SomeMethodsClimatologicalAnalysis.1966.pdf) | | | | | | |</v>
      </c>
      <c r="U30" s="5" t="str">
        <f t="shared" si="5"/>
        <v>| [WMO-N°0199](https://library.wmo.int/doc_num.php?explnum_id=1961) | Some Methods of Climatological Analysis | 1966 | [:bookmark_tabs:](WMO.0199.SomeMethodsClimatologicalAnalysis.1966.pdf) | | | | | | | | | |</v>
      </c>
    </row>
    <row r="31" spans="2:21" x14ac:dyDescent="0.55000000000000004">
      <c r="B31" s="4" t="s">
        <v>91</v>
      </c>
      <c r="C31" s="4" t="s">
        <v>24</v>
      </c>
      <c r="D31" s="4">
        <v>1990</v>
      </c>
      <c r="E31" s="4" t="s">
        <v>92</v>
      </c>
      <c r="F31" s="4"/>
      <c r="G31" s="4"/>
      <c r="H31" s="4"/>
      <c r="I31" s="4"/>
      <c r="J31" s="4"/>
      <c r="K31" s="4"/>
      <c r="L31" s="4"/>
      <c r="M31" s="5"/>
      <c r="N31" s="5"/>
      <c r="O31" s="4"/>
      <c r="P31" s="5" t="str">
        <f t="shared" si="6"/>
        <v>| [WMO-N°0415](https://library.wmo.int/doc_num.php?explnum_id=1065) | On The Statistical Analysis of Series of Observations |</v>
      </c>
      <c r="Q31" s="5" t="str">
        <f t="shared" si="7"/>
        <v>| [WMO-N°0415](https://library.wmo.int/doc_num.php?explnum_id=1065) | On The Statistical Analysis of Series of Observations | 1990 |</v>
      </c>
      <c r="R31" s="5" t="str">
        <f t="shared" si="3"/>
        <v>| [WMO-N°0415](https://library.wmo.int/doc_num.php?explnum_id=1065) | On The Statistical Analysis of Series of Observations | 1990 | [:bookmark_tabs:](WMO.0415.StatisticalAnalysisSerieObservation.1990.pdf) |</v>
      </c>
      <c r="S31" s="5" t="str">
        <f t="shared" si="4"/>
        <v>| [WMO-N°0415](https://library.wmo.int/doc_num.php?explnum_id=1065) | On The Statistical Analysis of Series of Observations | 1990 | [:bookmark_tabs:](WMO.0415.StatisticalAnalysisSerieObservation.1990.pdf) | |</v>
      </c>
      <c r="T31" s="5" t="str">
        <f t="shared" si="0"/>
        <v>| [WMO-N°0415](https://library.wmo.int/doc_num.php?explnum_id=1065) | On The Statistical Analysis of Series of Observations | 1990 | [:bookmark_tabs:](WMO.0415.StatisticalAnalysisSerieObservation.1990.pdf) | | | | | | |</v>
      </c>
      <c r="U31" s="5" t="str">
        <f t="shared" si="5"/>
        <v>| [WMO-N°0415](https://library.wmo.int/doc_num.php?explnum_id=1065) | On The Statistical Analysis of Series of Observations | 1990 | [:bookmark_tabs:](WMO.0415.StatisticalAnalysisSerieObservation.1990.pdf) | | | | | | | | | |</v>
      </c>
    </row>
    <row r="32" spans="2:21" ht="46.15" x14ac:dyDescent="0.55000000000000004">
      <c r="B32" s="5" t="s">
        <v>93</v>
      </c>
      <c r="C32" s="4" t="s">
        <v>25</v>
      </c>
      <c r="D32" s="4">
        <v>2019</v>
      </c>
      <c r="E32" s="4" t="s">
        <v>94</v>
      </c>
      <c r="F32" s="4"/>
      <c r="G32" s="4"/>
      <c r="H32" s="4"/>
      <c r="I32" s="4"/>
      <c r="J32" s="4"/>
      <c r="K32" s="4"/>
      <c r="L32" s="4"/>
      <c r="M32" s="5"/>
      <c r="N32" s="4"/>
      <c r="O32" s="4"/>
      <c r="P32" s="5" t="str">
        <f t="shared" si="6"/>
        <v>| [WMO-N°0485](https://library.wmo.int/doc_num.php?explnum_id=10281) | Manual del Sistema Mundial de Proceso de Datos y de Predicción |</v>
      </c>
      <c r="Q32" s="5" t="str">
        <f t="shared" si="7"/>
        <v>| [WMO-N°0485](https://library.wmo.int/doc_num.php?explnum_id=10281) | Manual del Sistema Mundial de Proceso de Datos y de Predicción | 2019 |</v>
      </c>
      <c r="R32" s="5" t="str">
        <f t="shared" si="3"/>
        <v>| [WMO-N°0485](https://library.wmo.int/doc_num.php?explnum_id=10281) | Manual del Sistema Mundial de Proceso de Datos y de Predicción | 2019 | [:bookmark_tabs:](WMO.0485.ManualSistemaMundialProcesoDatosPrediccion.2019.pdf) |</v>
      </c>
      <c r="S32" s="5" t="str">
        <f t="shared" si="4"/>
        <v>| [WMO-N°0485](https://library.wmo.int/doc_num.php?explnum_id=10281) | Manual del Sistema Mundial de Proceso de Datos y de Predicción | 2019 | [:bookmark_tabs:](WMO.0485.ManualSistemaMundialProcesoDatosPrediccion.2019.pdf) | |</v>
      </c>
      <c r="T32" s="5" t="str">
        <f t="shared" si="0"/>
        <v>| [WMO-N°0485](https://library.wmo.int/doc_num.php?explnum_id=10281) | Manual del Sistema Mundial de Proceso de Datos y de Predicción | 2019 | [:bookmark_tabs:](WMO.0485.ManualSistemaMundialProcesoDatosPrediccion.2019.pdf) | | | | | | |</v>
      </c>
      <c r="U32" s="5" t="str">
        <f t="shared" si="5"/>
        <v>| [WMO-N°0485](https://library.wmo.int/doc_num.php?explnum_id=10281) | Manual del Sistema Mundial de Proceso de Datos y de Predicción | 2019 | [:bookmark_tabs:](WMO.0485.ManualSistemaMundialProcesoDatosPrediccion.2019.pdf) | | | | | | | | | |</v>
      </c>
    </row>
    <row r="33" spans="2:21" ht="46.15" x14ac:dyDescent="0.55000000000000004">
      <c r="B33" s="5" t="s">
        <v>95</v>
      </c>
      <c r="C33" s="4" t="s">
        <v>26</v>
      </c>
      <c r="D33" s="4">
        <v>2014</v>
      </c>
      <c r="E33" s="4" t="s">
        <v>96</v>
      </c>
      <c r="F33" s="4"/>
      <c r="G33" s="4"/>
      <c r="H33" s="4"/>
      <c r="I33" s="4"/>
      <c r="J33" s="4"/>
      <c r="K33" s="4"/>
      <c r="L33" s="4"/>
      <c r="M33" s="5"/>
      <c r="N33" s="4"/>
      <c r="O33" s="4"/>
      <c r="P33" s="5" t="str">
        <f t="shared" si="6"/>
        <v>| [WMO-N°1131](https://library.wmo.int/doc_num.php?explnum_id=7867) | Climate Data Management System Specifications |</v>
      </c>
      <c r="Q33" s="5" t="str">
        <f t="shared" si="7"/>
        <v>| [WMO-N°1131](https://library.wmo.int/doc_num.php?explnum_id=7867) | Climate Data Management System Specifications | 2014 |</v>
      </c>
      <c r="R33" s="5" t="str">
        <f t="shared" si="3"/>
        <v>| [WMO-N°1131](https://library.wmo.int/doc_num.php?explnum_id=7867) | Climate Data Management System Specifications | 2014 | [:bookmark_tabs:](WMO.1131.ClimateDataManagementSystem.2014.pdf) |</v>
      </c>
      <c r="S33" s="5" t="str">
        <f t="shared" si="4"/>
        <v>| [WMO-N°1131](https://library.wmo.int/doc_num.php?explnum_id=7867) | Climate Data Management System Specifications | 2014 | [:bookmark_tabs:](WMO.1131.ClimateDataManagementSystem.2014.pdf) | |</v>
      </c>
      <c r="T33" s="5" t="str">
        <f t="shared" si="0"/>
        <v>| [WMO-N°1131](https://library.wmo.int/doc_num.php?explnum_id=7867) | Climate Data Management System Specifications | 2014 | [:bookmark_tabs:](WMO.1131.ClimateDataManagementSystem.2014.pdf) | | | | | | |</v>
      </c>
      <c r="U33" s="5" t="str">
        <f t="shared" si="5"/>
        <v>| [WMO-N°1131](https://library.wmo.int/doc_num.php?explnum_id=7867) | Climate Data Management System Specifications | 2014 | [:bookmark_tabs:](WMO.1131.ClimateDataManagementSystem.2014.pdf) | | | | | | | | | |</v>
      </c>
    </row>
    <row r="34" spans="2:21" x14ac:dyDescent="0.55000000000000004">
      <c r="B34" s="4" t="s">
        <v>97</v>
      </c>
      <c r="C34" s="4" t="s">
        <v>27</v>
      </c>
      <c r="D34" s="4">
        <v>2016</v>
      </c>
      <c r="E34" s="4" t="s">
        <v>98</v>
      </c>
      <c r="F34" s="4"/>
      <c r="G34" s="4"/>
      <c r="H34" s="4"/>
      <c r="I34" s="4"/>
      <c r="J34" s="4"/>
      <c r="K34" s="4"/>
      <c r="L34" s="4"/>
      <c r="M34" s="5"/>
      <c r="N34" s="5"/>
      <c r="O34" s="4"/>
      <c r="P34" s="5" t="str">
        <f t="shared" si="6"/>
        <v>| [WMO-N°1170](https://library.wmo.int/doc_num.php?explnum_id=7936) | Climate Services for Supporting Climate Change Adaptation |</v>
      </c>
      <c r="Q34" s="5" t="str">
        <f t="shared" si="7"/>
        <v>| [WMO-N°1170](https://library.wmo.int/doc_num.php?explnum_id=7936) | Climate Services for Supporting Climate Change Adaptation | 2016 |</v>
      </c>
      <c r="R34" s="5" t="str">
        <f t="shared" si="3"/>
        <v>| [WMO-N°1170](https://library.wmo.int/doc_num.php?explnum_id=7936) | Climate Services for Supporting Climate Change Adaptation | 2016 | [:bookmark_tabs:](WMO.1170.ClimateServiceForSupportingClimateChangeAdaptation.2016.pdf) |</v>
      </c>
      <c r="S34" s="5" t="str">
        <f t="shared" si="4"/>
        <v>| [WMO-N°1170](https://library.wmo.int/doc_num.php?explnum_id=7936) | Climate Services for Supporting Climate Change Adaptation | 2016 | [:bookmark_tabs:](WMO.1170.ClimateServiceForSupportingClimateChangeAdaptation.2016.pdf) | |</v>
      </c>
      <c r="T34" s="5" t="str">
        <f t="shared" si="0"/>
        <v>| [WMO-N°1170](https://library.wmo.int/doc_num.php?explnum_id=7936) | Climate Services for Supporting Climate Change Adaptation | 2016 | [:bookmark_tabs:](WMO.1170.ClimateServiceForSupportingClimateChangeAdaptation.2016.pdf) | | | | | | |</v>
      </c>
      <c r="U34" s="5" t="str">
        <f t="shared" si="5"/>
        <v>| [WMO-N°1170](https://library.wmo.int/doc_num.php?explnum_id=7936) | Climate Services for Supporting Climate Change Adaptation | 2016 | [:bookmark_tabs:](WMO.1170.ClimateServiceForSupportingClimateChangeAdaptation.2016.pdf) | | | | | | | | | |</v>
      </c>
    </row>
    <row r="35" spans="2:21" x14ac:dyDescent="0.55000000000000004">
      <c r="B35" s="4" t="s">
        <v>99</v>
      </c>
      <c r="C35" s="4" t="s">
        <v>28</v>
      </c>
      <c r="D35" s="4">
        <v>2018</v>
      </c>
      <c r="E35" s="4" t="s">
        <v>100</v>
      </c>
      <c r="F35" s="4"/>
      <c r="G35" s="4"/>
      <c r="H35" s="4"/>
      <c r="I35" s="4"/>
      <c r="J35" s="4"/>
      <c r="K35" s="4"/>
      <c r="L35" s="4"/>
      <c r="M35" s="5"/>
      <c r="N35" s="4"/>
      <c r="O35" s="4"/>
      <c r="P35" s="5" t="str">
        <f t="shared" si="6"/>
        <v>| [WMO-N°1221](https://library.wmo.int/doc_num.php?explnum_id=5174) | Guidelines on Quality Management in Climate Services |</v>
      </c>
      <c r="Q35" s="5" t="str">
        <f t="shared" si="7"/>
        <v>| [WMO-N°1221](https://library.wmo.int/doc_num.php?explnum_id=5174) | Guidelines on Quality Management in Climate Services | 2018 |</v>
      </c>
      <c r="R35" s="5" t="str">
        <f t="shared" si="3"/>
        <v>| [WMO-N°1221](https://library.wmo.int/doc_num.php?explnum_id=5174) | Guidelines on Quality Management in Climate Services | 2018 | [:bookmark_tabs:](WMO.1221.GuidelinesQualityManagementClimateServices.2018.pdf) |</v>
      </c>
      <c r="S35" s="5" t="str">
        <f t="shared" si="4"/>
        <v>| [WMO-N°1221](https://library.wmo.int/doc_num.php?explnum_id=5174) | Guidelines on Quality Management in Climate Services | 2018 | [:bookmark_tabs:](WMO.1221.GuidelinesQualityManagementClimateServices.2018.pdf) | |</v>
      </c>
      <c r="T35" s="5" t="str">
        <f t="shared" si="0"/>
        <v>| [WMO-N°1221](https://library.wmo.int/doc_num.php?explnum_id=5174) | Guidelines on Quality Management in Climate Services | 2018 | [:bookmark_tabs:](WMO.1221.GuidelinesQualityManagementClimateServices.2018.pdf) | | | | | | |</v>
      </c>
      <c r="U35" s="5" t="str">
        <f t="shared" si="5"/>
        <v>| [WMO-N°1221](https://library.wmo.int/doc_num.php?explnum_id=5174) | Guidelines on Quality Management in Climate Services | 2018 | [:bookmark_tabs:](WMO.1221.GuidelinesQualityManagementClimateServices.2018.pdf) | | | | | | | | | |</v>
      </c>
    </row>
    <row r="36" spans="2:21" x14ac:dyDescent="0.55000000000000004">
      <c r="B36" s="4" t="s">
        <v>101</v>
      </c>
      <c r="C36" s="4" t="s">
        <v>43</v>
      </c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 t="str">
        <f t="shared" si="6"/>
        <v>| [WMO](https://public.wmo.int/) | Normas asociadas a metodologías para actividades hidrometeorológicas |</v>
      </c>
      <c r="Q36" s="5" t="str">
        <f t="shared" si="7"/>
        <v>| [WMO](https://public.wmo.int/) | Normas asociadas a metodologías para actividades hidrometeorológicas |  |</v>
      </c>
      <c r="R36" s="5" t="str">
        <f t="shared" si="3"/>
        <v>| [WMO](https://public.wmo.int/) | Normas asociadas a metodologías para actividades hidrometeorológicas |  |  |</v>
      </c>
      <c r="S36" s="5" t="str">
        <f t="shared" si="4"/>
        <v>| [WMO](https://public.wmo.int/) | Normas asociadas a metodologías para actividades hidrometeorológicas |  |  | |</v>
      </c>
      <c r="T36" s="5" t="str">
        <f t="shared" si="0"/>
        <v>| [WMO](https://public.wmo.int/) | Normas asociadas a metodologías para actividades hidrometeorológicas |  |  | | | | | | |</v>
      </c>
      <c r="U36" s="5" t="str">
        <f t="shared" si="5"/>
        <v>| [WMO](https://public.wmo.int/) | Normas asociadas a metodologías para actividades hidrometeorológicas |  |  | | | | | | | | | |</v>
      </c>
    </row>
    <row r="37" spans="2:21" ht="46.15" x14ac:dyDescent="0.55000000000000004">
      <c r="B37" s="5" t="s">
        <v>102</v>
      </c>
      <c r="C37" s="4" t="s">
        <v>44</v>
      </c>
      <c r="D37" s="4">
        <v>2014</v>
      </c>
      <c r="E37" s="10"/>
      <c r="F37" s="4"/>
      <c r="G37" s="4"/>
      <c r="H37" s="4"/>
      <c r="I37" s="4"/>
      <c r="J37" s="4"/>
      <c r="K37" s="4"/>
      <c r="L37" s="4"/>
      <c r="M37" s="5"/>
      <c r="N37" s="4"/>
      <c r="O37" s="4"/>
      <c r="P37" s="5" t="str">
        <f t="shared" si="6"/>
        <v>| [ISO-19115](https://www.iso.org/standard/26020.html) | Metadatos para Información Geográfica, ISO - International Organization for Standardization. Descrito en la NS-030 de la EAAB |</v>
      </c>
      <c r="Q37" s="5" t="str">
        <f t="shared" si="7"/>
        <v>| [ISO-19115](https://www.iso.org/standard/26020.html) | Metadatos para Información Geográfica, ISO - International Organization for Standardization. Descrito en la NS-030 de la EAAB | 2014 |</v>
      </c>
      <c r="R37" s="5" t="str">
        <f t="shared" si="3"/>
        <v>| [ISO-19115](https://www.iso.org/standard/26020.html) | Metadatos para Información Geográfica, ISO - International Organization for Standardization. Descrito en la NS-030 de la EAAB | 2014 |  |</v>
      </c>
      <c r="S37" s="5" t="str">
        <f t="shared" si="4"/>
        <v>| [ISO-19115](https://www.iso.org/standard/26020.html) | Metadatos para Información Geográfica, ISO - International Organization for Standardization. Descrito en la NS-030 de la EAAB | 2014 |  | |</v>
      </c>
      <c r="T37" s="5" t="str">
        <f t="shared" si="0"/>
        <v>| [ISO-19115](https://www.iso.org/standard/26020.html) | Metadatos para Información Geográfica, ISO - International Organization for Standardization. Descrito en la NS-030 de la EAAB | 2014 |  | | | | | | |</v>
      </c>
      <c r="U37" s="5" t="str">
        <f t="shared" si="5"/>
        <v>| [ISO-19115](https://www.iso.org/standard/26020.html) | Metadatos para Información Geográfica, ISO - International Organization for Standardization. Descrito en la NS-030 de la EAAB | 2014 |  | | | | | | | | | |</v>
      </c>
    </row>
    <row r="38" spans="2:21" ht="46.15" x14ac:dyDescent="0.55000000000000004">
      <c r="B38" s="5" t="s">
        <v>103</v>
      </c>
      <c r="C38" s="5" t="s">
        <v>45</v>
      </c>
      <c r="D38" s="4" t="s">
        <v>29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 t="str">
        <f t="shared" si="6"/>
        <v>| [ISO-IEC-11179 Partes 1 a 7](https://www.iso.org/standard/61932.html
)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 |</v>
      </c>
      <c r="Q38" s="5" t="str">
        <f t="shared" si="7"/>
        <v>| [ISO-IEC-11179 Partes 1 a 7](https://www.iso.org/standard/61932.html
)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 | Varias |</v>
      </c>
      <c r="R38" s="5" t="str">
        <f t="shared" si="3"/>
        <v>| [ISO-IEC-11179 Partes 1 a 7](https://www.iso.org/standard/61932.html
)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 | Varias |  |</v>
      </c>
      <c r="S38" s="5" t="str">
        <f t="shared" si="4"/>
        <v>| [ISO-IEC-11179 Partes 1 a 7](https://www.iso.org/standard/61932.html
)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 | Varias |  | |</v>
      </c>
      <c r="T38" s="5" t="str">
        <f t="shared" si="0"/>
        <v>| [ISO-IEC-11179 Partes 1 a 7](https://www.iso.org/standard/61932.html
)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 | Varias |  | | | | | | |</v>
      </c>
      <c r="U38" s="5" t="str">
        <f t="shared" si="5"/>
        <v>| [ISO-IEC-11179 Partes 1 a 7](https://www.iso.org/standard/61932.html
) | Tecnologías de la Información - Medatatos en sistemas de información: Framework, Classification, Registry metamodel and basic attributes, Formulation of data definitions, Naming and Identification Principle, Registration. ISO - International Organization for Standardization. Aplicable para diccionarios de datos | Varias |  | | | | | | | | | |</v>
      </c>
    </row>
    <row r="39" spans="2:21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 t="str">
        <f t="shared" si="6"/>
        <v>|  |  |</v>
      </c>
      <c r="Q39" s="5" t="str">
        <f t="shared" si="7"/>
        <v>|  |  |  |</v>
      </c>
      <c r="R39" s="5" t="str">
        <f t="shared" si="3"/>
        <v>|  |  |  |  |</v>
      </c>
      <c r="S39" s="5" t="str">
        <f t="shared" si="4"/>
        <v>|  |  |  |  | |</v>
      </c>
      <c r="T39" s="5" t="str">
        <f t="shared" si="0"/>
        <v>|  |  |  |  | | | | | | |</v>
      </c>
      <c r="U39" s="5" t="str">
        <f t="shared" si="5"/>
        <v>|  |  |  |  | | | | | | | | | |</v>
      </c>
    </row>
    <row r="40" spans="2:21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 t="str">
        <f t="shared" si="6"/>
        <v>|  |  |</v>
      </c>
      <c r="Q40" s="5" t="str">
        <f t="shared" si="7"/>
        <v>|  |  |  |</v>
      </c>
      <c r="R40" s="5" t="str">
        <f t="shared" si="3"/>
        <v>|  |  |  |  |</v>
      </c>
      <c r="S40" s="5" t="str">
        <f t="shared" si="4"/>
        <v>|  |  |  |  | |</v>
      </c>
      <c r="T40" s="5" t="str">
        <f t="shared" si="0"/>
        <v>|  |  |  |  | | | | | | |</v>
      </c>
      <c r="U40" s="5" t="str">
        <f t="shared" si="5"/>
        <v>|  |  |  |  | | | | | | | | | |</v>
      </c>
    </row>
    <row r="41" spans="2:21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 t="str">
        <f t="shared" si="6"/>
        <v>|  |  |</v>
      </c>
      <c r="Q41" s="5" t="str">
        <f t="shared" si="7"/>
        <v>|  |  |  |</v>
      </c>
      <c r="R41" s="5" t="str">
        <f t="shared" si="3"/>
        <v>|  |  |  |  |</v>
      </c>
      <c r="S41" s="5" t="str">
        <f t="shared" si="4"/>
        <v>|  |  |  |  | |</v>
      </c>
      <c r="T41" s="5" t="str">
        <f t="shared" si="0"/>
        <v>|  |  |  |  | | | | | | |</v>
      </c>
      <c r="U41" s="5" t="str">
        <f t="shared" si="5"/>
        <v>|  |  |  |  | | | | | | | | | |</v>
      </c>
    </row>
    <row r="42" spans="2:21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 t="str">
        <f t="shared" si="6"/>
        <v>|  |  |</v>
      </c>
      <c r="Q42" s="5" t="str">
        <f t="shared" si="7"/>
        <v>|  |  |  |</v>
      </c>
      <c r="R42" s="5" t="str">
        <f t="shared" si="3"/>
        <v>|  |  |  |  |</v>
      </c>
      <c r="S42" s="5" t="str">
        <f t="shared" si="4"/>
        <v>|  |  |  |  | |</v>
      </c>
      <c r="T42" s="5" t="str">
        <f t="shared" si="0"/>
        <v>|  |  |  |  | | | | | | |</v>
      </c>
      <c r="U42" s="5" t="str">
        <f t="shared" si="5"/>
        <v>|  |  |  |  | | | | | | | | | |</v>
      </c>
    </row>
    <row r="43" spans="2:21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 t="str">
        <f t="shared" si="6"/>
        <v>|  |  |</v>
      </c>
      <c r="Q43" s="5" t="str">
        <f t="shared" si="7"/>
        <v>|  |  |  |</v>
      </c>
      <c r="R43" s="5" t="str">
        <f t="shared" si="3"/>
        <v>|  |  |  |  |</v>
      </c>
      <c r="S43" s="5" t="str">
        <f t="shared" si="4"/>
        <v>|  |  |  |  | |</v>
      </c>
      <c r="T43" s="5" t="str">
        <f t="shared" si="0"/>
        <v>|  |  |  |  | | | | | | |</v>
      </c>
      <c r="U43" s="5" t="str">
        <f t="shared" si="5"/>
        <v>|  |  |  |  | | | | | | | | | |</v>
      </c>
    </row>
    <row r="44" spans="2:21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 t="str">
        <f t="shared" si="6"/>
        <v>|  |  |</v>
      </c>
      <c r="Q44" s="5" t="str">
        <f t="shared" si="7"/>
        <v>|  |  |  |</v>
      </c>
      <c r="R44" s="5" t="str">
        <f t="shared" si="3"/>
        <v>|  |  |  |  |</v>
      </c>
      <c r="S44" s="5" t="str">
        <f t="shared" si="4"/>
        <v>|  |  |  |  | |</v>
      </c>
      <c r="T44" s="5" t="str">
        <f t="shared" si="0"/>
        <v>|  |  |  |  | | | | | | |</v>
      </c>
      <c r="U44" s="5" t="str">
        <f t="shared" si="5"/>
        <v>|  |  |  |  | | | | | | | | | |</v>
      </c>
    </row>
    <row r="45" spans="2:21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si="6"/>
        <v>|  |  |</v>
      </c>
      <c r="Q45" s="5" t="str">
        <f t="shared" si="7"/>
        <v>|  |  |  |</v>
      </c>
      <c r="R45" s="5" t="str">
        <f t="shared" si="3"/>
        <v>|  |  |  |  |</v>
      </c>
      <c r="S45" s="5" t="str">
        <f t="shared" si="4"/>
        <v>|  |  |  |  | |</v>
      </c>
      <c r="T45" s="5" t="str">
        <f t="shared" si="0"/>
        <v>|  |  |  |  | | | | | | |</v>
      </c>
      <c r="U45" s="5" t="str">
        <f t="shared" si="5"/>
        <v>|  |  |  |  | | | | | | | | | |</v>
      </c>
    </row>
    <row r="46" spans="2:21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6"/>
        <v>|  |  |</v>
      </c>
      <c r="Q46" s="5" t="str">
        <f t="shared" si="7"/>
        <v>|  |  |  |</v>
      </c>
      <c r="R46" s="5" t="str">
        <f t="shared" si="3"/>
        <v>|  |  |  |  |</v>
      </c>
      <c r="S46" s="5" t="str">
        <f t="shared" si="4"/>
        <v>|  |  |  |  | |</v>
      </c>
      <c r="T46" s="5" t="str">
        <f t="shared" si="0"/>
        <v>|  |  |  |  | | | | | | |</v>
      </c>
      <c r="U46" s="5" t="str">
        <f t="shared" si="5"/>
        <v>|  |  |  |  | | | | | | | | | |</v>
      </c>
    </row>
    <row r="47" spans="2:21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6"/>
        <v>|  |  |</v>
      </c>
      <c r="Q47" s="5" t="str">
        <f t="shared" si="7"/>
        <v>|  |  |  |</v>
      </c>
      <c r="R47" s="5" t="str">
        <f t="shared" si="3"/>
        <v>|  |  |  |  |</v>
      </c>
      <c r="S47" s="5" t="str">
        <f t="shared" si="4"/>
        <v>|  |  |  |  | |</v>
      </c>
      <c r="T47" s="5" t="str">
        <f t="shared" si="0"/>
        <v>|  |  |  |  | | | | | | |</v>
      </c>
      <c r="U47" s="5" t="str">
        <f t="shared" si="5"/>
        <v>|  |  |  |  | | | | | | | | | |</v>
      </c>
    </row>
    <row r="48" spans="2:21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6"/>
        <v>|  |  |</v>
      </c>
      <c r="Q48" s="5" t="str">
        <f t="shared" si="7"/>
        <v>|  |  |  |</v>
      </c>
      <c r="R48" s="5" t="str">
        <f t="shared" si="3"/>
        <v>|  |  |  |  |</v>
      </c>
      <c r="S48" s="5" t="str">
        <f t="shared" si="4"/>
        <v>|  |  |  |  | |</v>
      </c>
      <c r="T48" s="5" t="str">
        <f t="shared" si="0"/>
        <v>|  |  |  |  | | | | | | |</v>
      </c>
      <c r="U48" s="5" t="str">
        <f t="shared" si="5"/>
        <v>|  |  |  |  | | | | | | | | | |</v>
      </c>
    </row>
    <row r="49" spans="2:21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6"/>
        <v>|  |  |</v>
      </c>
      <c r="Q49" s="5" t="str">
        <f t="shared" si="7"/>
        <v>|  |  |  |</v>
      </c>
      <c r="R49" s="5" t="str">
        <f t="shared" si="3"/>
        <v>|  |  |  |  |</v>
      </c>
      <c r="S49" s="5" t="str">
        <f t="shared" si="4"/>
        <v>|  |  |  |  | |</v>
      </c>
      <c r="T49" s="5" t="str">
        <f t="shared" si="0"/>
        <v>|  |  |  |  | | | | | | |</v>
      </c>
      <c r="U49" s="5" t="str">
        <f t="shared" si="5"/>
        <v>|  |  |  |  | | | | | | | | | |</v>
      </c>
    </row>
    <row r="50" spans="2:21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6"/>
        <v>|  |  |</v>
      </c>
      <c r="Q50" s="5" t="str">
        <f t="shared" si="7"/>
        <v>|  |  |  |</v>
      </c>
      <c r="R50" s="5" t="str">
        <f t="shared" si="3"/>
        <v>|  |  |  |  |</v>
      </c>
      <c r="S50" s="5" t="str">
        <f t="shared" si="4"/>
        <v>|  |  |  |  | |</v>
      </c>
      <c r="T50" s="5" t="str">
        <f t="shared" si="0"/>
        <v>|  |  |  |  | | | | | | |</v>
      </c>
      <c r="U50" s="5" t="str">
        <f t="shared" si="5"/>
        <v>|  |  |  |  | | | | | | | | | |</v>
      </c>
    </row>
    <row r="51" spans="2:21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6"/>
        <v>|  |  |</v>
      </c>
      <c r="Q51" s="5" t="str">
        <f t="shared" si="7"/>
        <v>|  |  |  |</v>
      </c>
      <c r="R51" s="5" t="str">
        <f t="shared" si="3"/>
        <v>|  |  |  |  |</v>
      </c>
      <c r="S51" s="5" t="str">
        <f t="shared" si="4"/>
        <v>|  |  |  |  | |</v>
      </c>
      <c r="T51" s="5" t="str">
        <f t="shared" si="0"/>
        <v>|  |  |  |  | | | | | | |</v>
      </c>
      <c r="U51" s="5" t="str">
        <f t="shared" si="5"/>
        <v>|  |  |  |  | | | | | | | | | |</v>
      </c>
    </row>
    <row r="52" spans="2:21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6"/>
        <v>|  |  |</v>
      </c>
      <c r="Q52" s="5" t="str">
        <f t="shared" si="7"/>
        <v>|  |  |  |</v>
      </c>
      <c r="R52" s="5" t="str">
        <f t="shared" si="3"/>
        <v>|  |  |  |  |</v>
      </c>
      <c r="S52" s="5" t="str">
        <f t="shared" si="4"/>
        <v>|  |  |  |  | |</v>
      </c>
      <c r="T52" s="5" t="str">
        <f t="shared" si="0"/>
        <v>|  |  |  |  | | | | | | |</v>
      </c>
      <c r="U52" s="5" t="str">
        <f t="shared" si="5"/>
        <v>|  |  |  |  | | | | | | | | | |</v>
      </c>
    </row>
    <row r="53" spans="2:21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6"/>
        <v>|  |  |</v>
      </c>
      <c r="Q53" s="5" t="str">
        <f t="shared" si="7"/>
        <v>|  |  |  |</v>
      </c>
      <c r="R53" s="5" t="str">
        <f t="shared" si="3"/>
        <v>|  |  |  |  |</v>
      </c>
      <c r="S53" s="5" t="str">
        <f t="shared" si="4"/>
        <v>|  |  |  |  | |</v>
      </c>
      <c r="T53" s="5" t="str">
        <f t="shared" si="0"/>
        <v>|  |  |  |  | | | | | | |</v>
      </c>
      <c r="U53" s="5" t="str">
        <f t="shared" si="5"/>
        <v>|  |  |  |  | | | | | | | | | |</v>
      </c>
    </row>
    <row r="54" spans="2:21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6"/>
        <v>|  |  |</v>
      </c>
      <c r="Q54" s="5" t="str">
        <f t="shared" si="7"/>
        <v>|  |  |  |</v>
      </c>
      <c r="R54" s="5" t="str">
        <f t="shared" si="3"/>
        <v>|  |  |  |  |</v>
      </c>
      <c r="S54" s="5" t="str">
        <f t="shared" si="4"/>
        <v>|  |  |  |  | |</v>
      </c>
      <c r="T54" s="5" t="str">
        <f t="shared" si="0"/>
        <v>|  |  |  |  | | | | | | |</v>
      </c>
      <c r="U54" s="5" t="str">
        <f t="shared" si="5"/>
        <v>|  |  |  |  | | | | | | | | | |</v>
      </c>
    </row>
    <row r="55" spans="2:21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6"/>
        <v>|  |  |</v>
      </c>
      <c r="Q55" s="5" t="str">
        <f t="shared" si="7"/>
        <v>|  |  |  |</v>
      </c>
      <c r="R55" s="5" t="str">
        <f t="shared" si="3"/>
        <v>|  |  |  |  |</v>
      </c>
      <c r="S55" s="5" t="str">
        <f t="shared" si="4"/>
        <v>|  |  |  |  | |</v>
      </c>
      <c r="T55" s="5" t="str">
        <f t="shared" si="0"/>
        <v>|  |  |  |  | | | | | | |</v>
      </c>
      <c r="U55" s="5" t="str">
        <f t="shared" si="5"/>
        <v>|  |  |  |  | | | | | | | | | |</v>
      </c>
    </row>
    <row r="56" spans="2:21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6"/>
        <v>|  |  |</v>
      </c>
      <c r="Q56" s="5" t="str">
        <f t="shared" si="7"/>
        <v>|  |  |  |</v>
      </c>
      <c r="R56" s="5" t="str">
        <f t="shared" si="3"/>
        <v>|  |  |  |  |</v>
      </c>
      <c r="S56" s="5" t="str">
        <f t="shared" si="4"/>
        <v>|  |  |  |  | |</v>
      </c>
      <c r="T56" s="5" t="str">
        <f t="shared" si="0"/>
        <v>|  |  |  |  | | | | | | |</v>
      </c>
      <c r="U56" s="5" t="str">
        <f t="shared" si="5"/>
        <v>|  |  |  |  | | | | | | | | | |</v>
      </c>
    </row>
    <row r="57" spans="2:21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6"/>
        <v>|  |  |</v>
      </c>
      <c r="Q57" s="5" t="str">
        <f t="shared" si="7"/>
        <v>|  |  |  |</v>
      </c>
      <c r="R57" s="5" t="str">
        <f t="shared" si="3"/>
        <v>|  |  |  |  |</v>
      </c>
      <c r="S57" s="5" t="str">
        <f t="shared" si="4"/>
        <v>|  |  |  |  | |</v>
      </c>
      <c r="T57" s="5" t="str">
        <f t="shared" si="0"/>
        <v>|  |  |  |  | | | | | | |</v>
      </c>
      <c r="U57" s="5" t="str">
        <f t="shared" si="5"/>
        <v>|  |  |  |  | | | | | | | | | |</v>
      </c>
    </row>
    <row r="58" spans="2:21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6"/>
        <v>|  |  |</v>
      </c>
      <c r="Q58" s="5" t="str">
        <f t="shared" si="7"/>
        <v>|  |  |  |</v>
      </c>
      <c r="R58" s="5" t="str">
        <f t="shared" si="3"/>
        <v>|  |  |  |  |</v>
      </c>
      <c r="S58" s="5" t="str">
        <f t="shared" si="4"/>
        <v>|  |  |  |  | |</v>
      </c>
      <c r="T58" s="5" t="str">
        <f t="shared" si="0"/>
        <v>|  |  |  |  | | | | | | |</v>
      </c>
      <c r="U58" s="5" t="str">
        <f t="shared" si="5"/>
        <v>|  |  |  |  | | | | | | | | | |</v>
      </c>
    </row>
    <row r="59" spans="2:21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6"/>
        <v>|  |  |</v>
      </c>
      <c r="Q59" s="5" t="str">
        <f t="shared" si="7"/>
        <v>|  |  |  |</v>
      </c>
      <c r="R59" s="5" t="str">
        <f t="shared" si="3"/>
        <v>|  |  |  |  |</v>
      </c>
      <c r="S59" s="5" t="str">
        <f t="shared" si="4"/>
        <v>|  |  |  |  | |</v>
      </c>
      <c r="T59" s="5" t="str">
        <f t="shared" si="0"/>
        <v>|  |  |  |  | | | | | | |</v>
      </c>
      <c r="U59" s="5" t="str">
        <f t="shared" si="5"/>
        <v>|  |  |  |  | | | | | | | | | |</v>
      </c>
    </row>
    <row r="60" spans="2:21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6"/>
        <v>|  |  |</v>
      </c>
      <c r="Q60" s="5" t="str">
        <f t="shared" si="7"/>
        <v>|  |  |  |</v>
      </c>
      <c r="R60" s="5" t="str">
        <f t="shared" si="3"/>
        <v>|  |  |  |  |</v>
      </c>
      <c r="S60" s="5" t="str">
        <f t="shared" si="4"/>
        <v>|  |  |  |  | |</v>
      </c>
      <c r="T60" s="5" t="str">
        <f t="shared" si="0"/>
        <v>|  |  |  |  | | | | | | |</v>
      </c>
      <c r="U60" s="5" t="str">
        <f t="shared" si="5"/>
        <v>|  |  |  |  | | | | | | | | | |</v>
      </c>
    </row>
    <row r="61" spans="2:21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6"/>
        <v>|  |  |</v>
      </c>
      <c r="Q61" s="5" t="str">
        <f t="shared" si="7"/>
        <v>|  |  |  |</v>
      </c>
      <c r="R61" s="5" t="str">
        <f t="shared" si="3"/>
        <v>|  |  |  |  |</v>
      </c>
      <c r="S61" s="5" t="str">
        <f t="shared" si="4"/>
        <v>|  |  |  |  | |</v>
      </c>
      <c r="T61" s="5" t="str">
        <f t="shared" si="0"/>
        <v>|  |  |  |  | | | | | | |</v>
      </c>
      <c r="U61" s="5" t="str">
        <f t="shared" si="5"/>
        <v>|  |  |  |  | | | | | | | | | |</v>
      </c>
    </row>
    <row r="62" spans="2:21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6"/>
        <v>|  |  |</v>
      </c>
      <c r="Q62" s="5" t="str">
        <f t="shared" si="7"/>
        <v>|  |  |  |</v>
      </c>
      <c r="R62" s="5" t="str">
        <f t="shared" si="3"/>
        <v>|  |  |  |  |</v>
      </c>
      <c r="S62" s="5" t="str">
        <f t="shared" si="4"/>
        <v>|  |  |  |  | |</v>
      </c>
      <c r="T62" s="5" t="str">
        <f t="shared" si="0"/>
        <v>|  |  |  |  | | | | | | |</v>
      </c>
      <c r="U62" s="5" t="str">
        <f t="shared" si="5"/>
        <v>|  |  |  |  | | | | | | | | | |</v>
      </c>
    </row>
    <row r="63" spans="2:21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6"/>
        <v>|  |  |</v>
      </c>
      <c r="Q63" s="5" t="str">
        <f t="shared" si="7"/>
        <v>|  |  |  |</v>
      </c>
      <c r="R63" s="5" t="str">
        <f t="shared" si="3"/>
        <v>|  |  |  |  |</v>
      </c>
      <c r="S63" s="5" t="str">
        <f t="shared" si="4"/>
        <v>|  |  |  |  | |</v>
      </c>
      <c r="T63" s="5" t="str">
        <f t="shared" si="0"/>
        <v>|  |  |  |  | | | | | | |</v>
      </c>
      <c r="U63" s="5" t="str">
        <f t="shared" si="5"/>
        <v>|  |  |  |  | | | | | | | | | |</v>
      </c>
    </row>
    <row r="64" spans="2:21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6"/>
        <v>|  |  |</v>
      </c>
      <c r="Q64" s="5" t="str">
        <f t="shared" si="7"/>
        <v>|  |  |  |</v>
      </c>
      <c r="R64" s="5" t="str">
        <f t="shared" si="3"/>
        <v>|  |  |  |  |</v>
      </c>
      <c r="S64" s="5" t="str">
        <f t="shared" si="4"/>
        <v>|  |  |  |  | |</v>
      </c>
      <c r="T64" s="5" t="str">
        <f t="shared" si="0"/>
        <v>|  |  |  |  | | | | | | |</v>
      </c>
      <c r="U64" s="5" t="str">
        <f t="shared" si="5"/>
        <v>|  |  |  |  | | | | | | | | | |</v>
      </c>
    </row>
    <row r="65" spans="2:21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6"/>
        <v>|  |  |</v>
      </c>
      <c r="Q65" s="5" t="str">
        <f t="shared" si="7"/>
        <v>|  |  |  |</v>
      </c>
      <c r="R65" s="5" t="str">
        <f t="shared" si="3"/>
        <v>|  |  |  |  |</v>
      </c>
      <c r="S65" s="5" t="str">
        <f t="shared" si="4"/>
        <v>|  |  |  |  | |</v>
      </c>
      <c r="T65" s="5" t="str">
        <f t="shared" si="0"/>
        <v>|  |  |  |  | | | | | | |</v>
      </c>
      <c r="U65" s="5" t="str">
        <f t="shared" si="5"/>
        <v>|  |  |  |  | | | | | | | | | |</v>
      </c>
    </row>
    <row r="66" spans="2:21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6"/>
        <v>|  |  |</v>
      </c>
      <c r="Q66" s="5" t="str">
        <f t="shared" si="7"/>
        <v>|  |  |  |</v>
      </c>
      <c r="R66" s="5" t="str">
        <f t="shared" si="3"/>
        <v>|  |  |  |  |</v>
      </c>
      <c r="S66" s="5" t="str">
        <f t="shared" si="4"/>
        <v>|  |  |  |  | |</v>
      </c>
      <c r="T66" s="5" t="str">
        <f t="shared" si="0"/>
        <v>|  |  |  |  | | | | | | |</v>
      </c>
      <c r="U66" s="5" t="str">
        <f t="shared" si="5"/>
        <v>|  |  |  |  | | | | | | | | | |</v>
      </c>
    </row>
    <row r="67" spans="2:21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6"/>
        <v>|  |  |</v>
      </c>
      <c r="Q67" s="5" t="str">
        <f t="shared" si="7"/>
        <v>|  |  |  |</v>
      </c>
      <c r="R67" s="5" t="str">
        <f t="shared" si="3"/>
        <v>|  |  |  |  |</v>
      </c>
      <c r="S67" s="5" t="str">
        <f t="shared" si="4"/>
        <v>|  |  |  |  | |</v>
      </c>
      <c r="T67" s="5" t="str">
        <f t="shared" si="0"/>
        <v>|  |  |  |  | | | | | | |</v>
      </c>
      <c r="U67" s="5" t="str">
        <f t="shared" si="5"/>
        <v>|  |  |  |  | | | | | | | | | |</v>
      </c>
    </row>
    <row r="68" spans="2:21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6"/>
        <v>|  |  |</v>
      </c>
      <c r="Q68" s="5" t="str">
        <f t="shared" si="7"/>
        <v>|  |  |  |</v>
      </c>
      <c r="R68" s="5" t="str">
        <f t="shared" ref="R68:R103" si="8">_xlfn.CONCAT("| ",B68," | ",C68," | ",D68," | ",E68," |")</f>
        <v>|  |  |  |  |</v>
      </c>
      <c r="S68" s="5" t="str">
        <f t="shared" si="4"/>
        <v>|  |  |  |  | |</v>
      </c>
      <c r="T68" s="5" t="str">
        <f t="shared" ref="T68:T103" si="9">_xlfn.CONCAT("| ",B68," | ",C68," | ",D68," | ",E68," |",F68," |",G68," |",H68," |",I68," |",J68," |",K68," |")</f>
        <v>|  |  |  |  | | | | | | |</v>
      </c>
      <c r="U68" s="5" t="str">
        <f t="shared" si="5"/>
        <v>|  |  |  |  | | | | | | | | | |</v>
      </c>
    </row>
    <row r="69" spans="2:21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6"/>
        <v>|  |  |</v>
      </c>
      <c r="Q69" s="5" t="str">
        <f t="shared" si="7"/>
        <v>|  |  |  |</v>
      </c>
      <c r="R69" s="5" t="str">
        <f t="shared" si="8"/>
        <v>|  |  |  |  |</v>
      </c>
      <c r="S69" s="5" t="str">
        <f t="shared" si="4"/>
        <v>|  |  |  |  | |</v>
      </c>
      <c r="T69" s="5" t="str">
        <f t="shared" si="9"/>
        <v>|  |  |  |  | | | | | | |</v>
      </c>
      <c r="U69" s="5" t="str">
        <f t="shared" si="5"/>
        <v>|  |  |  |  | | | | | | | | | |</v>
      </c>
    </row>
    <row r="70" spans="2:21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6"/>
        <v>|  |  |</v>
      </c>
      <c r="Q70" s="5" t="str">
        <f t="shared" si="7"/>
        <v>|  |  |  |</v>
      </c>
      <c r="R70" s="5" t="str">
        <f t="shared" si="8"/>
        <v>|  |  |  |  |</v>
      </c>
      <c r="S70" s="5" t="str">
        <f t="shared" ref="S70:S103" si="10">_xlfn.CONCAT("| ",B70," | ",C70," | ",D70," | ",E70," |",F70," |")</f>
        <v>|  |  |  |  | |</v>
      </c>
      <c r="T70" s="5" t="str">
        <f t="shared" si="9"/>
        <v>|  |  |  |  | | | | | | |</v>
      </c>
      <c r="U70" s="5" t="str">
        <f t="shared" ref="U70:U103" si="11">_xlfn.CONCAT("| ",B70," | ",C70," | ",D70," | ",E70," |",F70," |",G70," |",H70," |",I70," |",J70," |",K70," |",L70," |",M70," |",N70," |")</f>
        <v>|  |  |  |  | | | | | | | | | |</v>
      </c>
    </row>
    <row r="71" spans="2:21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6"/>
        <v>|  |  |</v>
      </c>
      <c r="Q71" s="5" t="str">
        <f t="shared" si="7"/>
        <v>|  |  |  |</v>
      </c>
      <c r="R71" s="5" t="str">
        <f t="shared" si="8"/>
        <v>|  |  |  |  |</v>
      </c>
      <c r="S71" s="5" t="str">
        <f t="shared" si="10"/>
        <v>|  |  |  |  | |</v>
      </c>
      <c r="T71" s="5" t="str">
        <f t="shared" si="9"/>
        <v>|  |  |  |  | | | | | | |</v>
      </c>
      <c r="U71" s="5" t="str">
        <f t="shared" si="11"/>
        <v>|  |  |  |  | | | | | | | | | |</v>
      </c>
    </row>
    <row r="72" spans="2:21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6"/>
        <v>|  |  |</v>
      </c>
      <c r="Q72" s="5" t="str">
        <f t="shared" si="7"/>
        <v>|  |  |  |</v>
      </c>
      <c r="R72" s="5" t="str">
        <f t="shared" si="8"/>
        <v>|  |  |  |  |</v>
      </c>
      <c r="S72" s="5" t="str">
        <f t="shared" si="10"/>
        <v>|  |  |  |  | |</v>
      </c>
      <c r="T72" s="5" t="str">
        <f t="shared" si="9"/>
        <v>|  |  |  |  | | | | | | |</v>
      </c>
      <c r="U72" s="5" t="str">
        <f t="shared" si="11"/>
        <v>|  |  |  |  | | | | | | | | | |</v>
      </c>
    </row>
    <row r="73" spans="2:21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6"/>
        <v>|  |  |</v>
      </c>
      <c r="Q73" s="5" t="str">
        <f t="shared" si="7"/>
        <v>|  |  |  |</v>
      </c>
      <c r="R73" s="5" t="str">
        <f t="shared" si="8"/>
        <v>|  |  |  |  |</v>
      </c>
      <c r="S73" s="5" t="str">
        <f t="shared" si="10"/>
        <v>|  |  |  |  | |</v>
      </c>
      <c r="T73" s="5" t="str">
        <f t="shared" si="9"/>
        <v>|  |  |  |  | | | | | | |</v>
      </c>
      <c r="U73" s="5" t="str">
        <f t="shared" si="11"/>
        <v>|  |  |  |  | | | | | | | | | |</v>
      </c>
    </row>
    <row r="74" spans="2:21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6"/>
        <v>|  |  |</v>
      </c>
      <c r="Q74" s="5" t="str">
        <f t="shared" si="7"/>
        <v>|  |  |  |</v>
      </c>
      <c r="R74" s="5" t="str">
        <f t="shared" si="8"/>
        <v>|  |  |  |  |</v>
      </c>
      <c r="S74" s="5" t="str">
        <f t="shared" si="10"/>
        <v>|  |  |  |  | |</v>
      </c>
      <c r="T74" s="5" t="str">
        <f t="shared" si="9"/>
        <v>|  |  |  |  | | | | | | |</v>
      </c>
      <c r="U74" s="5" t="str">
        <f t="shared" si="11"/>
        <v>|  |  |  |  | | | | | | | | | |</v>
      </c>
    </row>
    <row r="75" spans="2:21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6"/>
        <v>|  |  |</v>
      </c>
      <c r="Q75" s="5" t="str">
        <f t="shared" si="7"/>
        <v>|  |  |  |</v>
      </c>
      <c r="R75" s="5" t="str">
        <f t="shared" si="8"/>
        <v>|  |  |  |  |</v>
      </c>
      <c r="S75" s="5" t="str">
        <f t="shared" si="10"/>
        <v>|  |  |  |  | |</v>
      </c>
      <c r="T75" s="5" t="str">
        <f t="shared" si="9"/>
        <v>|  |  |  |  | | | | | | |</v>
      </c>
      <c r="U75" s="5" t="str">
        <f t="shared" si="11"/>
        <v>|  |  |  |  | | | | | | | | | |</v>
      </c>
    </row>
    <row r="76" spans="2:21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6"/>
        <v>|  |  |</v>
      </c>
      <c r="Q76" s="5" t="str">
        <f t="shared" si="7"/>
        <v>|  |  |  |</v>
      </c>
      <c r="R76" s="5" t="str">
        <f t="shared" si="8"/>
        <v>|  |  |  |  |</v>
      </c>
      <c r="S76" s="5" t="str">
        <f t="shared" si="10"/>
        <v>|  |  |  |  | |</v>
      </c>
      <c r="T76" s="5" t="str">
        <f t="shared" si="9"/>
        <v>|  |  |  |  | | | | | | |</v>
      </c>
      <c r="U76" s="5" t="str">
        <f t="shared" si="11"/>
        <v>|  |  |  |  | | | | | | | | | |</v>
      </c>
    </row>
    <row r="77" spans="2:21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6"/>
        <v>|  |  |</v>
      </c>
      <c r="Q77" s="5" t="str">
        <f t="shared" si="7"/>
        <v>|  |  |  |</v>
      </c>
      <c r="R77" s="5" t="str">
        <f t="shared" si="8"/>
        <v>|  |  |  |  |</v>
      </c>
      <c r="S77" s="5" t="str">
        <f t="shared" si="10"/>
        <v>|  |  |  |  | |</v>
      </c>
      <c r="T77" s="5" t="str">
        <f t="shared" si="9"/>
        <v>|  |  |  |  | | | | | | |</v>
      </c>
      <c r="U77" s="5" t="str">
        <f t="shared" si="11"/>
        <v>|  |  |  |  | | | | | | | | | |</v>
      </c>
    </row>
    <row r="78" spans="2:21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6"/>
        <v>|  |  |</v>
      </c>
      <c r="Q78" s="5" t="str">
        <f t="shared" si="7"/>
        <v>|  |  |  |</v>
      </c>
      <c r="R78" s="5" t="str">
        <f t="shared" si="8"/>
        <v>|  |  |  |  |</v>
      </c>
      <c r="S78" s="5" t="str">
        <f t="shared" si="10"/>
        <v>|  |  |  |  | |</v>
      </c>
      <c r="T78" s="5" t="str">
        <f t="shared" si="9"/>
        <v>|  |  |  |  | | | | | | |</v>
      </c>
      <c r="U78" s="5" t="str">
        <f t="shared" si="11"/>
        <v>|  |  |  |  | | | | | | | | | |</v>
      </c>
    </row>
    <row r="79" spans="2:21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6"/>
        <v>|  |  |</v>
      </c>
      <c r="Q79" s="5" t="str">
        <f t="shared" si="7"/>
        <v>|  |  |  |</v>
      </c>
      <c r="R79" s="5" t="str">
        <f t="shared" si="8"/>
        <v>|  |  |  |  |</v>
      </c>
      <c r="S79" s="5" t="str">
        <f t="shared" si="10"/>
        <v>|  |  |  |  | |</v>
      </c>
      <c r="T79" s="5" t="str">
        <f t="shared" si="9"/>
        <v>|  |  |  |  | | | | | | |</v>
      </c>
      <c r="U79" s="5" t="str">
        <f t="shared" si="11"/>
        <v>|  |  |  |  | | | | | | | | | |</v>
      </c>
    </row>
    <row r="80" spans="2:21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6"/>
        <v>|  |  |</v>
      </c>
      <c r="Q80" s="5" t="str">
        <f t="shared" si="7"/>
        <v>|  |  |  |</v>
      </c>
      <c r="R80" s="5" t="str">
        <f t="shared" si="8"/>
        <v>|  |  |  |  |</v>
      </c>
      <c r="S80" s="5" t="str">
        <f t="shared" si="10"/>
        <v>|  |  |  |  | |</v>
      </c>
      <c r="T80" s="5" t="str">
        <f t="shared" si="9"/>
        <v>|  |  |  |  | | | | | | |</v>
      </c>
      <c r="U80" s="5" t="str">
        <f t="shared" si="11"/>
        <v>|  |  |  |  | | | | | | | | | |</v>
      </c>
    </row>
    <row r="81" spans="2:21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6"/>
        <v>|  |  |</v>
      </c>
      <c r="Q81" s="5" t="str">
        <f t="shared" si="7"/>
        <v>|  |  |  |</v>
      </c>
      <c r="R81" s="5" t="str">
        <f t="shared" si="8"/>
        <v>|  |  |  |  |</v>
      </c>
      <c r="S81" s="5" t="str">
        <f t="shared" si="10"/>
        <v>|  |  |  |  | |</v>
      </c>
      <c r="T81" s="5" t="str">
        <f t="shared" si="9"/>
        <v>|  |  |  |  | | | | | | |</v>
      </c>
      <c r="U81" s="5" t="str">
        <f t="shared" si="11"/>
        <v>|  |  |  |  | | | | | | | | | |</v>
      </c>
    </row>
    <row r="82" spans="2:21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6"/>
        <v>|  |  |</v>
      </c>
      <c r="Q82" s="5" t="str">
        <f t="shared" si="7"/>
        <v>|  |  |  |</v>
      </c>
      <c r="R82" s="5" t="str">
        <f t="shared" si="8"/>
        <v>|  |  |  |  |</v>
      </c>
      <c r="S82" s="5" t="str">
        <f t="shared" si="10"/>
        <v>|  |  |  |  | |</v>
      </c>
      <c r="T82" s="5" t="str">
        <f t="shared" si="9"/>
        <v>|  |  |  |  | | | | | | |</v>
      </c>
      <c r="U82" s="5" t="str">
        <f t="shared" si="11"/>
        <v>|  |  |  |  | | | | | | | | | |</v>
      </c>
    </row>
    <row r="83" spans="2:21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6"/>
        <v>|  |  |</v>
      </c>
      <c r="Q83" s="5" t="str">
        <f t="shared" si="7"/>
        <v>|  |  |  |</v>
      </c>
      <c r="R83" s="5" t="str">
        <f t="shared" si="8"/>
        <v>|  |  |  |  |</v>
      </c>
      <c r="S83" s="5" t="str">
        <f t="shared" si="10"/>
        <v>|  |  |  |  | |</v>
      </c>
      <c r="T83" s="5" t="str">
        <f t="shared" si="9"/>
        <v>|  |  |  |  | | | | | | |</v>
      </c>
      <c r="U83" s="5" t="str">
        <f t="shared" si="11"/>
        <v>|  |  |  |  | | | | | | | | | |</v>
      </c>
    </row>
    <row r="84" spans="2:21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6"/>
        <v>|  |  |</v>
      </c>
      <c r="Q84" s="5" t="str">
        <f t="shared" si="7"/>
        <v>|  |  |  |</v>
      </c>
      <c r="R84" s="5" t="str">
        <f t="shared" si="8"/>
        <v>|  |  |  |  |</v>
      </c>
      <c r="S84" s="5" t="str">
        <f t="shared" si="10"/>
        <v>|  |  |  |  | |</v>
      </c>
      <c r="T84" s="5" t="str">
        <f t="shared" si="9"/>
        <v>|  |  |  |  | | | | | | |</v>
      </c>
      <c r="U84" s="5" t="str">
        <f t="shared" si="11"/>
        <v>|  |  |  |  | | | | | | | | | |</v>
      </c>
    </row>
    <row r="85" spans="2:21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6"/>
        <v>|  |  |</v>
      </c>
      <c r="Q85" s="5" t="str">
        <f t="shared" si="7"/>
        <v>|  |  |  |</v>
      </c>
      <c r="R85" s="5" t="str">
        <f t="shared" si="8"/>
        <v>|  |  |  |  |</v>
      </c>
      <c r="S85" s="5" t="str">
        <f t="shared" si="10"/>
        <v>|  |  |  |  | |</v>
      </c>
      <c r="T85" s="5" t="str">
        <f t="shared" si="9"/>
        <v>|  |  |  |  | | | | | | |</v>
      </c>
      <c r="U85" s="5" t="str">
        <f t="shared" si="11"/>
        <v>|  |  |  |  | | | | | | | | | |</v>
      </c>
    </row>
    <row r="86" spans="2:21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6"/>
        <v>|  |  |</v>
      </c>
      <c r="Q86" s="5" t="str">
        <f t="shared" si="7"/>
        <v>|  |  |  |</v>
      </c>
      <c r="R86" s="5" t="str">
        <f t="shared" si="8"/>
        <v>|  |  |  |  |</v>
      </c>
      <c r="S86" s="5" t="str">
        <f t="shared" si="10"/>
        <v>|  |  |  |  | |</v>
      </c>
      <c r="T86" s="5" t="str">
        <f t="shared" si="9"/>
        <v>|  |  |  |  | | | | | | |</v>
      </c>
      <c r="U86" s="5" t="str">
        <f t="shared" si="11"/>
        <v>|  |  |  |  | | | | | | | | | |</v>
      </c>
    </row>
    <row r="87" spans="2:21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6"/>
        <v>|  |  |</v>
      </c>
      <c r="Q87" s="5" t="str">
        <f t="shared" si="7"/>
        <v>|  |  |  |</v>
      </c>
      <c r="R87" s="5" t="str">
        <f t="shared" si="8"/>
        <v>|  |  |  |  |</v>
      </c>
      <c r="S87" s="5" t="str">
        <f t="shared" si="10"/>
        <v>|  |  |  |  | |</v>
      </c>
      <c r="T87" s="5" t="str">
        <f t="shared" si="9"/>
        <v>|  |  |  |  | | | | | | |</v>
      </c>
      <c r="U87" s="5" t="str">
        <f t="shared" si="11"/>
        <v>|  |  |  |  | | | | | | | | | |</v>
      </c>
    </row>
    <row r="88" spans="2:21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6"/>
        <v>|  |  |</v>
      </c>
      <c r="Q88" s="5" t="str">
        <f t="shared" si="7"/>
        <v>|  |  |  |</v>
      </c>
      <c r="R88" s="5" t="str">
        <f t="shared" si="8"/>
        <v>|  |  |  |  |</v>
      </c>
      <c r="S88" s="5" t="str">
        <f t="shared" si="10"/>
        <v>|  |  |  |  | |</v>
      </c>
      <c r="T88" s="5" t="str">
        <f t="shared" si="9"/>
        <v>|  |  |  |  | | | | | | |</v>
      </c>
      <c r="U88" s="5" t="str">
        <f t="shared" si="11"/>
        <v>|  |  |  |  | | | | | | | | | |</v>
      </c>
    </row>
    <row r="89" spans="2:21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2">_xlfn.CONCAT("| ",B89," | ",C89," |")</f>
        <v>|  |  |</v>
      </c>
      <c r="Q89" s="5" t="str">
        <f t="shared" ref="Q89:Q103" si="13">_xlfn.CONCAT("| ",B89," | ",C89," | ",D89," |")</f>
        <v>|  |  |  |</v>
      </c>
      <c r="R89" s="5" t="str">
        <f t="shared" si="8"/>
        <v>|  |  |  |  |</v>
      </c>
      <c r="S89" s="5" t="str">
        <f t="shared" si="10"/>
        <v>|  |  |  |  | |</v>
      </c>
      <c r="T89" s="5" t="str">
        <f t="shared" si="9"/>
        <v>|  |  |  |  | | | | | | |</v>
      </c>
      <c r="U89" s="5" t="str">
        <f t="shared" si="11"/>
        <v>|  |  |  |  | | | | | | | | | |</v>
      </c>
    </row>
    <row r="90" spans="2:21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2"/>
        <v>|  |  |</v>
      </c>
      <c r="Q90" s="5" t="str">
        <f t="shared" si="13"/>
        <v>|  |  |  |</v>
      </c>
      <c r="R90" s="5" t="str">
        <f t="shared" si="8"/>
        <v>|  |  |  |  |</v>
      </c>
      <c r="S90" s="5" t="str">
        <f t="shared" si="10"/>
        <v>|  |  |  |  | |</v>
      </c>
      <c r="T90" s="5" t="str">
        <f t="shared" si="9"/>
        <v>|  |  |  |  | | | | | | |</v>
      </c>
      <c r="U90" s="5" t="str">
        <f t="shared" si="11"/>
        <v>|  |  |  |  | | | | | | | | | |</v>
      </c>
    </row>
    <row r="91" spans="2:21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2"/>
        <v>|  |  |</v>
      </c>
      <c r="Q91" s="5" t="str">
        <f t="shared" si="13"/>
        <v>|  |  |  |</v>
      </c>
      <c r="R91" s="5" t="str">
        <f t="shared" si="8"/>
        <v>|  |  |  |  |</v>
      </c>
      <c r="S91" s="5" t="str">
        <f t="shared" si="10"/>
        <v>|  |  |  |  | |</v>
      </c>
      <c r="T91" s="5" t="str">
        <f t="shared" si="9"/>
        <v>|  |  |  |  | | | | | | |</v>
      </c>
      <c r="U91" s="5" t="str">
        <f t="shared" si="11"/>
        <v>|  |  |  |  | | | | | | | | | |</v>
      </c>
    </row>
    <row r="92" spans="2:21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2"/>
        <v>|  |  |</v>
      </c>
      <c r="Q92" s="5" t="str">
        <f t="shared" si="13"/>
        <v>|  |  |  |</v>
      </c>
      <c r="R92" s="5" t="str">
        <f t="shared" si="8"/>
        <v>|  |  |  |  |</v>
      </c>
      <c r="S92" s="5" t="str">
        <f t="shared" si="10"/>
        <v>|  |  |  |  | |</v>
      </c>
      <c r="T92" s="5" t="str">
        <f t="shared" si="9"/>
        <v>|  |  |  |  | | | | | | |</v>
      </c>
      <c r="U92" s="5" t="str">
        <f t="shared" si="11"/>
        <v>|  |  |  |  | | | | | | | | | |</v>
      </c>
    </row>
    <row r="93" spans="2:21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2"/>
        <v>|  |  |</v>
      </c>
      <c r="Q93" s="5" t="str">
        <f t="shared" si="13"/>
        <v>|  |  |  |</v>
      </c>
      <c r="R93" s="5" t="str">
        <f t="shared" si="8"/>
        <v>|  |  |  |  |</v>
      </c>
      <c r="S93" s="5" t="str">
        <f t="shared" si="10"/>
        <v>|  |  |  |  | |</v>
      </c>
      <c r="T93" s="5" t="str">
        <f t="shared" si="9"/>
        <v>|  |  |  |  | | | | | | |</v>
      </c>
      <c r="U93" s="5" t="str">
        <f t="shared" si="11"/>
        <v>|  |  |  |  | | | | | | | | | |</v>
      </c>
    </row>
    <row r="94" spans="2:21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2"/>
        <v>|  |  |</v>
      </c>
      <c r="Q94" s="5" t="str">
        <f t="shared" si="13"/>
        <v>|  |  |  |</v>
      </c>
      <c r="R94" s="5" t="str">
        <f t="shared" si="8"/>
        <v>|  |  |  |  |</v>
      </c>
      <c r="S94" s="5" t="str">
        <f t="shared" si="10"/>
        <v>|  |  |  |  | |</v>
      </c>
      <c r="T94" s="5" t="str">
        <f t="shared" si="9"/>
        <v>|  |  |  |  | | | | | | |</v>
      </c>
      <c r="U94" s="5" t="str">
        <f t="shared" si="11"/>
        <v>|  |  |  |  | | | | | | | | | |</v>
      </c>
    </row>
    <row r="95" spans="2:21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2"/>
        <v>|  |  |</v>
      </c>
      <c r="Q95" s="5" t="str">
        <f t="shared" si="13"/>
        <v>|  |  |  |</v>
      </c>
      <c r="R95" s="5" t="str">
        <f t="shared" si="8"/>
        <v>|  |  |  |  |</v>
      </c>
      <c r="S95" s="5" t="str">
        <f t="shared" si="10"/>
        <v>|  |  |  |  | |</v>
      </c>
      <c r="T95" s="5" t="str">
        <f t="shared" si="9"/>
        <v>|  |  |  |  | | | | | | |</v>
      </c>
      <c r="U95" s="5" t="str">
        <f t="shared" si="11"/>
        <v>|  |  |  |  | | | | | | | | | |</v>
      </c>
    </row>
    <row r="96" spans="2:21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2"/>
        <v>|  |  |</v>
      </c>
      <c r="Q96" s="5" t="str">
        <f t="shared" si="13"/>
        <v>|  |  |  |</v>
      </c>
      <c r="R96" s="5" t="str">
        <f t="shared" si="8"/>
        <v>|  |  |  |  |</v>
      </c>
      <c r="S96" s="5" t="str">
        <f t="shared" si="10"/>
        <v>|  |  |  |  | |</v>
      </c>
      <c r="T96" s="5" t="str">
        <f t="shared" si="9"/>
        <v>|  |  |  |  | | | | | | |</v>
      </c>
      <c r="U96" s="5" t="str">
        <f t="shared" si="11"/>
        <v>|  |  |  |  | | | | | | | | | |</v>
      </c>
    </row>
    <row r="97" spans="2:21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2"/>
        <v>|  |  |</v>
      </c>
      <c r="Q97" s="5" t="str">
        <f t="shared" si="13"/>
        <v>|  |  |  |</v>
      </c>
      <c r="R97" s="5" t="str">
        <f t="shared" si="8"/>
        <v>|  |  |  |  |</v>
      </c>
      <c r="S97" s="5" t="str">
        <f t="shared" si="10"/>
        <v>|  |  |  |  | |</v>
      </c>
      <c r="T97" s="5" t="str">
        <f t="shared" si="9"/>
        <v>|  |  |  |  | | | | | | |</v>
      </c>
      <c r="U97" s="5" t="str">
        <f t="shared" si="11"/>
        <v>|  |  |  |  | | | | | | | | | |</v>
      </c>
    </row>
    <row r="98" spans="2:21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2"/>
        <v>|  |  |</v>
      </c>
      <c r="Q98" s="5" t="str">
        <f t="shared" si="13"/>
        <v>|  |  |  |</v>
      </c>
      <c r="R98" s="5" t="str">
        <f t="shared" si="8"/>
        <v>|  |  |  |  |</v>
      </c>
      <c r="S98" s="5" t="str">
        <f t="shared" si="10"/>
        <v>|  |  |  |  | |</v>
      </c>
      <c r="T98" s="5" t="str">
        <f t="shared" si="9"/>
        <v>|  |  |  |  | | | | | | |</v>
      </c>
      <c r="U98" s="5" t="str">
        <f t="shared" si="11"/>
        <v>|  |  |  |  | | | | | | | | | |</v>
      </c>
    </row>
    <row r="99" spans="2:21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2"/>
        <v>|  |  |</v>
      </c>
      <c r="Q99" s="5" t="str">
        <f t="shared" si="13"/>
        <v>|  |  |  |</v>
      </c>
      <c r="R99" s="5" t="str">
        <f t="shared" si="8"/>
        <v>|  |  |  |  |</v>
      </c>
      <c r="S99" s="5" t="str">
        <f t="shared" si="10"/>
        <v>|  |  |  |  | |</v>
      </c>
      <c r="T99" s="5" t="str">
        <f t="shared" si="9"/>
        <v>|  |  |  |  | | | | | | |</v>
      </c>
      <c r="U99" s="5" t="str">
        <f t="shared" si="11"/>
        <v>|  |  |  |  | | | | | | | | | |</v>
      </c>
    </row>
    <row r="100" spans="2:21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2"/>
        <v>|  |  |</v>
      </c>
      <c r="Q100" s="5" t="str">
        <f t="shared" si="13"/>
        <v>|  |  |  |</v>
      </c>
      <c r="R100" s="5" t="str">
        <f t="shared" si="8"/>
        <v>|  |  |  |  |</v>
      </c>
      <c r="S100" s="5" t="str">
        <f t="shared" si="10"/>
        <v>|  |  |  |  | |</v>
      </c>
      <c r="T100" s="5" t="str">
        <f t="shared" si="9"/>
        <v>|  |  |  |  | | | | | | |</v>
      </c>
      <c r="U100" s="5" t="str">
        <f t="shared" si="11"/>
        <v>|  |  |  |  | | | | | | | | | |</v>
      </c>
    </row>
    <row r="101" spans="2:21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2"/>
        <v>|  |  |</v>
      </c>
      <c r="Q101" s="5" t="str">
        <f t="shared" si="13"/>
        <v>|  |  |  |</v>
      </c>
      <c r="R101" s="5" t="str">
        <f t="shared" si="8"/>
        <v>|  |  |  |  |</v>
      </c>
      <c r="S101" s="5" t="str">
        <f t="shared" si="10"/>
        <v>|  |  |  |  | |</v>
      </c>
      <c r="T101" s="5" t="str">
        <f t="shared" si="9"/>
        <v>|  |  |  |  | | | | | | |</v>
      </c>
      <c r="U101" s="5" t="str">
        <f t="shared" si="11"/>
        <v>|  |  |  |  | | | | | | | | | |</v>
      </c>
    </row>
    <row r="102" spans="2:21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2"/>
        <v>|  |  |</v>
      </c>
      <c r="Q102" s="5" t="str">
        <f t="shared" si="13"/>
        <v>|  |  |  |</v>
      </c>
      <c r="R102" s="5" t="str">
        <f t="shared" si="8"/>
        <v>|  |  |  |  |</v>
      </c>
      <c r="S102" s="5" t="str">
        <f t="shared" si="10"/>
        <v>|  |  |  |  | |</v>
      </c>
      <c r="T102" s="5" t="str">
        <f t="shared" si="9"/>
        <v>|  |  |  |  | | | | | | |</v>
      </c>
      <c r="U102" s="5" t="str">
        <f t="shared" si="11"/>
        <v>|  |  |  |  | | | | | | | | | |</v>
      </c>
    </row>
    <row r="103" spans="2:21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2"/>
        <v>|  |  |</v>
      </c>
      <c r="Q103" s="5" t="str">
        <f t="shared" si="13"/>
        <v>|  |  |  |</v>
      </c>
      <c r="R103" s="5" t="str">
        <f t="shared" si="8"/>
        <v>|  |  |  |  |</v>
      </c>
      <c r="S103" s="5" t="str">
        <f t="shared" si="10"/>
        <v>|  |  |  |  | |</v>
      </c>
      <c r="T103" s="5" t="str">
        <f t="shared" si="9"/>
        <v>|  |  |  |  | | | | | | |</v>
      </c>
      <c r="U103" s="5" t="str">
        <f t="shared" si="11"/>
        <v>|  |  |  |  | | | | | | | | |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2026-06-02T16:25:29Z</dcterms:modified>
</cp:coreProperties>
</file>